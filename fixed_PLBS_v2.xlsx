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総括PL_実績(MA前合算)" sheetId="1" r:id="rId4"/>
    <sheet state="visible" name="YGR_PL" sheetId="2" r:id="rId5"/>
    <sheet state="visible" name="YG_PL(M)" sheetId="3" r:id="rId6"/>
    <sheet state="visible" name="FoC_PL" sheetId="4" r:id="rId7"/>
    <sheet state="visible" name="UTAITE_PL" sheetId="5" r:id="rId8"/>
    <sheet state="visible" name="MD1_PL" sheetId="6" r:id="rId9"/>
    <sheet state="visible" name="VO_PL" sheetId="7" r:id="rId10"/>
    <sheet state="visible" name="VO_PL(ORIGIN)" sheetId="8" r:id="rId11"/>
    <sheet state="visible" name="VO_PL(AIR)" sheetId="9" r:id="rId12"/>
    <sheet state="visible" name="VO_PL(GLASS)" sheetId="10" r:id="rId13"/>
    <sheet state="visible" name="VO_PL(ABYSS)" sheetId="11" r:id="rId14"/>
    <sheet state="visible" name="VO_PL(CANON)" sheetId="12" r:id="rId15"/>
    <sheet state="visible" name="VO_PL(共通)" sheetId="13" r:id="rId16"/>
    <sheet state="visible" name="UTAGE_PL" sheetId="14" r:id="rId17"/>
    <sheet state="visible" name="マスタ" sheetId="15" r:id="rId18"/>
    <sheet state="visible" name="YG_PL" sheetId="16" r:id="rId19"/>
    <sheet state="visible" name="メンテ" sheetId="17" r:id="rId20"/>
    <sheet state="visible" name="補足" sheetId="18" r:id="rId21"/>
  </sheets>
  <definedNames>
    <definedName hidden="1" localSheetId="2" name="_xlnm._FilterDatabase">'YG_PL(M)'!$A$8:$CK$162</definedName>
  </definedNames>
  <calcPr/>
  <extLst>
    <ext uri="GoogleSheetsCustomDataVersion2">
      <go:sheetsCustomData xmlns:go="http://customooxmlschemas.google.com/" r:id="rId22" roundtripDataChecksum="OdhL/FaOQ2ZVi8AKlqDWwm2stQqKeFFKLYcPonsYnx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46">
      <text>
        <t xml:space="preserve">======
ID#AAAB-FLvvvM
tc={56dbc69b-419c-4740-9624-99da7d10a9e0}    (2026-06-17 08:38:56)
[Threaded comment]
 Your version of Excel allows you to read this threaded comment; however, any edits to it will get removed if the file is opened in a newer version of Excel. Learn more: https://go.microsoft.com/fwlink/?linkid=870924
Comment:
	@fukuyama_takumi@voising-official.com
過去数値省略
fukuyama_takumi@voising-official.com さんに割り当てました</t>
      </text>
    </comment>
    <comment authorId="0" ref="C227">
      <text>
        <t xml:space="preserve">======
ID#AAAB-FLvvvE
tc={51ec3574-71d0-4499-9c75-4a8160315a6c}    (2026-06-17 08:38:56)
[Threaded comment]
 Your version of Excel allows you to read this threaded comment; however, any edits to it will get removed if the file is opened in a newer version of Excel. Learn more: https://go.microsoft.com/fwlink/?linkid=870924
Comment:
	※「給与」「賃金」をここに統一</t>
      </text>
    </comment>
    <comment authorId="0" ref="C240">
      <text>
        <t xml:space="preserve">======
ID#AAAB-FLvvvI
tc={964a9486-b377-466f-8369-daa5c119ec97}    (2026-06-17 08:38:56)
[Threaded comment]
 Your version of Excel allows you to read this threaded comment; however, any edits to it will get removed if the file is opened in a newer version of Excel. Learn more: https://go.microsoft.com/fwlink/?linkid=870924
Comment:
	※「備品・事務用品」を統一</t>
      </text>
    </comment>
    <comment authorId="0" ref="C221">
      <text>
        <t xml:space="preserve">======
ID#AAAB-FLvvu8
tc={37c859d3-77ee-47cd-81aa-394f58eab91b}    (2026-06-17 08:38:56)
[Threaded comment]
 Your version of Excel allows you to read this threaded comment; however, any edits to it will get removed if the file is opened in a newer version of Excel. Learn more: https://go.microsoft.com/fwlink/?linkid=870924
Comment:
	@fukuyama_takumi@voising-official.com
他勘定振替高に修正予定
fukuyama_takumi@voising-official.com さんに割り当てました</t>
      </text>
    </comment>
    <comment authorId="0" ref="F1855">
      <text>
        <t xml:space="preserve">======
ID#AAAB-FLvvvY
tc={f8588de9-265f-4934-8c0c-4b82ca0c8d50}    (2026-06-17 08:38:56)
[Threaded comment]
 Your version of Excel allows you to read this threaded comment; however, any edits to it will get removed if the file is opened in a newer version of Excel. Learn more: https://go.microsoft.com/fwlink/?linkid=870924
Comment:
	@fukuyama_takumi@voising-official.com
UTAITE_連結PL_BS（簡易合算）_20260520では-96,083,561になってる。
fukuyama_takumi@voising-official.com さんに割り当てました</t>
      </text>
    </comment>
    <comment authorId="0" ref="C284">
      <text>
        <t xml:space="preserve">======
ID#AAAB-FLvvu0
tc={cda78138-c1f5-4f5c-89e7-147438648ff8}    (2026-06-17 08:38:56)
[Threaded comment]
 Your version of Excel allows you to read this threaded comment; however, any edits to it will get removed if the file is opened in a newer version of Excel. Learn more: https://go.microsoft.com/fwlink/?linkid=870924
Comment:
	@fukuyama_takumi@voising-official.com
UTAITEのPJ前のフォーマットが良ければ897行目以降にあります。</t>
      </text>
    </comment>
    <comment authorId="0" ref="F221">
      <text>
        <t xml:space="preserve">======
ID#AAAB-FLvvvU
tc={3e70c94f-6bbd-4b00-a508-73a7a2d1508c}    (2026-06-17 08:38:56)
[Threaded comment]
 Your version of Excel allows you to read this threaded comment; however, any edits to it will get removed if the file is opened in a newer version of Excel. Learn more: https://go.microsoft.com/fwlink/?linkid=870924
Comment:
	@fukuyama_takumi@voising-official.com
支払手数料（原）が使用禁止になっているため、仕入高に算入。
手数料のみ別立表示する必要ある場合には修正します。
fukuyama_takumi@voising-official.com さんに割り当てました</t>
      </text>
    </comment>
    <comment authorId="0" ref="C232">
      <text>
        <t xml:space="preserve">======
ID#AAAB-FLvvvA
tc={c8a476a9-3700-45f4-a522-d3a331921e34}    (2026-06-17 08:38:56)
[Threaded comment]
 Your version of Excel allows you to read this threaded comment; however, any edits to it will get removed if the file is opened in a newer version of Excel. Learn more: https://go.microsoft.com/fwlink/?linkid=870924
Comment:
	※「委託料」を統合</t>
      </text>
    </comment>
    <comment authorId="0" ref="C231">
      <text>
        <t xml:space="preserve">======
ID#AAAB-FLvvu4
tc={82e1299a-87d9-4335-ac03-7913378a01f4}    (2026-06-17 08:38:56)
[Threaded comment]
 Your version of Excel allows you to read this threaded comment; however, any edits to it will get removed if the file is opened in a newer version of Excel. Learn more: https://go.microsoft.com/fwlink/?linkid=870924
Comment:
	※「採用費」を統一</t>
      </text>
    </comment>
    <comment authorId="0" ref="C1396">
      <text>
        <t xml:space="preserve">======
ID#AAAB-FLvvvQ
tc={7541dd43-b13a-4fc3-8f64-57b83fe112f2}    (2026-06-17 08:38:56)
[Threaded comment]
 Your version of Excel allows you to read this threaded comment; however, any edits to it will get removed if the file is opened in a newer version of Excel. Learn more: https://go.microsoft.com/fwlink/?linkid=870924
Comment:
	@fukuyama_takumi@voising-official.com
こちらでVOの全社合計を拾ってくるという認識で間違いないでしょうか。
fukuyama_takumi@voising-official.com さんに割り当てました</t>
      </text>
    </comment>
  </commentList>
  <extLst>
    <ext uri="GoogleSheetsCustomDataVersion2">
      <go:sheetsCustomData xmlns:go="http://customooxmlschemas.google.com/" r:id="rId1" roundtripDataSignature="AMtx7mgB8HqMcnWJ000lsglbwnEZw5Qgb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9">
      <text>
        <t xml:space="preserve">======
ID#AAAB-FLvvuw
tc={6f946aac-ba21-49f4-a542-67448e13d240}    (2026-06-17 08:38:56)
[Threaded comment]
 Your version of Excel allows you to read this threaded comment; however, any edits to it will get removed if the file is opened in a newer version of Excel. Learn more: https://go.microsoft.com/fwlink/?linkid=870924
Comment:
	fukuyama_takumi@voising-official.com
ここって、マイナスであってますか？元データもマイナスになってるので、期首+仕入よりも期末商品引いて売原が増えるというのが違和感ありまして一応確認です。</t>
      </text>
    </comment>
  </commentList>
  <extLst>
    <ext uri="GoogleSheetsCustomDataVersion2">
      <go:sheetsCustomData xmlns:go="http://customooxmlschemas.google.com/" r:id="rId1" roundtripDataSignature="AMtx7mg/TRrHSUQv14vUovpAP9BvBet9nA=="/>
    </ext>
  </extLst>
</comments>
</file>

<file path=xl/sharedStrings.xml><?xml version="1.0" encoding="utf-8"?>
<sst xmlns="http://schemas.openxmlformats.org/spreadsheetml/2006/main" count="5922" uniqueCount="645">
  <si>
    <t>グループ簡易合算</t>
  </si>
  <si>
    <t>売上高</t>
  </si>
  <si>
    <t>Revenue</t>
  </si>
  <si>
    <t>商品売上原価</t>
  </si>
  <si>
    <t>COGS</t>
  </si>
  <si>
    <t>売上総利益</t>
  </si>
  <si>
    <t>Gross Profit</t>
  </si>
  <si>
    <t>SGA</t>
  </si>
  <si>
    <t>営業損益</t>
  </si>
  <si>
    <t>Operating Profit</t>
  </si>
  <si>
    <t>営業外損益</t>
  </si>
  <si>
    <t>Non-Operating Profit</t>
  </si>
  <si>
    <t>経常損益</t>
  </si>
  <si>
    <t>Ordinary Profit</t>
  </si>
  <si>
    <t>代々木アニメーショングループ</t>
  </si>
  <si>
    <t>UTAITE</t>
  </si>
  <si>
    <t>Cynra</t>
  </si>
  <si>
    <t>V社G</t>
  </si>
  <si>
    <t>VOISING</t>
  </si>
  <si>
    <t>英字)UTAITE</t>
  </si>
  <si>
    <t>MD1</t>
  </si>
  <si>
    <t>代々木アニメーション学院</t>
  </si>
  <si>
    <t>UTAGE(持分法30%</t>
  </si>
  <si>
    <t>当期純利益*30%</t>
  </si>
  <si>
    <t>以下、試算表元データ　※グループin順</t>
  </si>
  <si>
    <t>■G連結PL（簡易合算）</t>
  </si>
  <si>
    <t>PL/税抜：円</t>
  </si>
  <si>
    <t>PL/Tax-Excluded: JPY</t>
  </si>
  <si>
    <t>売上原価</t>
  </si>
  <si>
    <t>販売費及び一般管理費</t>
  </si>
  <si>
    <t>SG&amp;A</t>
  </si>
  <si>
    <t>営業利益</t>
  </si>
  <si>
    <t>営業外収益</t>
  </si>
  <si>
    <t>Non-Operating Income</t>
  </si>
  <si>
    <t>営業外費用</t>
  </si>
  <si>
    <t>Non-Operating Expenses</t>
  </si>
  <si>
    <t>経常利益</t>
  </si>
  <si>
    <t>特別利益</t>
  </si>
  <si>
    <t>Extraordinary Income</t>
  </si>
  <si>
    <t>特別損失</t>
  </si>
  <si>
    <t>Extraordinary loss</t>
  </si>
  <si>
    <t>税引前当期純利益</t>
  </si>
  <si>
    <t>EBIT</t>
  </si>
  <si>
    <t>法人税等</t>
  </si>
  <si>
    <t>当期純利益</t>
  </si>
  <si>
    <t>Net Profit</t>
  </si>
  <si>
    <t>▼23年12月-24年3月迄はウタイテ各事業別PLがないため、全社PL(下記試算表)から抽出</t>
  </si>
  <si>
    <t>https://docs.google.com/spreadsheets/d/1ltEmuWGNHgPV1QcLSeuyr_7tN3PQC_V6gztPxafvUtQ/edit?usp=sharing</t>
  </si>
  <si>
    <t>■ウタイテ社PL</t>
  </si>
  <si>
    <t>https://docs.google.com/spreadsheets/d/1EZ187PR9Qoi2FmIUcZ-fmtCE_zLJFrfcxMTaAlDrBGo/edit?gid=93262643#gid=93262643</t>
  </si>
  <si>
    <t>PL/税抜き：円</t>
  </si>
  <si>
    <t>※24年4-5月は既に合算されたものを記載。6月より事業按分されている状態。</t>
  </si>
  <si>
    <t>■Cynra社PL</t>
  </si>
  <si>
    <t>https://docs.google.com/spreadsheets/d/11y8kXGsJFPXUOI0bYrqwmpKJb96p53GMVCPo7pmnq4w/edit?gid=1658084189#gid=1658084189</t>
  </si>
  <si>
    <t>■V社PL</t>
  </si>
  <si>
    <t>https://docs.google.com/spreadsheets/d/11PQuMRUTZ3w-dsuoWZOP5ejgQ0qsp6jXdlzwKQx7b5A/edit?gid=1824114713#gid=1824114713</t>
  </si>
  <si>
    <t>※12-3月は「月次推移VC,VO,VS」から算出。4-7月はVC(ORIGIN)、VS(AIR)、VOで算出。8月以降は全社から仕訳帳を参照して事業別に按分</t>
  </si>
  <si>
    <t>▼DARK含む</t>
  </si>
  <si>
    <t>売上YoY</t>
  </si>
  <si>
    <t>営業利益YoY</t>
  </si>
  <si>
    <t>▼DARK除く</t>
  </si>
  <si>
    <t>■英字)UTAITE社PL</t>
  </si>
  <si>
    <t>■代々木アニメーション学院</t>
  </si>
  <si>
    <t>■MD1</t>
  </si>
  <si>
    <t>当期純利益 *30%</t>
  </si>
  <si>
    <t>【代々木アニメーショングループ】</t>
  </si>
  <si>
    <t>ウタイテ社合算</t>
  </si>
  <si>
    <t>売上高合計</t>
  </si>
  <si>
    <t>期首商品棚卸高</t>
  </si>
  <si>
    <t>当期商品仕入高</t>
  </si>
  <si>
    <t>支払手数料(原価)</t>
  </si>
  <si>
    <t>期末商品棚卸高</t>
  </si>
  <si>
    <t>役員報酬</t>
  </si>
  <si>
    <t>給料手当</t>
  </si>
  <si>
    <t>法定福利費</t>
  </si>
  <si>
    <t>福利厚生費</t>
  </si>
  <si>
    <t>株式報酬費用</t>
  </si>
  <si>
    <t>採用教育費</t>
  </si>
  <si>
    <t>業務委託費</t>
  </si>
  <si>
    <t>外注費</t>
  </si>
  <si>
    <t>荷造運賃</t>
  </si>
  <si>
    <t>広告宣伝費</t>
  </si>
  <si>
    <t>接待交際費</t>
  </si>
  <si>
    <t>旅費交通費</t>
  </si>
  <si>
    <t>通信費</t>
  </si>
  <si>
    <t>修繕費</t>
  </si>
  <si>
    <t>消耗品費</t>
  </si>
  <si>
    <t>地代家賃</t>
  </si>
  <si>
    <t>リース料</t>
  </si>
  <si>
    <t>賃借料</t>
  </si>
  <si>
    <t>保険料</t>
  </si>
  <si>
    <t>租税公課</t>
  </si>
  <si>
    <t>支払手数料</t>
  </si>
  <si>
    <t>支払報酬</t>
  </si>
  <si>
    <t>会議費</t>
  </si>
  <si>
    <t>減価償却費</t>
  </si>
  <si>
    <t>貸倒引当金繰入額</t>
  </si>
  <si>
    <t>研修費</t>
  </si>
  <si>
    <t>諸会費</t>
  </si>
  <si>
    <t>共通費配賦</t>
  </si>
  <si>
    <t>雑費</t>
  </si>
  <si>
    <t>販売促進費</t>
  </si>
  <si>
    <t>販売費及び一般管理費合計</t>
  </si>
  <si>
    <t>受取利息</t>
  </si>
  <si>
    <t>償却債権取立益</t>
  </si>
  <si>
    <t>貸倒引当金戻入益</t>
  </si>
  <si>
    <t>有価証券売却益</t>
  </si>
  <si>
    <t>為替差益</t>
  </si>
  <si>
    <t>雑収入</t>
  </si>
  <si>
    <t>支払利息</t>
  </si>
  <si>
    <t>為替差損</t>
  </si>
  <si>
    <t>雑損失</t>
  </si>
  <si>
    <t>経常損益金額</t>
  </si>
  <si>
    <t>固定資産売却益</t>
  </si>
  <si>
    <t>事業譲渡損</t>
  </si>
  <si>
    <t>固定資産除却損</t>
  </si>
  <si>
    <t>事務所移転費用</t>
  </si>
  <si>
    <t>税引前当期純損益金額</t>
  </si>
  <si>
    <t>法人税等調整額</t>
  </si>
  <si>
    <t>当期純損益金額</t>
  </si>
  <si>
    <t>SSD</t>
  </si>
  <si>
    <t>KTP</t>
  </si>
  <si>
    <t>PxD</t>
  </si>
  <si>
    <t>こなはらむ</t>
  </si>
  <si>
    <t>例衣/相沢</t>
  </si>
  <si>
    <t>眞白かのん</t>
  </si>
  <si>
    <t>育成枠</t>
  </si>
  <si>
    <t>ゆう。</t>
  </si>
  <si>
    <t>共通</t>
  </si>
  <si>
    <t>支払報酬費</t>
  </si>
  <si>
    <t>グッズ販売</t>
  </si>
  <si>
    <t>Youtube</t>
  </si>
  <si>
    <t>Twitch</t>
  </si>
  <si>
    <t>LINE</t>
  </si>
  <si>
    <t>ライブ</t>
  </si>
  <si>
    <t>その他</t>
  </si>
  <si>
    <t>売上値引・返品</t>
  </si>
  <si>
    <t>Total Revenue</t>
  </si>
  <si>
    <t>仕入高</t>
  </si>
  <si>
    <t>給料賃金</t>
  </si>
  <si>
    <t>採用費</t>
  </si>
  <si>
    <t>業務委託料</t>
  </si>
  <si>
    <t>備品・消耗品費</t>
  </si>
  <si>
    <t>Total SG&amp;A</t>
  </si>
  <si>
    <t>BUFF</t>
  </si>
  <si>
    <t>こはならむ</t>
  </si>
  <si>
    <t>bilibili</t>
  </si>
  <si>
    <t>諸経費</t>
  </si>
  <si>
    <t>礼衣/相沢</t>
  </si>
  <si>
    <t>間接費</t>
  </si>
  <si>
    <t>直接費</t>
  </si>
  <si>
    <t>貸倒繰入額(販)</t>
  </si>
  <si>
    <t>UTAITE間接費＋営業利益以下</t>
  </si>
  <si>
    <t>売上(間接費)</t>
  </si>
  <si>
    <t>原価(間接費)</t>
  </si>
  <si>
    <t>売上総利益(間接費)</t>
  </si>
  <si>
    <t>販管費(間接費)</t>
  </si>
  <si>
    <t>営業利益(間接費)</t>
  </si>
  <si>
    <t>前期損益修正損</t>
  </si>
  <si>
    <t>他勘定振替高</t>
  </si>
  <si>
    <t>受取配当</t>
  </si>
  <si>
    <t>Net Income (Loss) for the Current Period</t>
  </si>
  <si>
    <t>V社合算(23年12月～24年3月)</t>
  </si>
  <si>
    <t>人件費</t>
  </si>
  <si>
    <t>その他販管費</t>
  </si>
  <si>
    <t>販管費計</t>
  </si>
  <si>
    <t>VC</t>
  </si>
  <si>
    <t>営業損益YoY</t>
  </si>
  <si>
    <t>VO</t>
  </si>
  <si>
    <t>VS</t>
  </si>
  <si>
    <t>V社</t>
  </si>
  <si>
    <t>https://docs.google.com/spreadsheets/d/1t2cyIteu6d9JTcpy2A6G_9rGeIRS16XGsbYJPA_BFVE/edit?usp=sharing</t>
  </si>
  <si>
    <t>ORIGIN</t>
  </si>
  <si>
    <t>AIR</t>
  </si>
  <si>
    <t>GLASS</t>
  </si>
  <si>
    <t>ABYSS</t>
  </si>
  <si>
    <t>CANON</t>
  </si>
  <si>
    <t>賞与</t>
  </si>
  <si>
    <t>水道光熱費</t>
  </si>
  <si>
    <t>UT配賦額</t>
  </si>
  <si>
    <t>敷金償却</t>
  </si>
  <si>
    <t>賞与引当金繰入</t>
  </si>
  <si>
    <t>UT配賦費</t>
  </si>
  <si>
    <t>販売管理費 計</t>
  </si>
  <si>
    <t>営業損益金額</t>
  </si>
  <si>
    <t>事業譲渡益</t>
  </si>
  <si>
    <t>債務免除益</t>
  </si>
  <si>
    <t>前期損益修正益</t>
  </si>
  <si>
    <t>固定資産売却損</t>
  </si>
  <si>
    <t>投資有価証券売却損</t>
  </si>
  <si>
    <t>抱き合わせ株式消滅差損</t>
  </si>
  <si>
    <t>DARK</t>
  </si>
  <si>
    <t>関係会社間取引</t>
  </si>
  <si>
    <t>※V社グループ内の取引を相殺消去</t>
  </si>
  <si>
    <t>Intercompany Transactions</t>
  </si>
  <si>
    <t>外注費 販</t>
  </si>
  <si>
    <t>Outsourcing Expenses Subject to Withholding Tax</t>
  </si>
  <si>
    <t>全社</t>
  </si>
  <si>
    <t>ＶＯ</t>
  </si>
  <si>
    <t>決算修正事項</t>
  </si>
  <si>
    <t>※7月入金のシクフォニ販売の8月以降出荷分。財務会計上は10月に遡及修正を行うが、管理会計上正しい期間において計上する調整を追加</t>
  </si>
  <si>
    <t>Year-end Adjustment Items</t>
  </si>
  <si>
    <t>UTAITE(英字)</t>
  </si>
  <si>
    <t>販管費：研修費(ウタイテ社)</t>
  </si>
  <si>
    <t>販管費：(Cynra社)</t>
  </si>
  <si>
    <t>販管費：採用教育費(V社)</t>
  </si>
  <si>
    <t>売上原価合計</t>
  </si>
  <si>
    <t>営業外収益合計</t>
  </si>
  <si>
    <t>営業外費用合計</t>
  </si>
  <si>
    <t>特別利益合計</t>
  </si>
  <si>
    <t>特別損失合計</t>
  </si>
  <si>
    <t>法人税</t>
  </si>
  <si>
    <t>YG 教育</t>
  </si>
  <si>
    <t>ウタイテ配賦額</t>
  </si>
  <si>
    <t>YG エンタメ</t>
  </si>
  <si>
    <t>YG 施設運営</t>
  </si>
  <si>
    <t>YG 共通</t>
  </si>
  <si>
    <t>UTAGE</t>
  </si>
  <si>
    <t>FC</t>
  </si>
  <si>
    <t>TB</t>
  </si>
  <si>
    <t>ウタイテ</t>
  </si>
  <si>
    <t>check</t>
  </si>
  <si>
    <t>②マスタ結びつけ</t>
  </si>
  <si>
    <t>①</t>
  </si>
  <si>
    <t>月次推移：損益計算書_株式会社代々木アニメーショングループ（期間：2026年04月〜2027年03月、表示単位：円）</t>
  </si>
  <si>
    <t>期間累計</t>
  </si>
  <si>
    <t>売上高 計</t>
  </si>
  <si>
    <t>期首商品棚卸</t>
  </si>
  <si>
    <t>当期商品仕入</t>
  </si>
  <si>
    <t>給料手当(原)</t>
  </si>
  <si>
    <t>法定福利費(原)</t>
  </si>
  <si>
    <t>外注費(原)</t>
  </si>
  <si>
    <t>業務委託費(原)</t>
  </si>
  <si>
    <t>旅費交通費(原)</t>
  </si>
  <si>
    <t>消耗品費(原)</t>
  </si>
  <si>
    <t>他勘定振替高(商)</t>
  </si>
  <si>
    <t>期末商品棚卸</t>
  </si>
  <si>
    <t>売上総損益金額</t>
  </si>
  <si>
    <t>販売管理費</t>
  </si>
  <si>
    <t>支払報酬料</t>
  </si>
  <si>
    <t>交際費（11,000円以下/人）</t>
  </si>
  <si>
    <t>交際費（11,000円超/人）</t>
  </si>
  <si>
    <t>交際費（その他）</t>
  </si>
  <si>
    <t>支払手数料(営業外)</t>
  </si>
  <si>
    <t>固定資産売却損益</t>
  </si>
  <si>
    <t>PL(M) のコピー</t>
  </si>
  <si>
    <t>留意事項</t>
  </si>
  <si>
    <t>・下記FMTでウタイテ連結の事業計画を作成しております</t>
  </si>
  <si>
    <t>・47行目以降のハイライト箇所に、別途算定した計画を転記ください</t>
  </si>
  <si>
    <t>26年3月期</t>
  </si>
  <si>
    <t>27年3月期</t>
  </si>
  <si>
    <t>28年3月期</t>
  </si>
  <si>
    <t>29年3月期</t>
  </si>
  <si>
    <t>30年3月期</t>
  </si>
  <si>
    <t>・28/3月期以降は年次となる場合は、年度の最終月に年間の数値を入力ください</t>
  </si>
  <si>
    <t>1H</t>
  </si>
  <si>
    <t>2H</t>
  </si>
  <si>
    <t>・”ウタイテ配賦額”は経営指導料を入力する箇所となりますのでご対応不要です</t>
  </si>
  <si>
    <t>1Q</t>
  </si>
  <si>
    <t>2Q</t>
  </si>
  <si>
    <t>3Q</t>
  </si>
  <si>
    <t>4Q</t>
  </si>
  <si>
    <t>実績</t>
  </si>
  <si>
    <t>予算</t>
  </si>
  <si>
    <t>Sort</t>
  </si>
  <si>
    <t>25/4月</t>
  </si>
  <si>
    <t>25/5月</t>
  </si>
  <si>
    <t>25/6月</t>
  </si>
  <si>
    <t>25/7月</t>
  </si>
  <si>
    <t>25/8月</t>
  </si>
  <si>
    <t>25/9月</t>
  </si>
  <si>
    <t>25/10月</t>
  </si>
  <si>
    <t>25/11月</t>
  </si>
  <si>
    <t>25/12月</t>
  </si>
  <si>
    <t>26/1月</t>
  </si>
  <si>
    <t>26/2月</t>
  </si>
  <si>
    <t>26/3月</t>
  </si>
  <si>
    <t>26/4月</t>
  </si>
  <si>
    <t>26/5月</t>
  </si>
  <si>
    <t>26/6月</t>
  </si>
  <si>
    <t>26/7月</t>
  </si>
  <si>
    <t>26/8月</t>
  </si>
  <si>
    <t>26/9月</t>
  </si>
  <si>
    <t>26/10月</t>
  </si>
  <si>
    <t>26/11月</t>
  </si>
  <si>
    <t>26/12月</t>
  </si>
  <si>
    <t>27/1月</t>
  </si>
  <si>
    <t>27/2月</t>
  </si>
  <si>
    <t>27/3月</t>
  </si>
  <si>
    <t>27/4月</t>
  </si>
  <si>
    <t>27/5月</t>
  </si>
  <si>
    <t>27/6月</t>
  </si>
  <si>
    <t>27/7月</t>
  </si>
  <si>
    <t>27/8月</t>
  </si>
  <si>
    <t>27/9月</t>
  </si>
  <si>
    <t>27/10月</t>
  </si>
  <si>
    <t>27/11月</t>
  </si>
  <si>
    <t>27/12月</t>
  </si>
  <si>
    <t>28/1月</t>
  </si>
  <si>
    <t>28/2月</t>
  </si>
  <si>
    <t>28/3月</t>
  </si>
  <si>
    <t>28/4月</t>
  </si>
  <si>
    <t>28/5月</t>
  </si>
  <si>
    <t>28/6月</t>
  </si>
  <si>
    <t>28/7月</t>
  </si>
  <si>
    <t>28/8月</t>
  </si>
  <si>
    <t>28/9月</t>
  </si>
  <si>
    <t>28/10月</t>
  </si>
  <si>
    <t>28/11月</t>
  </si>
  <si>
    <t>28/12月</t>
  </si>
  <si>
    <t>29/1月</t>
  </si>
  <si>
    <t>29/2月</t>
  </si>
  <si>
    <t>29/3月</t>
  </si>
  <si>
    <t>29/4月</t>
  </si>
  <si>
    <t>29/5月</t>
  </si>
  <si>
    <t>29/6月</t>
  </si>
  <si>
    <t>29/7月</t>
  </si>
  <si>
    <t>29/8月</t>
  </si>
  <si>
    <t>29/9月</t>
  </si>
  <si>
    <t>29/10月</t>
  </si>
  <si>
    <t>29/11月</t>
  </si>
  <si>
    <t>29/12月</t>
  </si>
  <si>
    <t>30/1月</t>
  </si>
  <si>
    <t>30/2月</t>
  </si>
  <si>
    <t>30/3月</t>
  </si>
  <si>
    <t>集計</t>
  </si>
  <si>
    <t>X</t>
  </si>
  <si>
    <t>-</t>
  </si>
  <si>
    <t>YOANI</t>
  </si>
  <si>
    <t>ALL</t>
  </si>
  <si>
    <t>変動費</t>
  </si>
  <si>
    <t>準変動費</t>
  </si>
  <si>
    <t>タレント報酬</t>
  </si>
  <si>
    <t>固定費</t>
  </si>
  <si>
    <t>減価償却</t>
  </si>
  <si>
    <t>会議・交際費</t>
  </si>
  <si>
    <t>採用教育費_固定</t>
  </si>
  <si>
    <t>のれん償却費</t>
  </si>
  <si>
    <t>補助列</t>
  </si>
  <si>
    <t>教育</t>
  </si>
  <si>
    <t>その他（変）</t>
  </si>
  <si>
    <t>その他_準変動</t>
  </si>
  <si>
    <t>その他（固）</t>
  </si>
  <si>
    <t>その他_固定</t>
  </si>
  <si>
    <t>エンタメ</t>
  </si>
  <si>
    <t>その他(変)</t>
  </si>
  <si>
    <t>その他(固)</t>
  </si>
  <si>
    <t>施設運営</t>
  </si>
  <si>
    <t>前期</t>
  </si>
  <si>
    <t xml:space="preserve">　</t>
  </si>
  <si>
    <t>月次推移：損益計算書_ForCreators株式会社（期間：2026年04月〜2027年03月、表示単位：円）</t>
  </si>
  <si>
    <t>通信費(原)</t>
  </si>
  <si>
    <t>減価償却費(原)</t>
  </si>
  <si>
    <t>交際費</t>
  </si>
  <si>
    <t>月次推移：損益計算書_株式会社UTAITE（期間：2026年04月〜2027年03月、表示単位：円）</t>
  </si>
  <si>
    <t>決算整理</t>
  </si>
  <si>
    <t>合計</t>
  </si>
  <si>
    <t>月次推移：損益計算書_株式会社VOISING（期間：2026年04月〜2027年03月、表示単位：円）</t>
  </si>
  <si>
    <t>委託販売売上高</t>
  </si>
  <si>
    <t>給料手当(原・ビ)</t>
  </si>
  <si>
    <t>給料手当(原・製)</t>
  </si>
  <si>
    <t>法定福利費(原・ビ)</t>
  </si>
  <si>
    <t>法定福利費(原・製)</t>
  </si>
  <si>
    <t>業務委託費(原・タレント)</t>
  </si>
  <si>
    <t>業務委託費(原・製)</t>
  </si>
  <si>
    <t>業務委託費(原・ビ)</t>
  </si>
  <si>
    <t>賃借料(原)</t>
  </si>
  <si>
    <t>当期商品仕入(見出し）</t>
  </si>
  <si>
    <t>期末商品棚卸（見出し）</t>
  </si>
  <si>
    <t>当期商品仕入（見出し）</t>
  </si>
  <si>
    <t>期末商品棚卸(見出し)</t>
  </si>
  <si>
    <t>VO_PL(GLASS)</t>
  </si>
  <si>
    <t>当期商品仕入合計</t>
  </si>
  <si>
    <t>期末商品棚卸合計</t>
  </si>
  <si>
    <t>当期商品仕入合計額</t>
  </si>
  <si>
    <t>期末商品棚卸合計額</t>
  </si>
  <si>
    <t>月次推移：損益計算書_株式会社UTAGE（期間：2025年12月〜2026年11月、表示単位：円）</t>
  </si>
  <si>
    <t>興行売上高</t>
  </si>
  <si>
    <t>グッズ売上高(現地)</t>
  </si>
  <si>
    <t>グッズ売上高(事後)</t>
  </si>
  <si>
    <t>仮原価(興行経費)</t>
  </si>
  <si>
    <t>仮原価(タレント配分)</t>
  </si>
  <si>
    <t>仮原価(フリークス配分)</t>
  </si>
  <si>
    <t>仮原価(グッズ経費)</t>
  </si>
  <si>
    <t>支払手数料(原)</t>
  </si>
  <si>
    <t>雑費(原)</t>
  </si>
  <si>
    <t>車両費</t>
  </si>
  <si>
    <t>法人税・住民税及び事業税</t>
  </si>
  <si>
    <t>フラグ</t>
  </si>
  <si>
    <t>勘定科目</t>
  </si>
  <si>
    <t>表示名（決算書）</t>
  </si>
  <si>
    <t>小分類</t>
  </si>
  <si>
    <t>中分類</t>
  </si>
  <si>
    <t>大分類</t>
  </si>
  <si>
    <t>現金</t>
  </si>
  <si>
    <t>現金及び預金</t>
  </si>
  <si>
    <t>現金・預金</t>
  </si>
  <si>
    <t>流動資産</t>
  </si>
  <si>
    <t>資産</t>
  </si>
  <si>
    <t>ＰａｙＰａｙ銀行（API）</t>
  </si>
  <si>
    <t>GMO 普通預金 1778792</t>
  </si>
  <si>
    <t>【使用不可】GMOあおぞらネット（法人）（API）</t>
  </si>
  <si>
    <t>GMOあおぞらネット（法人）（API） 101 法人営業部 普通預金（有利息） ***0725</t>
  </si>
  <si>
    <t>三井住友（法人）（API） 新宿西口支店 普通 ***0552</t>
  </si>
  <si>
    <t>GMOあおぞらネット（法人）（API） 102 法人第二営業部 普通預金（有利息） ***6117</t>
  </si>
  <si>
    <t>GMOあおぞらネット（法人）（API） 102 法人第二営業部 普通預金（有利息） ***9287</t>
  </si>
  <si>
    <t>【使用不可】GMOあおぞらネット（法人）（API） 102 法人第二営業部 普通預金（有利息） ***1774</t>
  </si>
  <si>
    <t>GMOあおぞらネット（法人）（API） 102 法人第二営業部 普通預金（有利息） ***8904</t>
  </si>
  <si>
    <t>【使用不可】GMOあおぞらネット（法人）（API） 102 法人第二営業部 普通預金（有利息） ***8915</t>
  </si>
  <si>
    <t>GMOあおぞらネット（法人）（API） 102 法人第二営業部 普通預金（有利息） ***8926</t>
  </si>
  <si>
    <t>GMOあおぞらネット（法人）（API） 102 法人第二営業部 普通預金（有利息） ***8937</t>
  </si>
  <si>
    <t>【使用不可】GMOあおぞらネット（法人）（API） 102 法人第二営業部 普通預金（有利息） ***8948</t>
  </si>
  <si>
    <t>【使用不可】GMOあおぞらネット（法人）（API） 102 法人第二営業部 普通預金（有利息） ***8881</t>
  </si>
  <si>
    <t>三井住友（法人）（API） ｼﾝｼﾞﾕｸﾆｼｸﾞﾁ 普通 ******9992</t>
  </si>
  <si>
    <t>ＰａｙＰａｙ銀行（API） 005 普通 ***6284</t>
  </si>
  <si>
    <t>GMOあおぞらネット（法人）（API） 102 法人第二営業部 普通預金（有利息） ***2868</t>
  </si>
  <si>
    <t>GMOあおぞらネット（法人）（API） 102 法人第二営業部 普通預金（有利息） ***6741</t>
  </si>
  <si>
    <t>【使用不可】三井住友（法人）（API）</t>
  </si>
  <si>
    <t>VO_北國_2431</t>
  </si>
  <si>
    <t>三井住友_新宿西口_4950494</t>
  </si>
  <si>
    <t>受取手形</t>
  </si>
  <si>
    <t>売上債権</t>
  </si>
  <si>
    <t>不渡手形</t>
  </si>
  <si>
    <t>売掛金</t>
  </si>
  <si>
    <t>貸倒引当金(売)</t>
  </si>
  <si>
    <t>完成工事未収入金</t>
  </si>
  <si>
    <t>有価証券</t>
  </si>
  <si>
    <t>商品</t>
  </si>
  <si>
    <t>棚卸資産</t>
  </si>
  <si>
    <t>製品</t>
  </si>
  <si>
    <t>副産物作業くず</t>
  </si>
  <si>
    <t>半製品</t>
  </si>
  <si>
    <t>原材料</t>
  </si>
  <si>
    <t>仕掛品</t>
  </si>
  <si>
    <t>貯蔵品</t>
  </si>
  <si>
    <t>未成工事支出金</t>
  </si>
  <si>
    <t>前渡金</t>
  </si>
  <si>
    <t>他流動資産</t>
  </si>
  <si>
    <t>立替金</t>
  </si>
  <si>
    <t>【使用不可】VC</t>
  </si>
  <si>
    <t>前払費用</t>
  </si>
  <si>
    <t>【使用不可】VS</t>
  </si>
  <si>
    <t>繰延税金資産(流)</t>
  </si>
  <si>
    <t>未収収益</t>
  </si>
  <si>
    <t>短期貸付金</t>
  </si>
  <si>
    <t>未収還付法人税等</t>
  </si>
  <si>
    <t>役員貸付金</t>
  </si>
  <si>
    <t>未収入金</t>
  </si>
  <si>
    <t>関係会社未収入金</t>
  </si>
  <si>
    <t>仮払金</t>
  </si>
  <si>
    <t>預け金</t>
  </si>
  <si>
    <t>仮払消費税</t>
  </si>
  <si>
    <t>貸倒引当金(他)</t>
  </si>
  <si>
    <t>建物</t>
  </si>
  <si>
    <t>有形固定資産</t>
  </si>
  <si>
    <t>固定資産</t>
  </si>
  <si>
    <t>附属設備</t>
  </si>
  <si>
    <t>構築物</t>
  </si>
  <si>
    <t>機械装置</t>
  </si>
  <si>
    <t>車両運搬具</t>
  </si>
  <si>
    <t>工具器具備品</t>
  </si>
  <si>
    <t>一括償却資産</t>
  </si>
  <si>
    <t>減価償却累計額</t>
  </si>
  <si>
    <t>土地</t>
  </si>
  <si>
    <t>建設仮勘定</t>
  </si>
  <si>
    <t>原盤権</t>
  </si>
  <si>
    <t>無形固定資産</t>
  </si>
  <si>
    <t>ソフトウェア仮勘定</t>
  </si>
  <si>
    <t>電話加入権</t>
  </si>
  <si>
    <t>施設利用権</t>
  </si>
  <si>
    <t>工業所有権</t>
  </si>
  <si>
    <t>営業権</t>
  </si>
  <si>
    <t>借地権</t>
  </si>
  <si>
    <t>のれん</t>
  </si>
  <si>
    <t>ソフトウェア</t>
  </si>
  <si>
    <t>投資有価証券</t>
  </si>
  <si>
    <t>投資その他の資産</t>
  </si>
  <si>
    <t>関係会社株式</t>
  </si>
  <si>
    <t>出資金</t>
  </si>
  <si>
    <t>関係会社出資金</t>
  </si>
  <si>
    <t>敷金</t>
  </si>
  <si>
    <t>差入保証金</t>
  </si>
  <si>
    <t>長期貸付金</t>
  </si>
  <si>
    <t>長期固定性預金</t>
  </si>
  <si>
    <t>長期滞留債権</t>
  </si>
  <si>
    <t>長期前払費用</t>
  </si>
  <si>
    <t>繰延税金資産(固)</t>
  </si>
  <si>
    <t>繰延税金資産</t>
  </si>
  <si>
    <t>預託金</t>
  </si>
  <si>
    <t>貸倒引当金(投)</t>
  </si>
  <si>
    <t>保険積立金</t>
  </si>
  <si>
    <t>創立費</t>
  </si>
  <si>
    <t>繰延資産</t>
  </si>
  <si>
    <t>権利金</t>
  </si>
  <si>
    <t>開業費</t>
  </si>
  <si>
    <t>開発費</t>
  </si>
  <si>
    <t>複合</t>
  </si>
  <si>
    <t>諸口</t>
  </si>
  <si>
    <t>未確定勘定</t>
  </si>
  <si>
    <t>支払手形</t>
  </si>
  <si>
    <t>仕入債務</t>
  </si>
  <si>
    <t>負債</t>
  </si>
  <si>
    <t>負債及び純資産</t>
  </si>
  <si>
    <t>工事未払金</t>
  </si>
  <si>
    <t>買掛金</t>
  </si>
  <si>
    <t>前受金</t>
  </si>
  <si>
    <t>他流動負債</t>
  </si>
  <si>
    <t>設備支払手形</t>
  </si>
  <si>
    <t>設備関係支払手形</t>
  </si>
  <si>
    <t>短期借入金</t>
  </si>
  <si>
    <t>役員借入金</t>
  </si>
  <si>
    <t>1年内返済予定の長期借入金</t>
  </si>
  <si>
    <t>未払金</t>
  </si>
  <si>
    <t>関係会社未払金</t>
  </si>
  <si>
    <t>未払費用</t>
  </si>
  <si>
    <t>未払配当金</t>
  </si>
  <si>
    <t>【使用不可】Amazonビジネス（API）</t>
  </si>
  <si>
    <t>【使用不可】セゾンカード</t>
  </si>
  <si>
    <t>セゾンカード1</t>
  </si>
  <si>
    <t>freee MasterCard</t>
  </si>
  <si>
    <t>バクラクビジネスカード</t>
  </si>
  <si>
    <t>未払役員賞与</t>
  </si>
  <si>
    <t>未払法人税等</t>
  </si>
  <si>
    <t>未払事業税等</t>
  </si>
  <si>
    <t>未払消費税等</t>
  </si>
  <si>
    <t>繰延税金負債(流)</t>
  </si>
  <si>
    <t>預り金</t>
  </si>
  <si>
    <t>賞与引当金</t>
  </si>
  <si>
    <t>前受収益</t>
  </si>
  <si>
    <t>仮受金</t>
  </si>
  <si>
    <t>預り保証金</t>
  </si>
  <si>
    <t>割引手形</t>
  </si>
  <si>
    <t>裏書手形</t>
  </si>
  <si>
    <t>仮受消費税</t>
  </si>
  <si>
    <t>仮受消費税等</t>
  </si>
  <si>
    <t>未成工事受入金</t>
  </si>
  <si>
    <t>長期借入金</t>
  </si>
  <si>
    <t>固定負債</t>
  </si>
  <si>
    <t>長期未払金</t>
  </si>
  <si>
    <t>繰延税金負債(固)</t>
  </si>
  <si>
    <t>退職給付引当金</t>
  </si>
  <si>
    <t>資本金</t>
  </si>
  <si>
    <t>純資産</t>
  </si>
  <si>
    <t>新株式申込証拠金</t>
  </si>
  <si>
    <t>資本準備金</t>
  </si>
  <si>
    <t>資本金及び準備金減少差益</t>
  </si>
  <si>
    <t>その他資本剰余金</t>
  </si>
  <si>
    <t>自己株処分差益</t>
  </si>
  <si>
    <t>利益準備金</t>
  </si>
  <si>
    <t>別途積立金</t>
  </si>
  <si>
    <t>任意積立金</t>
  </si>
  <si>
    <t>繰越利益剰余金</t>
  </si>
  <si>
    <t>自己株式</t>
  </si>
  <si>
    <t>自己株式申込証拠金</t>
  </si>
  <si>
    <t>その他有価証券評価差額金</t>
  </si>
  <si>
    <t>他有価証券評価差額金</t>
  </si>
  <si>
    <t>繰延ヘッジ損益</t>
  </si>
  <si>
    <t>土地再評価差額金</t>
  </si>
  <si>
    <t>新株予約権</t>
  </si>
  <si>
    <t>損益</t>
  </si>
  <si>
    <t>振替</t>
  </si>
  <si>
    <t>売上値引高</t>
  </si>
  <si>
    <t>売上戻り高</t>
  </si>
  <si>
    <t>売上割戻し高</t>
  </si>
  <si>
    <t>役務収益</t>
  </si>
  <si>
    <t>前年度繰越収益</t>
  </si>
  <si>
    <t>完成工事高</t>
  </si>
  <si>
    <t>棚卸資産廃棄損</t>
  </si>
  <si>
    <t>仕入値引高</t>
  </si>
  <si>
    <t>仕入戻し高</t>
  </si>
  <si>
    <t>【使用不可】給料手当 原</t>
  </si>
  <si>
    <t>仕入割戻し高</t>
  </si>
  <si>
    <t>給料手当(原)【202604以後使用禁止】</t>
  </si>
  <si>
    <t>【使用不可】外注費 源原</t>
  </si>
  <si>
    <t>法定福利費(原)【202604以後使用禁止】</t>
  </si>
  <si>
    <t>荷造運賃(原)【使用禁止】</t>
  </si>
  <si>
    <t>支払手数料(原)【使用禁止】</t>
  </si>
  <si>
    <t>前年度繰越費用</t>
  </si>
  <si>
    <t>棚卸資産評価損</t>
  </si>
  <si>
    <t>役員賞与</t>
  </si>
  <si>
    <t>雑給</t>
  </si>
  <si>
    <t>退職金</t>
  </si>
  <si>
    <t>退職給付繰入額</t>
  </si>
  <si>
    <t>退職給付引当金繰入額</t>
  </si>
  <si>
    <t>研究開発費</t>
  </si>
  <si>
    <t>【使用不可】外注費 源販</t>
  </si>
  <si>
    <t>販売手数料</t>
  </si>
  <si>
    <t>会場費</t>
  </si>
  <si>
    <t>事務用品費</t>
  </si>
  <si>
    <t>事務用消耗品費</t>
  </si>
  <si>
    <t>寄付金</t>
  </si>
  <si>
    <t>新聞図書費</t>
  </si>
  <si>
    <t>燃料費</t>
  </si>
  <si>
    <t>繰延資産償却(販)</t>
  </si>
  <si>
    <t>貸倒損失(販)</t>
  </si>
  <si>
    <t>長期前払費用償却</t>
  </si>
  <si>
    <t>管理諸費</t>
  </si>
  <si>
    <t>受取配当金</t>
  </si>
  <si>
    <t>仕入割引</t>
  </si>
  <si>
    <t>割引料</t>
  </si>
  <si>
    <t>貸倒損失(外)</t>
  </si>
  <si>
    <t>売上割引</t>
  </si>
  <si>
    <t>有価証券売却損</t>
  </si>
  <si>
    <t>繰延資産償却(外)</t>
  </si>
  <si>
    <t>貸倒繰入額(外)</t>
  </si>
  <si>
    <t>手形売却損</t>
  </si>
  <si>
    <t>貸倒引当金戻入額</t>
  </si>
  <si>
    <t>投資有価証券売却益</t>
  </si>
  <si>
    <t>販管費</t>
  </si>
  <si>
    <t>入学金収入</t>
  </si>
  <si>
    <t>授業料等収入</t>
  </si>
  <si>
    <t>商品売上</t>
  </si>
  <si>
    <t>興行売上</t>
  </si>
  <si>
    <t>出演料売上</t>
  </si>
  <si>
    <t>ロイヤリティ売上</t>
  </si>
  <si>
    <t>ライブハウス売上</t>
  </si>
  <si>
    <t>飲食売上</t>
  </si>
  <si>
    <t>手数料等売上</t>
  </si>
  <si>
    <t>受託業務収入</t>
  </si>
  <si>
    <t>選考料収入</t>
  </si>
  <si>
    <t>その他売上</t>
  </si>
  <si>
    <t>教材費</t>
  </si>
  <si>
    <t>制作費</t>
  </si>
  <si>
    <t>商品仕入</t>
  </si>
  <si>
    <t>飲食仕入</t>
  </si>
  <si>
    <t>講師給与手当</t>
  </si>
  <si>
    <t>コマ講師費用</t>
  </si>
  <si>
    <t>講師法定福利費</t>
  </si>
  <si>
    <t>講師通勤費</t>
  </si>
  <si>
    <t>給与手当</t>
  </si>
  <si>
    <t>派遣社員費用</t>
  </si>
  <si>
    <t>通勤費</t>
  </si>
  <si>
    <t>修繕維持管理費</t>
  </si>
  <si>
    <t>配送費</t>
  </si>
  <si>
    <t>入学推進費</t>
  </si>
  <si>
    <t>制作出資費用</t>
  </si>
  <si>
    <t>イベント費</t>
  </si>
  <si>
    <t>ソフトウェア等利用料</t>
  </si>
  <si>
    <t>手数料</t>
  </si>
  <si>
    <t>旅費</t>
  </si>
  <si>
    <t>月次推移：損益計算書_株式会社代々木アニメーション学院（期間：2026年04月〜2027年03月、表示単位：円）</t>
  </si>
  <si>
    <t>配信売上</t>
  </si>
  <si>
    <t>表示科目</t>
  </si>
  <si>
    <t>該当科目</t>
  </si>
  <si>
    <t>2026-04</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</si>
</sst>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
    <numFmt numFmtId="165" formatCode="yyyy-m"/>
    <numFmt numFmtId="166" formatCode="#,###,##0_);\(#,###,##0\);0"/>
    <numFmt numFmtId="167" formatCode="#,#####0_);(#,#####0);0"/>
    <numFmt numFmtId="168" formatCode="0.0000%"/>
    <numFmt numFmtId="169" formatCode="yyyy年m月"/>
  </numFmts>
  <fonts count="30">
    <font>
      <sz val="10.0"/>
      <color rgb="FF000000"/>
      <name val="Arial"/>
      <scheme val="minor"/>
    </font>
    <font>
      <b/>
      <color theme="1"/>
      <name val="Arial"/>
    </font>
    <font>
      <color theme="1"/>
      <name val="Arial"/>
    </font>
    <font>
      <b/>
      <sz val="9.0"/>
      <color theme="1"/>
      <name val="Arial"/>
    </font>
    <font>
      <sz val="9.0"/>
      <color theme="1"/>
      <name val="Arial"/>
    </font>
    <font>
      <b/>
      <u/>
      <sz val="9.0"/>
      <color theme="1"/>
      <name val="Arial"/>
    </font>
    <font>
      <b/>
      <sz val="9.0"/>
      <color rgb="FF20124D"/>
      <name val="Arial"/>
    </font>
    <font>
      <b/>
      <sz val="9.0"/>
      <color rgb="FF4A86E8"/>
      <name val="Arial"/>
    </font>
    <font>
      <b/>
      <u/>
      <sz val="9.0"/>
      <color theme="1"/>
      <name val="Arial"/>
    </font>
    <font>
      <u/>
      <sz val="9.0"/>
      <color rgb="FF1155CC"/>
      <name val="Arial"/>
    </font>
    <font>
      <i/>
      <sz val="9.0"/>
      <color theme="1"/>
      <name val="Arial"/>
    </font>
    <font>
      <b/>
      <color rgb="FF4A86E8"/>
      <name val="Arial"/>
    </font>
    <font>
      <b/>
      <u/>
      <sz val="9.0"/>
      <color theme="1"/>
      <name val="Arial"/>
    </font>
    <font>
      <u/>
      <sz val="9.0"/>
      <color rgb="FF1155CC"/>
      <name val="Arial"/>
    </font>
    <font>
      <b/>
      <u/>
      <sz val="9.0"/>
      <color theme="1"/>
      <name val="Arial"/>
    </font>
    <font>
      <sz val="9.0"/>
      <color rgb="FF000000"/>
      <name val="Arial"/>
    </font>
    <font>
      <sz val="9.0"/>
      <color rgb="FF4A86E8"/>
      <name val="Arial"/>
    </font>
    <font>
      <sz val="9.0"/>
      <color rgb="FF0000FF"/>
      <name val="Arial"/>
    </font>
    <font>
      <color theme="1"/>
      <name val="Google Sans"/>
    </font>
    <font>
      <sz val="10.0"/>
      <color rgb="FF000000"/>
      <name val="Arial"/>
    </font>
    <font>
      <b/>
      <sz val="11.0"/>
      <color rgb="FF1F1F1F"/>
      <name val="Google Sans"/>
    </font>
    <font>
      <sz val="10.0"/>
      <color theme="1"/>
      <name val="Arial"/>
    </font>
    <font>
      <b/>
      <u/>
      <sz val="10.0"/>
      <color rgb="FF000000"/>
      <name val="MS PGothic"/>
    </font>
    <font>
      <sz val="10.0"/>
      <color rgb="FF000000"/>
      <name val="MS PGothic"/>
    </font>
    <font>
      <i/>
      <sz val="10.0"/>
      <color theme="1"/>
      <name val="Arial"/>
    </font>
    <font>
      <b/>
      <sz val="10.0"/>
      <color theme="1"/>
      <name val="Arial"/>
    </font>
    <font>
      <b/>
      <sz val="10.0"/>
      <color rgb="FF0000FF"/>
      <name val="Arial"/>
    </font>
    <font>
      <sz val="10.0"/>
      <color rgb="FF000000"/>
      <name val="ＭＳ ゴシック"/>
    </font>
    <font>
      <sz val="11.0"/>
      <color rgb="FF1F1F1F"/>
      <name val="Google Sans"/>
    </font>
    <font>
      <sz val="10.0"/>
      <color rgb="FF1F1F1F"/>
      <name val="Google Sans"/>
    </font>
  </fonts>
  <fills count="14">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666666"/>
        <bgColor rgb="FF666666"/>
      </patternFill>
    </fill>
    <fill>
      <patternFill patternType="solid">
        <fgColor rgb="FFF3F3F3"/>
        <bgColor rgb="FFF3F3F3"/>
      </patternFill>
    </fill>
    <fill>
      <patternFill patternType="solid">
        <fgColor rgb="FFF0F4F9"/>
        <bgColor rgb="FFF0F4F9"/>
      </patternFill>
    </fill>
    <fill>
      <patternFill patternType="solid">
        <fgColor rgb="FFDDE3EA"/>
        <bgColor rgb="FFDDE3EA"/>
      </patternFill>
    </fill>
    <fill>
      <patternFill patternType="solid">
        <fgColor rgb="FFCFE2F3"/>
        <bgColor rgb="FFCFE2F3"/>
      </patternFill>
    </fill>
  </fills>
  <borders count="9">
    <border/>
    <border>
      <top style="thin">
        <color rgb="FF666666"/>
      </top>
    </border>
    <border>
      <bottom style="medium">
        <color rgb="FF666666"/>
      </bottom>
    </border>
    <border>
      <top style="medium">
        <color rgb="FF666666"/>
      </top>
    </border>
    <border>
      <left/>
      <right/>
      <top/>
      <bottom/>
    </border>
    <border>
      <bottom style="thin">
        <color rgb="FF000000"/>
      </bottom>
    </border>
    <border>
      <left/>
      <right/>
      <top/>
      <bottom style="thin">
        <color rgb="FF000000"/>
      </bottom>
    </border>
    <border>
      <top style="thin">
        <color rgb="FF000000"/>
      </top>
    </border>
    <border>
      <left/>
      <right/>
      <top style="thin">
        <color rgb="FF000000"/>
      </top>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165" xfId="0" applyFont="1" applyNumberFormat="1"/>
    <xf borderId="0" fillId="0" fontId="3" numFmtId="0" xfId="0" applyAlignment="1" applyFont="1">
      <alignment vertical="bottom"/>
    </xf>
    <xf borderId="0" fillId="0" fontId="2" numFmtId="3" xfId="0" applyAlignment="1" applyFont="1" applyNumberFormat="1">
      <alignment vertical="bottom"/>
    </xf>
    <xf borderId="0" fillId="0" fontId="4" numFmtId="3" xfId="0" applyAlignment="1" applyFont="1" applyNumberFormat="1">
      <alignment horizontal="right" vertical="bottom"/>
    </xf>
    <xf borderId="1" fillId="0" fontId="3" numFmtId="0" xfId="0" applyAlignment="1" applyBorder="1" applyFont="1">
      <alignment vertical="bottom"/>
    </xf>
    <xf borderId="1" fillId="0" fontId="2" numFmtId="3" xfId="0" applyAlignment="1" applyBorder="1" applyFont="1" applyNumberFormat="1">
      <alignment vertical="bottom"/>
    </xf>
    <xf borderId="1" fillId="0" fontId="4" numFmtId="3" xfId="0" applyAlignment="1" applyBorder="1" applyFont="1" applyNumberFormat="1">
      <alignment horizontal="right" vertical="bottom"/>
    </xf>
    <xf borderId="0" fillId="0" fontId="2" numFmtId="0" xfId="0" applyAlignment="1" applyFont="1">
      <alignment vertical="bottom"/>
    </xf>
    <xf borderId="0" fillId="0" fontId="5" numFmtId="0" xfId="0" applyAlignment="1" applyFont="1">
      <alignment vertical="bottom"/>
    </xf>
    <xf borderId="0" fillId="0" fontId="2" numFmtId="49" xfId="0" applyAlignment="1" applyFont="1" applyNumberFormat="1">
      <alignment vertical="bottom"/>
    </xf>
    <xf borderId="2" fillId="0" fontId="2" numFmtId="0" xfId="0" applyAlignment="1" applyBorder="1" applyFont="1">
      <alignment vertical="bottom"/>
    </xf>
    <xf borderId="0" fillId="2" fontId="6" numFmtId="0" xfId="0" applyAlignment="1" applyFill="1" applyFont="1">
      <alignment vertical="bottom"/>
    </xf>
    <xf borderId="0" fillId="2" fontId="2" numFmtId="0" xfId="0" applyAlignment="1" applyFont="1">
      <alignment vertical="bottom"/>
    </xf>
    <xf borderId="0" fillId="0" fontId="7" numFmtId="0" xfId="0" applyAlignment="1" applyFont="1">
      <alignment vertical="bottom"/>
    </xf>
    <xf borderId="0" fillId="0" fontId="8" numFmtId="49" xfId="0" applyAlignment="1" applyFont="1" applyNumberFormat="1">
      <alignment horizontal="right" vertical="bottom"/>
    </xf>
    <xf borderId="0" fillId="0" fontId="4" numFmtId="0" xfId="0" applyAlignment="1" applyFont="1">
      <alignment vertical="bottom"/>
    </xf>
    <xf borderId="0" fillId="0" fontId="9" numFmtId="0" xfId="0" applyAlignment="1" applyFont="1">
      <alignment vertical="bottom"/>
    </xf>
    <xf borderId="0" fillId="0" fontId="4" numFmtId="0" xfId="0" applyAlignment="1" applyFont="1">
      <alignment horizontal="right" vertical="bottom"/>
    </xf>
    <xf borderId="0" fillId="0" fontId="10" numFmtId="0" xfId="0" applyAlignment="1" applyFont="1">
      <alignment vertical="bottom"/>
    </xf>
    <xf borderId="0" fillId="0" fontId="10" numFmtId="10" xfId="0" applyAlignment="1" applyFont="1" applyNumberFormat="1">
      <alignment horizontal="right" vertical="bottom"/>
    </xf>
    <xf borderId="0" fillId="0" fontId="4" numFmtId="10" xfId="0" applyAlignment="1" applyFont="1" applyNumberFormat="1">
      <alignment horizontal="right" vertical="bottom"/>
    </xf>
    <xf borderId="0" fillId="0" fontId="11" numFmtId="0" xfId="0" applyAlignment="1" applyFont="1">
      <alignment vertical="bottom"/>
    </xf>
    <xf borderId="0" fillId="3" fontId="4" numFmtId="0" xfId="0" applyAlignment="1" applyFill="1" applyFont="1">
      <alignment vertical="bottom"/>
    </xf>
    <xf borderId="0" fillId="3" fontId="2" numFmtId="0" xfId="0" applyAlignment="1" applyFont="1">
      <alignment vertical="bottom"/>
    </xf>
    <xf borderId="0" fillId="4" fontId="4" numFmtId="0" xfId="0" applyAlignment="1" applyFill="1" applyFont="1">
      <alignment vertical="bottom"/>
    </xf>
    <xf borderId="0" fillId="4" fontId="4" numFmtId="3" xfId="0" applyAlignment="1" applyFont="1" applyNumberFormat="1">
      <alignment horizontal="right" vertical="bottom"/>
    </xf>
    <xf borderId="0" fillId="5" fontId="4" numFmtId="3" xfId="0" applyAlignment="1" applyFill="1" applyFont="1" applyNumberFormat="1">
      <alignment horizontal="right" vertical="bottom"/>
    </xf>
    <xf borderId="0" fillId="6" fontId="4" numFmtId="3" xfId="0" applyAlignment="1" applyFill="1" applyFont="1" applyNumberFormat="1">
      <alignment horizontal="right" vertical="bottom"/>
    </xf>
    <xf borderId="0" fillId="7" fontId="4" numFmtId="3" xfId="0" applyAlignment="1" applyFill="1" applyFont="1" applyNumberFormat="1">
      <alignment horizontal="right" vertical="bottom"/>
    </xf>
    <xf borderId="0" fillId="8" fontId="2" numFmtId="0" xfId="0" applyAlignment="1" applyFill="1" applyFont="1">
      <alignment vertical="bottom"/>
    </xf>
    <xf borderId="0" fillId="8" fontId="2" numFmtId="3" xfId="0" applyAlignment="1" applyFont="1" applyNumberFormat="1">
      <alignment vertical="bottom"/>
    </xf>
    <xf borderId="0" fillId="0" fontId="3" numFmtId="0" xfId="0" applyAlignment="1" applyFont="1">
      <alignment horizontal="right" vertical="bottom"/>
    </xf>
    <xf borderId="0" fillId="9" fontId="2" numFmtId="0" xfId="0" applyAlignment="1" applyFill="1" applyFont="1">
      <alignment vertical="bottom"/>
    </xf>
    <xf borderId="0" fillId="0" fontId="4" numFmtId="3" xfId="0" applyAlignment="1" applyFont="1" applyNumberFormat="1">
      <alignment horizontal="center" vertical="bottom"/>
    </xf>
    <xf borderId="0" fillId="3" fontId="12" numFmtId="0" xfId="0" applyAlignment="1" applyFont="1">
      <alignment vertical="bottom"/>
    </xf>
    <xf borderId="0" fillId="0" fontId="2" numFmtId="0" xfId="0" applyFont="1"/>
    <xf borderId="0" fillId="4" fontId="2" numFmtId="0" xfId="0" applyAlignment="1" applyFont="1">
      <alignment vertical="bottom"/>
    </xf>
    <xf borderId="0" fillId="3" fontId="13" numFmtId="0" xfId="0" applyAlignment="1" applyFont="1">
      <alignment vertical="bottom"/>
    </xf>
    <xf borderId="3" fillId="0" fontId="14" numFmtId="49" xfId="0" applyAlignment="1" applyBorder="1" applyFont="1" applyNumberFormat="1">
      <alignment horizontal="right" vertical="bottom"/>
    </xf>
    <xf borderId="0" fillId="0" fontId="4" numFmtId="3" xfId="0" applyAlignment="1" applyFont="1" applyNumberFormat="1">
      <alignment vertical="bottom"/>
    </xf>
    <xf borderId="0" fillId="0" fontId="15" numFmtId="3" xfId="0" applyAlignment="1" applyFont="1" applyNumberFormat="1">
      <alignment horizontal="right" vertical="bottom"/>
    </xf>
    <xf borderId="0" fillId="7" fontId="2" numFmtId="0" xfId="0" applyFont="1"/>
    <xf borderId="0" fillId="3" fontId="2" numFmtId="0" xfId="0" applyFont="1"/>
    <xf borderId="0" fillId="3" fontId="4" numFmtId="0" xfId="0" applyAlignment="1" applyFont="1">
      <alignment horizontal="right" vertical="bottom"/>
    </xf>
    <xf borderId="0" fillId="0" fontId="1" numFmtId="0" xfId="0" applyAlignment="1" applyFont="1">
      <alignment vertical="bottom"/>
    </xf>
    <xf borderId="0" fillId="0" fontId="16" numFmtId="0" xfId="0" applyAlignment="1" applyFont="1">
      <alignment horizontal="right" vertical="bottom"/>
    </xf>
    <xf borderId="0" fillId="6" fontId="4" numFmtId="0" xfId="0" applyAlignment="1" applyFont="1">
      <alignment horizontal="right" vertical="bottom"/>
    </xf>
    <xf borderId="0" fillId="6" fontId="2" numFmtId="0" xfId="0" applyAlignment="1" applyFont="1">
      <alignment vertical="bottom"/>
    </xf>
    <xf borderId="0" fillId="0" fontId="2" numFmtId="166" xfId="0" applyAlignment="1" applyFont="1" applyNumberFormat="1">
      <alignment vertical="bottom"/>
    </xf>
    <xf borderId="0" fillId="4" fontId="3" numFmtId="0" xfId="0" applyAlignment="1" applyFont="1">
      <alignment vertical="bottom"/>
    </xf>
    <xf borderId="0" fillId="4" fontId="2" numFmtId="0" xfId="0" applyFont="1"/>
    <xf borderId="0" fillId="10" fontId="3" numFmtId="0" xfId="0" applyAlignment="1" applyFill="1" applyFont="1">
      <alignment vertical="bottom"/>
    </xf>
    <xf borderId="0" fillId="10" fontId="2" numFmtId="0" xfId="0" applyAlignment="1" applyFont="1">
      <alignment vertical="bottom"/>
    </xf>
    <xf borderId="0" fillId="0" fontId="2" numFmtId="167" xfId="0" applyAlignment="1" applyFont="1" applyNumberFormat="1">
      <alignment vertical="bottom"/>
    </xf>
    <xf borderId="0" fillId="0" fontId="17" numFmtId="167" xfId="0" applyAlignment="1" applyFont="1" applyNumberFormat="1">
      <alignment vertical="bottom"/>
    </xf>
    <xf borderId="0" fillId="0" fontId="4" numFmtId="167" xfId="0" applyAlignment="1" applyFont="1" applyNumberFormat="1">
      <alignment vertical="bottom"/>
    </xf>
    <xf borderId="0" fillId="11" fontId="18" numFmtId="0" xfId="0" applyFill="1" applyFont="1"/>
    <xf borderId="0" fillId="0" fontId="2" numFmtId="3" xfId="0" applyFont="1" applyNumberFormat="1"/>
    <xf borderId="0" fillId="0" fontId="19" numFmtId="0" xfId="0" applyFont="1"/>
    <xf borderId="0" fillId="12" fontId="20" numFmtId="0" xfId="0" applyFill="1" applyFont="1"/>
    <xf borderId="0" fillId="0" fontId="21" numFmtId="0" xfId="0" applyFont="1"/>
    <xf borderId="0" fillId="0" fontId="22" numFmtId="0" xfId="0" applyFont="1"/>
    <xf borderId="0" fillId="0" fontId="21" numFmtId="166" xfId="0" applyFont="1" applyNumberFormat="1"/>
    <xf borderId="0" fillId="0" fontId="23" numFmtId="0" xfId="0" applyFont="1"/>
    <xf borderId="0" fillId="0" fontId="21" numFmtId="10" xfId="0" applyFont="1" applyNumberFormat="1"/>
    <xf borderId="0" fillId="0" fontId="24" numFmtId="0" xfId="0" applyFont="1"/>
    <xf borderId="0" fillId="0" fontId="25" numFmtId="0" xfId="0" applyFont="1"/>
    <xf borderId="0" fillId="0" fontId="26" numFmtId="0" xfId="0" applyFont="1"/>
    <xf borderId="4" fillId="4" fontId="21" numFmtId="0" xfId="0" applyBorder="1" applyFont="1"/>
    <xf borderId="5" fillId="0" fontId="25" numFmtId="0" xfId="0" applyBorder="1" applyFont="1"/>
    <xf borderId="6" fillId="13" fontId="25" numFmtId="0" xfId="0" applyBorder="1" applyFill="1" applyFont="1"/>
    <xf borderId="6" fillId="10" fontId="25" numFmtId="0" xfId="0" applyBorder="1" applyFont="1"/>
    <xf borderId="4" fillId="13" fontId="21" numFmtId="166" xfId="0" applyBorder="1" applyFont="1" applyNumberFormat="1"/>
    <xf borderId="7" fillId="0" fontId="25" numFmtId="0" xfId="0" applyBorder="1" applyFont="1"/>
    <xf borderId="7" fillId="0" fontId="25" numFmtId="166" xfId="0" applyBorder="1" applyFont="1" applyNumberFormat="1"/>
    <xf borderId="0" fillId="0" fontId="21" numFmtId="9" xfId="0" applyFont="1" applyNumberFormat="1"/>
    <xf borderId="7" fillId="0" fontId="21" numFmtId="0" xfId="0" applyBorder="1" applyFont="1"/>
    <xf borderId="7" fillId="0" fontId="21" numFmtId="166" xfId="0" applyBorder="1" applyFont="1" applyNumberFormat="1"/>
    <xf borderId="7" fillId="0" fontId="21" numFmtId="9" xfId="0" applyBorder="1" applyFont="1" applyNumberFormat="1"/>
    <xf borderId="0" fillId="0" fontId="25" numFmtId="166" xfId="0" applyFont="1" applyNumberFormat="1"/>
    <xf borderId="0" fillId="0" fontId="2" numFmtId="168" xfId="0" applyAlignment="1" applyFont="1" applyNumberFormat="1">
      <alignment horizontal="right" vertical="bottom"/>
    </xf>
    <xf borderId="0" fillId="4" fontId="2" numFmtId="166" xfId="0" applyFont="1" applyNumberFormat="1"/>
    <xf borderId="4" fillId="3" fontId="21" numFmtId="166" xfId="0" applyBorder="1" applyFont="1" applyNumberFormat="1"/>
    <xf borderId="0" fillId="0" fontId="27" numFmtId="0" xfId="0" applyFont="1"/>
    <xf borderId="8" fillId="3" fontId="25" numFmtId="166" xfId="0" applyBorder="1" applyFont="1" applyNumberFormat="1"/>
    <xf borderId="0" fillId="0" fontId="19" numFmtId="166" xfId="0" applyFont="1" applyNumberFormat="1"/>
    <xf borderId="4" fillId="3" fontId="25" numFmtId="166" xfId="0" applyBorder="1" applyFont="1" applyNumberFormat="1"/>
    <xf borderId="0" fillId="0" fontId="19" numFmtId="38" xfId="0" applyFont="1" applyNumberFormat="1"/>
    <xf borderId="4" fillId="4" fontId="19" numFmtId="0" xfId="0" applyBorder="1" applyFont="1"/>
    <xf borderId="4" fillId="4" fontId="23" numFmtId="0" xfId="0" applyBorder="1" applyFont="1"/>
    <xf borderId="0" fillId="7" fontId="18" numFmtId="0" xfId="0" applyFont="1"/>
    <xf borderId="0" fillId="0" fontId="2" numFmtId="169" xfId="0" applyFont="1" applyNumberFormat="1"/>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0" fontId="2" numFmtId="0" xfId="0" applyAlignment="1" applyFont="1">
      <alignment horizontal="right" vertical="bottom"/>
    </xf>
    <xf borderId="0" fillId="0" fontId="21" numFmtId="0" xfId="0" applyAlignment="1" applyFont="1">
      <alignment vertical="bottom"/>
    </xf>
    <xf borderId="0" fillId="7" fontId="2" numFmtId="0" xfId="0" applyAlignment="1" applyFont="1">
      <alignment vertical="bottom"/>
    </xf>
    <xf borderId="0" fillId="7" fontId="28" numFmtId="0" xfId="0" applyFont="1"/>
    <xf borderId="0" fillId="7" fontId="29" numFmtId="0" xfId="0" applyFont="1"/>
    <xf borderId="0" fillId="0" fontId="2" numFmtId="165" xfId="0" applyAlignment="1" applyFont="1" applyNumberForma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ltEmuWGNHgPV1QcLSeuyr_7tN3PQC_V6gztPxafvUtQ/edit?usp=sharing" TargetMode="External"/><Relationship Id="rId3" Type="http://schemas.openxmlformats.org/officeDocument/2006/relationships/hyperlink" Target="https://docs.google.com/spreadsheets/d/1EZ187PR9Qoi2FmIUcZ-fmtCE_zLJFrfcxMTaAlDrBGo/edit?gid=93262643" TargetMode="External"/><Relationship Id="rId4" Type="http://schemas.openxmlformats.org/officeDocument/2006/relationships/hyperlink" Target="https://docs.google.com/spreadsheets/d/11y8kXGsJFPXUOI0bYrqwmpKJb96p53GMVCPo7pmnq4w/edit?gid=1658084189" TargetMode="External"/><Relationship Id="rId5" Type="http://schemas.openxmlformats.org/officeDocument/2006/relationships/hyperlink" Target="https://docs.google.com/spreadsheets/d/11PQuMRUTZ3w-dsuoWZOP5ejgQ0qsp6jXdlzwKQx7b5A/edit?gid=1824114713" TargetMode="External"/><Relationship Id="rId6" Type="http://schemas.openxmlformats.org/officeDocument/2006/relationships/hyperlink" Target="https://docs.google.com/spreadsheets/d/1t2cyIteu6d9JTcpy2A6G_9rGeIRS16XGsbYJPA_BFVE/edit?usp=sharing"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outlineLevelRow="1"/>
  <cols>
    <col customWidth="1" min="1" max="6" width="12.63"/>
  </cols>
  <sheetData>
    <row r="1" ht="15.75" customHeight="1"/>
    <row r="2" ht="15.75" customHeight="1">
      <c r="A2" s="1"/>
      <c r="B2" s="1" t="s">
        <v>0</v>
      </c>
      <c r="F2" s="2">
        <v>46113.0</v>
      </c>
      <c r="G2" s="2">
        <v>46143.0</v>
      </c>
      <c r="H2" s="2">
        <v>46174.0</v>
      </c>
      <c r="I2" s="2">
        <v>46204.0</v>
      </c>
      <c r="J2" s="2">
        <v>46235.0</v>
      </c>
      <c r="K2" s="2">
        <v>46266.0</v>
      </c>
      <c r="L2" s="3">
        <v>46296.0</v>
      </c>
      <c r="M2" s="3">
        <v>46327.0</v>
      </c>
      <c r="N2" s="3">
        <v>46357.0</v>
      </c>
      <c r="O2" s="2">
        <v>46388.0</v>
      </c>
      <c r="P2" s="2">
        <v>46419.0</v>
      </c>
      <c r="Q2" s="2">
        <v>46447.0</v>
      </c>
    </row>
    <row r="3" ht="15.75" customHeight="1">
      <c r="A3" s="4"/>
      <c r="B3" s="4" t="s">
        <v>1</v>
      </c>
      <c r="C3" s="5"/>
      <c r="D3" s="4" t="s">
        <v>2</v>
      </c>
      <c r="F3" s="6">
        <f t="shared" ref="F3:F4" si="1">F80</f>
        <v>1934128209</v>
      </c>
    </row>
    <row r="4" ht="15.75" customHeight="1">
      <c r="A4" s="4"/>
      <c r="B4" s="4" t="s">
        <v>3</v>
      </c>
      <c r="C4" s="5"/>
      <c r="D4" s="4" t="s">
        <v>4</v>
      </c>
      <c r="F4" s="6">
        <f t="shared" si="1"/>
      </c>
    </row>
    <row r="5" ht="15.75" customHeight="1">
      <c r="A5" s="4"/>
      <c r="B5" s="7" t="s">
        <v>5</v>
      </c>
      <c r="C5" s="8"/>
      <c r="D5" s="7" t="s">
        <v>6</v>
      </c>
      <c r="F5" s="9">
        <f>F3-F4</f>
      </c>
    </row>
    <row r="6" ht="15.75" customHeight="1">
      <c r="A6" s="4"/>
      <c r="B6" s="4" t="s">
        <v>7</v>
      </c>
      <c r="C6" s="5"/>
      <c r="D6" s="4" t="s">
        <v>7</v>
      </c>
      <c r="F6" s="6">
        <f>F83</f>
      </c>
    </row>
    <row r="7" ht="15.75" customHeight="1">
      <c r="A7" s="4"/>
      <c r="B7" s="7" t="s">
        <v>8</v>
      </c>
      <c r="C7" s="8"/>
      <c r="D7" s="7" t="s">
        <v>9</v>
      </c>
      <c r="F7" s="9">
        <f>F5-F6</f>
      </c>
    </row>
    <row r="8" ht="15.75" customHeight="1">
      <c r="A8" s="4"/>
      <c r="B8" s="4" t="s">
        <v>10</v>
      </c>
      <c r="C8" s="5"/>
      <c r="D8" s="4" t="s">
        <v>11</v>
      </c>
      <c r="F8" s="6">
        <f>F85-F86+F73</f>
      </c>
    </row>
    <row r="9" ht="15.75" customHeight="1">
      <c r="A9" s="4"/>
      <c r="B9" s="7" t="s">
        <v>12</v>
      </c>
      <c r="C9" s="8"/>
      <c r="D9" s="7" t="s">
        <v>13</v>
      </c>
      <c r="F9" s="9">
        <f>F7+F8</f>
      </c>
    </row>
    <row r="10" ht="15.75" customHeight="1">
      <c r="A10" s="10"/>
      <c r="B10" s="10"/>
      <c r="C10" s="10"/>
      <c r="D10" s="10"/>
      <c r="F10" s="10"/>
    </row>
    <row r="11" ht="15.75" customHeight="1">
      <c r="A11" s="10"/>
      <c r="B11" s="10"/>
      <c r="C11" s="10"/>
      <c r="D11" s="10"/>
      <c r="F11" s="10"/>
    </row>
    <row r="12" ht="15.75" customHeight="1">
      <c r="A12" s="11"/>
      <c r="B12" s="11" t="s">
        <v>14</v>
      </c>
      <c r="C12" s="10"/>
      <c r="D12" s="11" t="s">
        <v>15</v>
      </c>
      <c r="F12" s="2">
        <v>46113.0</v>
      </c>
    </row>
    <row r="13" ht="15.75" customHeight="1">
      <c r="A13" s="4"/>
      <c r="B13" s="4" t="s">
        <v>1</v>
      </c>
      <c r="C13" s="5"/>
      <c r="D13" s="4" t="s">
        <v>2</v>
      </c>
      <c r="F13" s="6">
        <f t="shared" ref="F13:F14" si="2">F99</f>
        <v>43119318</v>
      </c>
    </row>
    <row r="14" ht="15.75" customHeight="1">
      <c r="A14" s="4"/>
      <c r="B14" s="4" t="s">
        <v>3</v>
      </c>
      <c r="C14" s="5"/>
      <c r="D14" s="4" t="s">
        <v>4</v>
      </c>
      <c r="F14" s="6">
        <f t="shared" si="2"/>
        <v>6959949</v>
      </c>
    </row>
    <row r="15" ht="15.75" customHeight="1">
      <c r="A15" s="4"/>
      <c r="B15" s="7" t="s">
        <v>5</v>
      </c>
      <c r="C15" s="8"/>
      <c r="D15" s="7" t="s">
        <v>6</v>
      </c>
      <c r="F15" s="9">
        <f>F13-F14</f>
        <v>36159369</v>
      </c>
    </row>
    <row r="16" ht="15.75" customHeight="1">
      <c r="A16" s="4"/>
      <c r="B16" s="4" t="s">
        <v>7</v>
      </c>
      <c r="C16" s="5"/>
      <c r="D16" s="4" t="s">
        <v>7</v>
      </c>
      <c r="F16" s="6">
        <f>F102</f>
        <v>34449924</v>
      </c>
    </row>
    <row r="17" ht="15.75" customHeight="1">
      <c r="A17" s="4"/>
      <c r="B17" s="7" t="s">
        <v>8</v>
      </c>
      <c r="C17" s="8"/>
      <c r="D17" s="7" t="s">
        <v>9</v>
      </c>
      <c r="F17" s="9">
        <f>F15-F16</f>
        <v>1709445</v>
      </c>
    </row>
    <row r="18" ht="15.75" customHeight="1">
      <c r="A18" s="4"/>
      <c r="B18" s="4" t="s">
        <v>10</v>
      </c>
      <c r="C18" s="5"/>
      <c r="D18" s="4" t="s">
        <v>11</v>
      </c>
      <c r="F18" s="6">
        <f>F104-F105</f>
        <v>-42191841</v>
      </c>
    </row>
    <row r="19" ht="15.75" customHeight="1">
      <c r="A19" s="4"/>
      <c r="B19" s="7" t="s">
        <v>12</v>
      </c>
      <c r="C19" s="8"/>
      <c r="D19" s="7" t="s">
        <v>13</v>
      </c>
      <c r="F19" s="9">
        <f>F17+F18</f>
        <v>-40482396</v>
      </c>
    </row>
    <row r="20" ht="15.75" customHeight="1">
      <c r="A20" s="10"/>
      <c r="B20" s="10"/>
      <c r="C20" s="10"/>
      <c r="D20" s="10"/>
      <c r="F20" s="10"/>
    </row>
    <row r="21" ht="15.75" customHeight="1">
      <c r="A21" s="10"/>
      <c r="B21" s="10"/>
      <c r="C21" s="10"/>
      <c r="D21" s="10"/>
      <c r="F21" s="10"/>
    </row>
    <row r="22" ht="15.75" customHeight="1">
      <c r="A22" s="11"/>
      <c r="B22" s="11" t="s">
        <v>16</v>
      </c>
      <c r="C22" s="10"/>
      <c r="D22" s="11" t="s">
        <v>16</v>
      </c>
      <c r="F22" s="2">
        <v>46113.0</v>
      </c>
    </row>
    <row r="23" ht="15.75" customHeight="1">
      <c r="A23" s="4"/>
      <c r="B23" s="4" t="s">
        <v>1</v>
      </c>
      <c r="C23" s="5"/>
      <c r="D23" s="4" t="s">
        <v>2</v>
      </c>
      <c r="F23" s="6">
        <f t="shared" ref="F23:F27" si="3">F117</f>
        <v>21265200</v>
      </c>
    </row>
    <row r="24" ht="15.75" customHeight="1">
      <c r="A24" s="4"/>
      <c r="B24" s="4" t="s">
        <v>3</v>
      </c>
      <c r="C24" s="5"/>
      <c r="D24" s="4" t="s">
        <v>4</v>
      </c>
      <c r="F24" s="6">
        <f t="shared" si="3"/>
        <v>13187465</v>
      </c>
    </row>
    <row r="25" ht="15.75" customHeight="1">
      <c r="A25" s="4"/>
      <c r="B25" s="7" t="s">
        <v>5</v>
      </c>
      <c r="C25" s="8"/>
      <c r="D25" s="7" t="s">
        <v>6</v>
      </c>
      <c r="F25" s="9">
        <f t="shared" si="3"/>
        <v>8077735</v>
      </c>
    </row>
    <row r="26" ht="15.75" customHeight="1">
      <c r="A26" s="4"/>
      <c r="B26" s="4" t="s">
        <v>7</v>
      </c>
      <c r="C26" s="5"/>
      <c r="D26" s="4" t="s">
        <v>7</v>
      </c>
      <c r="F26" s="6">
        <f t="shared" si="3"/>
        <v>2532557</v>
      </c>
    </row>
    <row r="27" ht="15.75" customHeight="1">
      <c r="A27" s="4"/>
      <c r="B27" s="7" t="s">
        <v>8</v>
      </c>
      <c r="C27" s="8"/>
      <c r="D27" s="7" t="s">
        <v>9</v>
      </c>
      <c r="F27" s="9">
        <f t="shared" si="3"/>
        <v>5545178</v>
      </c>
    </row>
    <row r="28" ht="15.75" customHeight="1">
      <c r="A28" s="4"/>
      <c r="B28" s="4" t="s">
        <v>10</v>
      </c>
      <c r="C28" s="5"/>
      <c r="D28" s="4" t="s">
        <v>11</v>
      </c>
      <c r="F28" s="6">
        <f>F122-F123</f>
        <v>-7238</v>
      </c>
    </row>
    <row r="29" ht="15.75" customHeight="1">
      <c r="A29" s="4"/>
      <c r="B29" s="7" t="s">
        <v>12</v>
      </c>
      <c r="C29" s="8"/>
      <c r="D29" s="7" t="s">
        <v>13</v>
      </c>
      <c r="F29" s="9">
        <f>F124</f>
        <v>5537940</v>
      </c>
    </row>
    <row r="30" ht="15.75" customHeight="1">
      <c r="A30" s="10"/>
      <c r="B30" s="10"/>
      <c r="C30" s="10"/>
      <c r="D30" s="10"/>
      <c r="F30" s="10"/>
    </row>
    <row r="31" ht="15.75" customHeight="1">
      <c r="A31" s="10"/>
      <c r="B31" s="10"/>
      <c r="C31" s="10"/>
      <c r="D31" s="10"/>
      <c r="F31" s="10"/>
    </row>
    <row r="32" ht="15.75" customHeight="1">
      <c r="A32" s="11"/>
      <c r="B32" s="11" t="s">
        <v>17</v>
      </c>
      <c r="C32" s="10"/>
      <c r="D32" s="11" t="s">
        <v>18</v>
      </c>
      <c r="F32" s="2">
        <v>46113.0</v>
      </c>
    </row>
    <row r="33" ht="15.75" customHeight="1">
      <c r="A33" s="4"/>
      <c r="B33" s="4" t="s">
        <v>1</v>
      </c>
      <c r="C33" s="5"/>
      <c r="D33" s="4" t="s">
        <v>2</v>
      </c>
      <c r="F33" s="6">
        <f t="shared" ref="F33:F37" si="4">F135</f>
        <v>136063159</v>
      </c>
    </row>
    <row r="34" ht="15.75" customHeight="1">
      <c r="A34" s="4"/>
      <c r="B34" s="4" t="s">
        <v>3</v>
      </c>
      <c r="C34" s="5"/>
      <c r="D34" s="4" t="s">
        <v>4</v>
      </c>
      <c r="F34" s="6">
        <f t="shared" si="4"/>
        <v>157236848</v>
      </c>
    </row>
    <row r="35" ht="15.75" customHeight="1">
      <c r="A35" s="4"/>
      <c r="B35" s="7" t="s">
        <v>5</v>
      </c>
      <c r="C35" s="8"/>
      <c r="D35" s="7" t="s">
        <v>6</v>
      </c>
      <c r="F35" s="9">
        <f t="shared" si="4"/>
        <v>-21173689</v>
      </c>
    </row>
    <row r="36" ht="15.75" customHeight="1">
      <c r="A36" s="4"/>
      <c r="B36" s="4" t="s">
        <v>7</v>
      </c>
      <c r="C36" s="5"/>
      <c r="D36" s="4" t="s">
        <v>7</v>
      </c>
      <c r="F36" s="6">
        <f t="shared" si="4"/>
      </c>
    </row>
    <row r="37" ht="15.75" customHeight="1">
      <c r="A37" s="4"/>
      <c r="B37" s="7" t="s">
        <v>8</v>
      </c>
      <c r="C37" s="8"/>
      <c r="D37" s="7" t="s">
        <v>9</v>
      </c>
      <c r="F37" s="9">
        <f t="shared" si="4"/>
      </c>
    </row>
    <row r="38" ht="15.75" customHeight="1">
      <c r="A38" s="4"/>
      <c r="B38" s="4" t="s">
        <v>10</v>
      </c>
      <c r="C38" s="5"/>
      <c r="D38" s="4" t="s">
        <v>11</v>
      </c>
      <c r="F38" s="6">
        <f>F140-F141</f>
      </c>
    </row>
    <row r="39" ht="15.75" customHeight="1">
      <c r="A39" s="4"/>
      <c r="B39" s="7" t="s">
        <v>12</v>
      </c>
      <c r="C39" s="8"/>
      <c r="D39" s="7" t="s">
        <v>13</v>
      </c>
      <c r="F39" s="9">
        <f>F142</f>
      </c>
    </row>
    <row r="40" ht="15.75" customHeight="1">
      <c r="A40" s="10"/>
      <c r="B40" s="10"/>
      <c r="C40" s="10"/>
      <c r="D40" s="10"/>
      <c r="F40" s="10"/>
    </row>
    <row r="41" ht="15.75" customHeight="1">
      <c r="A41" s="10"/>
      <c r="B41" s="10"/>
      <c r="C41" s="10"/>
      <c r="D41" s="10"/>
      <c r="F41" s="10"/>
    </row>
    <row r="42" ht="15.75" customHeight="1">
      <c r="A42" s="11"/>
      <c r="B42" s="11" t="s">
        <v>19</v>
      </c>
      <c r="C42" s="10"/>
      <c r="D42" s="10"/>
      <c r="F42" s="2">
        <v>46113.0</v>
      </c>
    </row>
    <row r="43" ht="15.75" customHeight="1">
      <c r="A43" s="4"/>
      <c r="B43" s="4" t="s">
        <v>1</v>
      </c>
      <c r="C43" s="5"/>
      <c r="D43" s="4" t="s">
        <v>2</v>
      </c>
      <c r="F43" s="6">
        <f t="shared" ref="F43:F47" si="5">F160</f>
        <v>0</v>
      </c>
    </row>
    <row r="44" ht="15.75" customHeight="1">
      <c r="A44" s="4"/>
      <c r="B44" s="4" t="s">
        <v>3</v>
      </c>
      <c r="C44" s="5"/>
      <c r="D44" s="4" t="s">
        <v>4</v>
      </c>
      <c r="F44" s="6">
        <f t="shared" si="5"/>
      </c>
    </row>
    <row r="45" ht="15.75" customHeight="1">
      <c r="A45" s="4"/>
      <c r="B45" s="7" t="s">
        <v>5</v>
      </c>
      <c r="C45" s="8"/>
      <c r="D45" s="7" t="s">
        <v>6</v>
      </c>
      <c r="F45" s="9">
        <f t="shared" si="5"/>
      </c>
    </row>
    <row r="46" ht="15.75" customHeight="1">
      <c r="A46" s="4"/>
      <c r="B46" s="4" t="s">
        <v>7</v>
      </c>
      <c r="C46" s="5"/>
      <c r="D46" s="4" t="s">
        <v>7</v>
      </c>
      <c r="F46" s="6">
        <f t="shared" si="5"/>
      </c>
    </row>
    <row r="47" ht="15.75" customHeight="1">
      <c r="A47" s="4"/>
      <c r="B47" s="7" t="s">
        <v>8</v>
      </c>
      <c r="C47" s="8"/>
      <c r="D47" s="7" t="s">
        <v>9</v>
      </c>
      <c r="F47" s="9">
        <f t="shared" si="5"/>
      </c>
    </row>
    <row r="48" ht="15.75" customHeight="1">
      <c r="A48" s="4"/>
      <c r="B48" s="4" t="s">
        <v>10</v>
      </c>
      <c r="C48" s="5"/>
      <c r="D48" s="4" t="s">
        <v>11</v>
      </c>
      <c r="F48" s="6">
        <f>F165-F166</f>
      </c>
    </row>
    <row r="49" ht="15.75" customHeight="1">
      <c r="A49" s="4"/>
      <c r="B49" s="7" t="s">
        <v>12</v>
      </c>
      <c r="C49" s="8"/>
      <c r="D49" s="7" t="s">
        <v>13</v>
      </c>
      <c r="F49" s="9">
        <f>F167</f>
      </c>
    </row>
    <row r="50" ht="15.75" customHeight="1">
      <c r="A50" s="10"/>
      <c r="B50" s="10"/>
      <c r="C50" s="10"/>
      <c r="D50" s="10"/>
      <c r="F50" s="10"/>
    </row>
    <row r="51" ht="15.75" customHeight="1">
      <c r="A51" s="10"/>
      <c r="B51" s="10"/>
      <c r="C51" s="10"/>
      <c r="D51" s="10"/>
      <c r="F51" s="12"/>
    </row>
    <row r="52" ht="15.75" customHeight="1">
      <c r="A52" s="11"/>
      <c r="B52" s="11" t="s">
        <v>20</v>
      </c>
      <c r="C52" s="10"/>
      <c r="D52" s="10"/>
      <c r="F52" s="2">
        <v>46113.0</v>
      </c>
    </row>
    <row r="53" ht="15.75" customHeight="1">
      <c r="A53" s="4"/>
      <c r="B53" s="4" t="s">
        <v>1</v>
      </c>
      <c r="C53" s="5"/>
      <c r="D53" s="4" t="s">
        <v>2</v>
      </c>
      <c r="F53" s="6">
        <f t="shared" ref="F53:F57" si="6">F194</f>
        <v>0</v>
      </c>
    </row>
    <row r="54" ht="15.75" customHeight="1">
      <c r="A54" s="4"/>
      <c r="B54" s="4" t="s">
        <v>3</v>
      </c>
      <c r="C54" s="5"/>
      <c r="D54" s="4" t="s">
        <v>4</v>
      </c>
      <c r="F54" s="6">
        <f t="shared" si="6"/>
        <v>0</v>
      </c>
    </row>
    <row r="55" ht="15.75" customHeight="1">
      <c r="A55" s="4"/>
      <c r="B55" s="7" t="s">
        <v>5</v>
      </c>
      <c r="C55" s="8"/>
      <c r="D55" s="7" t="s">
        <v>6</v>
      </c>
      <c r="F55" s="9">
        <f t="shared" si="6"/>
        <v>0</v>
      </c>
    </row>
    <row r="56" ht="15.75" customHeight="1">
      <c r="A56" s="4"/>
      <c r="B56" s="4" t="s">
        <v>7</v>
      </c>
      <c r="C56" s="5"/>
      <c r="D56" s="4" t="s">
        <v>7</v>
      </c>
      <c r="F56" s="6">
        <f t="shared" si="6"/>
        <v>0</v>
      </c>
    </row>
    <row r="57" ht="15.75" customHeight="1">
      <c r="A57" s="4"/>
      <c r="B57" s="7" t="s">
        <v>8</v>
      </c>
      <c r="C57" s="8"/>
      <c r="D57" s="7" t="s">
        <v>9</v>
      </c>
      <c r="F57" s="9">
        <f t="shared" si="6"/>
        <v>0</v>
      </c>
    </row>
    <row r="58" ht="15.75" customHeight="1">
      <c r="A58" s="4"/>
      <c r="B58" s="4" t="s">
        <v>10</v>
      </c>
      <c r="C58" s="5"/>
      <c r="D58" s="4" t="s">
        <v>11</v>
      </c>
      <c r="F58" s="6">
        <f>F199-F200</f>
        <v>0</v>
      </c>
    </row>
    <row r="59" ht="15.75" customHeight="1">
      <c r="A59" s="4"/>
      <c r="B59" s="7" t="s">
        <v>12</v>
      </c>
      <c r="C59" s="8"/>
      <c r="D59" s="7" t="s">
        <v>13</v>
      </c>
      <c r="F59" s="9">
        <f>F201</f>
        <v>0</v>
      </c>
    </row>
    <row r="60" ht="15.75" customHeight="1">
      <c r="A60" s="10"/>
      <c r="B60" s="10"/>
      <c r="C60" s="10"/>
      <c r="D60" s="10"/>
      <c r="F60" s="12"/>
    </row>
    <row r="61" ht="15.75" customHeight="1">
      <c r="A61" s="10"/>
      <c r="B61" s="10"/>
      <c r="C61" s="10"/>
      <c r="D61" s="10"/>
      <c r="F61" s="12"/>
    </row>
    <row r="62" ht="15.75" customHeight="1">
      <c r="A62" s="11"/>
      <c r="B62" s="11" t="s">
        <v>21</v>
      </c>
      <c r="C62" s="10"/>
      <c r="D62" s="10"/>
      <c r="F62" s="2">
        <v>46113.0</v>
      </c>
    </row>
    <row r="63" ht="15.75" customHeight="1">
      <c r="A63" s="4"/>
      <c r="B63" s="4" t="s">
        <v>1</v>
      </c>
      <c r="C63" s="5"/>
      <c r="D63" s="4" t="s">
        <v>2</v>
      </c>
      <c r="F63" s="6">
        <f t="shared" ref="F63:F67" si="7">F177</f>
        <v>1733680532</v>
      </c>
    </row>
    <row r="64" ht="15.75" customHeight="1">
      <c r="A64" s="4"/>
      <c r="B64" s="4" t="s">
        <v>3</v>
      </c>
      <c r="C64" s="5"/>
      <c r="D64" s="4" t="s">
        <v>4</v>
      </c>
      <c r="F64" s="6">
        <f t="shared" si="7"/>
        <v/>
      </c>
    </row>
    <row r="65" ht="15.75" customHeight="1">
      <c r="A65" s="4"/>
      <c r="B65" s="7" t="s">
        <v>5</v>
      </c>
      <c r="C65" s="8"/>
      <c r="D65" s="7" t="s">
        <v>6</v>
      </c>
      <c r="F65" s="9">
        <f t="shared" si="7"/>
        <v>1733680532</v>
      </c>
    </row>
    <row r="66" ht="15.75" customHeight="1">
      <c r="A66" s="4"/>
      <c r="B66" s="4" t="s">
        <v>7</v>
      </c>
      <c r="C66" s="5"/>
      <c r="D66" s="4" t="s">
        <v>7</v>
      </c>
      <c r="F66" s="6">
        <f t="shared" si="7"/>
        <v/>
      </c>
    </row>
    <row r="67" ht="15.75" customHeight="1">
      <c r="A67" s="4"/>
      <c r="B67" s="7" t="s">
        <v>8</v>
      </c>
      <c r="C67" s="8"/>
      <c r="D67" s="7" t="s">
        <v>9</v>
      </c>
      <c r="F67" s="9">
        <f t="shared" si="7"/>
        <v>1733680532</v>
      </c>
    </row>
    <row r="68" ht="15.75" customHeight="1">
      <c r="A68" s="4"/>
      <c r="B68" s="4" t="s">
        <v>10</v>
      </c>
      <c r="C68" s="5"/>
      <c r="D68" s="4" t="s">
        <v>11</v>
      </c>
      <c r="F68" s="6">
        <f>F182-F183</f>
        <v>0</v>
      </c>
    </row>
    <row r="69" ht="15.75" customHeight="1">
      <c r="A69" s="4"/>
      <c r="B69" s="7" t="s">
        <v>12</v>
      </c>
      <c r="C69" s="8"/>
      <c r="D69" s="7" t="s">
        <v>13</v>
      </c>
      <c r="F69" s="9">
        <f>F184</f>
        <v>1733680532</v>
      </c>
    </row>
    <row r="70" ht="15.75" customHeight="1">
      <c r="A70" s="10"/>
      <c r="B70" s="10"/>
      <c r="C70" s="10"/>
      <c r="D70" s="10"/>
      <c r="F70" s="12"/>
    </row>
    <row r="71" ht="15.75" customHeight="1">
      <c r="A71" s="10"/>
      <c r="B71" s="10"/>
      <c r="C71" s="10"/>
      <c r="D71" s="10"/>
      <c r="F71" s="12"/>
    </row>
    <row r="72" ht="15.75" customHeight="1">
      <c r="A72" s="11"/>
      <c r="B72" s="11" t="s">
        <v>22</v>
      </c>
      <c r="C72" s="10"/>
      <c r="D72" s="10"/>
      <c r="F72" s="2">
        <v>46113.0</v>
      </c>
    </row>
    <row r="73" ht="15.75" customHeight="1">
      <c r="A73" s="4"/>
      <c r="B73" s="4" t="s">
        <v>23</v>
      </c>
      <c r="C73" s="10"/>
      <c r="D73" s="10"/>
      <c r="F73" s="6">
        <f>F210</f>
        <v>0</v>
      </c>
    </row>
    <row r="74" ht="15.75" customHeight="1">
      <c r="A74" s="10"/>
      <c r="B74" s="13"/>
      <c r="C74" s="13"/>
      <c r="D74" s="13"/>
      <c r="F74" s="13"/>
    </row>
    <row r="75" ht="15.75" customHeight="1">
      <c r="A75" s="10"/>
      <c r="B75" s="10"/>
      <c r="C75" s="10"/>
      <c r="D75" s="10"/>
      <c r="F75" s="10"/>
    </row>
    <row r="76" ht="15.75" customHeight="1">
      <c r="A76" s="14"/>
      <c r="B76" s="14" t="s">
        <v>24</v>
      </c>
      <c r="C76" s="15"/>
      <c r="D76" s="15"/>
      <c r="F76" s="15"/>
    </row>
    <row r="77" ht="15.75" customHeight="1">
      <c r="A77" s="16"/>
      <c r="B77" s="16" t="s">
        <v>25</v>
      </c>
      <c r="C77" s="10"/>
      <c r="D77" s="10"/>
      <c r="F77" s="10"/>
    </row>
    <row r="78" ht="15.75" customHeight="1">
      <c r="A78" s="4"/>
      <c r="B78" s="4" t="s">
        <v>26</v>
      </c>
      <c r="C78" s="10"/>
      <c r="D78" s="4" t="s">
        <v>27</v>
      </c>
      <c r="F78" s="10"/>
    </row>
    <row r="79" ht="15.75" customHeight="1">
      <c r="A79" s="10"/>
      <c r="B79" s="10"/>
      <c r="C79" s="10"/>
      <c r="D79" s="10"/>
      <c r="F79" s="17">
        <f>F$2</f>
        <v>46113</v>
      </c>
    </row>
    <row r="80" ht="15.75" customHeight="1">
      <c r="A80" s="18"/>
      <c r="B80" s="18" t="s">
        <v>1</v>
      </c>
      <c r="C80" s="10"/>
      <c r="D80" s="18" t="s">
        <v>2</v>
      </c>
      <c r="F80" s="6">
        <f>SUM(F99,F117,F135,F160,F177,F194)</f>
        <v>1934128209</v>
      </c>
    </row>
    <row r="81" ht="15.75" customHeight="1">
      <c r="A81" s="18"/>
      <c r="B81" s="18" t="s">
        <v>28</v>
      </c>
      <c r="C81" s="10"/>
      <c r="D81" s="18" t="s">
        <v>4</v>
      </c>
      <c r="F81" s="6">
        <f t="shared" ref="F81:F89" si="8">SUM(F136,F118,F100,F161,F178,F195)</f>
      </c>
    </row>
    <row r="82" ht="15.75" customHeight="1">
      <c r="A82" s="18"/>
      <c r="B82" s="18" t="s">
        <v>5</v>
      </c>
      <c r="C82" s="10"/>
      <c r="D82" s="18" t="s">
        <v>6</v>
      </c>
      <c r="F82" s="6">
        <f t="shared" si="8"/>
      </c>
    </row>
    <row r="83" ht="15.75" customHeight="1">
      <c r="A83" s="18"/>
      <c r="B83" s="18" t="s">
        <v>29</v>
      </c>
      <c r="C83" s="10"/>
      <c r="D83" s="18" t="s">
        <v>30</v>
      </c>
      <c r="F83" s="6">
        <f t="shared" si="8"/>
      </c>
    </row>
    <row r="84" ht="15.75" customHeight="1">
      <c r="A84" s="18"/>
      <c r="B84" s="18" t="s">
        <v>31</v>
      </c>
      <c r="C84" s="10"/>
      <c r="D84" s="18" t="s">
        <v>9</v>
      </c>
      <c r="F84" s="6">
        <f t="shared" si="8"/>
      </c>
    </row>
    <row r="85" ht="15.75" customHeight="1">
      <c r="A85" s="18"/>
      <c r="B85" s="18" t="s">
        <v>32</v>
      </c>
      <c r="C85" s="10"/>
      <c r="D85" s="18" t="s">
        <v>33</v>
      </c>
      <c r="F85" s="6">
        <f t="shared" si="8"/>
      </c>
    </row>
    <row r="86" ht="15.75" customHeight="1">
      <c r="A86" s="18"/>
      <c r="B86" s="18" t="s">
        <v>34</v>
      </c>
      <c r="C86" s="10"/>
      <c r="D86" s="18" t="s">
        <v>35</v>
      </c>
      <c r="F86" s="6">
        <f t="shared" si="8"/>
      </c>
    </row>
    <row r="87" ht="15.75" customHeight="1">
      <c r="A87" s="18"/>
      <c r="B87" s="18" t="s">
        <v>36</v>
      </c>
      <c r="C87" s="10"/>
      <c r="D87" s="18" t="s">
        <v>13</v>
      </c>
      <c r="F87" s="6">
        <f t="shared" si="8"/>
      </c>
    </row>
    <row r="88" ht="15.75" customHeight="1">
      <c r="A88" s="18"/>
      <c r="B88" s="18" t="s">
        <v>37</v>
      </c>
      <c r="C88" s="10"/>
      <c r="D88" s="18" t="s">
        <v>38</v>
      </c>
      <c r="F88" s="6">
        <f t="shared" si="8"/>
      </c>
    </row>
    <row r="89" ht="15.75" customHeight="1">
      <c r="A89" s="18"/>
      <c r="B89" s="18" t="s">
        <v>39</v>
      </c>
      <c r="C89" s="10"/>
      <c r="D89" s="18" t="s">
        <v>40</v>
      </c>
      <c r="F89" s="6">
        <f t="shared" si="8"/>
      </c>
    </row>
    <row r="90" ht="15.75" customHeight="1">
      <c r="A90" s="18"/>
      <c r="B90" s="18" t="s">
        <v>41</v>
      </c>
      <c r="C90" s="10"/>
      <c r="D90" s="18" t="s">
        <v>42</v>
      </c>
      <c r="F90" s="6">
        <f t="shared" ref="F90:F91" si="9">SUM(F145,F127,F109,F170,F1993,F187,F204)</f>
      </c>
    </row>
    <row r="91" ht="15.75" customHeight="1">
      <c r="A91" s="18"/>
      <c r="B91" s="18" t="s">
        <v>43</v>
      </c>
      <c r="C91" s="10"/>
      <c r="D91" s="10"/>
      <c r="F91" s="6">
        <f t="shared" si="9"/>
      </c>
    </row>
    <row r="92" ht="15.75" customHeight="1">
      <c r="A92" s="18"/>
      <c r="B92" s="18" t="s">
        <v>44</v>
      </c>
      <c r="C92" s="10"/>
      <c r="D92" s="18" t="s">
        <v>45</v>
      </c>
      <c r="F92" s="6">
        <f>F90-F91+F210</f>
      </c>
    </row>
    <row r="93" ht="15.75" customHeight="1">
      <c r="A93" s="10"/>
      <c r="B93" s="10"/>
      <c r="C93" s="10"/>
      <c r="D93" s="10"/>
      <c r="F93" s="6">
        <f>AVERAGE(D90:F90)</f>
      </c>
    </row>
    <row r="94" ht="15.75" customHeight="1">
      <c r="A94" s="10"/>
      <c r="B94" s="10"/>
      <c r="C94" s="18" t="s">
        <v>46</v>
      </c>
      <c r="D94" s="10"/>
      <c r="F94" s="10"/>
    </row>
    <row r="95" ht="15.75" customHeight="1">
      <c r="A95" s="10"/>
      <c r="B95" s="10"/>
      <c r="C95" s="19" t="s">
        <v>47</v>
      </c>
      <c r="D95" s="10"/>
      <c r="F95" s="10"/>
    </row>
    <row r="96" ht="15.75" customHeight="1">
      <c r="A96" s="16"/>
      <c r="B96" s="16" t="s">
        <v>48</v>
      </c>
      <c r="C96" s="19" t="s">
        <v>49</v>
      </c>
      <c r="D96" s="10"/>
      <c r="F96" s="10"/>
    </row>
    <row r="97" ht="15.75" customHeight="1">
      <c r="A97" s="4"/>
      <c r="B97" s="4" t="s">
        <v>50</v>
      </c>
      <c r="C97" s="18" t="s">
        <v>51</v>
      </c>
      <c r="D97" s="4" t="s">
        <v>27</v>
      </c>
      <c r="F97" s="10"/>
    </row>
    <row r="98" ht="15.75" customHeight="1">
      <c r="A98" s="10"/>
      <c r="B98" s="10"/>
      <c r="C98" s="10"/>
      <c r="D98" s="10"/>
      <c r="F98" s="17">
        <f>F$2</f>
        <v>46113</v>
      </c>
    </row>
    <row r="99" ht="15.75" customHeight="1">
      <c r="A99" s="18"/>
      <c r="B99" s="18" t="s">
        <v>1</v>
      </c>
      <c r="C99" s="10"/>
      <c r="D99" s="18" t="s">
        <v>2</v>
      </c>
      <c r="F99" s="6">
        <f>F217</f>
        <v>43119318</v>
      </c>
    </row>
    <row r="100" ht="15.75" customHeight="1">
      <c r="A100" s="18"/>
      <c r="B100" s="18" t="s">
        <v>28</v>
      </c>
      <c r="C100" s="10"/>
      <c r="D100" s="18" t="s">
        <v>4</v>
      </c>
      <c r="F100" s="6">
        <f t="shared" ref="F100:F101" si="10">F223</f>
        <v>6959949</v>
      </c>
    </row>
    <row r="101" ht="15.75" customHeight="1">
      <c r="A101" s="18"/>
      <c r="B101" s="18" t="s">
        <v>5</v>
      </c>
      <c r="C101" s="10"/>
      <c r="D101" s="18" t="s">
        <v>6</v>
      </c>
      <c r="F101" s="6">
        <f t="shared" si="10"/>
        <v>36159369</v>
      </c>
    </row>
    <row r="102" ht="15.75" customHeight="1">
      <c r="A102" s="18"/>
      <c r="B102" s="18" t="s">
        <v>29</v>
      </c>
      <c r="C102" s="10"/>
      <c r="D102" s="18" t="s">
        <v>30</v>
      </c>
      <c r="F102" s="6">
        <f t="shared" ref="F102:F104" si="11">F256</f>
        <v>34449924</v>
      </c>
    </row>
    <row r="103" ht="15.75" customHeight="1">
      <c r="A103" s="18"/>
      <c r="B103" s="18" t="s">
        <v>31</v>
      </c>
      <c r="C103" s="10"/>
      <c r="D103" s="18" t="s">
        <v>9</v>
      </c>
      <c r="F103" s="6">
        <f t="shared" si="11"/>
        <v>1709445</v>
      </c>
    </row>
    <row r="104" ht="15.75" customHeight="1">
      <c r="A104" s="18"/>
      <c r="B104" s="18" t="s">
        <v>32</v>
      </c>
      <c r="C104" s="10"/>
      <c r="D104" s="18" t="s">
        <v>33</v>
      </c>
      <c r="F104" s="6">
        <f t="shared" si="11"/>
        <v>1392416</v>
      </c>
    </row>
    <row r="105" ht="15.75" customHeight="1">
      <c r="A105" s="18"/>
      <c r="B105" s="18" t="s">
        <v>34</v>
      </c>
      <c r="C105" s="10"/>
      <c r="D105" s="18" t="s">
        <v>35</v>
      </c>
      <c r="F105" s="6">
        <f>F265</f>
        <v>43584257</v>
      </c>
    </row>
    <row r="106" ht="15.75" customHeight="1">
      <c r="A106" s="18"/>
      <c r="B106" s="18" t="s">
        <v>36</v>
      </c>
      <c r="C106" s="10"/>
      <c r="D106" s="18" t="s">
        <v>13</v>
      </c>
      <c r="F106" s="6">
        <f t="shared" ref="F106:F107" si="12">F269</f>
        <v>-40482396</v>
      </c>
    </row>
    <row r="107" ht="15.75" customHeight="1">
      <c r="A107" s="18"/>
      <c r="B107" s="18" t="s">
        <v>37</v>
      </c>
      <c r="C107" s="10"/>
      <c r="D107" s="18" t="s">
        <v>38</v>
      </c>
      <c r="F107" s="6">
        <f t="shared" si="12"/>
        <v>0</v>
      </c>
    </row>
    <row r="108" ht="15.75" customHeight="1">
      <c r="A108" s="18"/>
      <c r="B108" s="18" t="s">
        <v>39</v>
      </c>
      <c r="C108" s="10"/>
      <c r="D108" s="18" t="s">
        <v>40</v>
      </c>
      <c r="F108" s="6">
        <f>F273</f>
        <v>0</v>
      </c>
    </row>
    <row r="109" ht="15.75" customHeight="1">
      <c r="A109" s="18"/>
      <c r="B109" s="18" t="s">
        <v>41</v>
      </c>
      <c r="C109" s="10"/>
      <c r="D109" s="18" t="s">
        <v>42</v>
      </c>
      <c r="F109" s="6">
        <f>F277</f>
        <v>-40482396</v>
      </c>
    </row>
    <row r="110" ht="15.75" customHeight="1">
      <c r="A110" s="18"/>
      <c r="B110" s="18" t="s">
        <v>43</v>
      </c>
      <c r="C110" s="10"/>
      <c r="D110" s="10"/>
      <c r="F110" s="6">
        <f>F278+F279</f>
        <v>0</v>
      </c>
    </row>
    <row r="111" ht="15.75" customHeight="1">
      <c r="A111" s="18"/>
      <c r="B111" s="18" t="s">
        <v>44</v>
      </c>
      <c r="C111" s="10"/>
      <c r="D111" s="18" t="s">
        <v>45</v>
      </c>
      <c r="F111" s="6">
        <f>F280</f>
        <v>-40482396</v>
      </c>
    </row>
    <row r="112" ht="15.75" customHeight="1">
      <c r="A112" s="10"/>
      <c r="B112" s="10"/>
      <c r="C112" s="10"/>
      <c r="D112" s="10"/>
      <c r="F112" s="10"/>
    </row>
    <row r="113" ht="15.75" customHeight="1">
      <c r="A113" s="10"/>
      <c r="B113" s="10"/>
      <c r="C113" s="10"/>
      <c r="D113" s="10"/>
      <c r="F113" s="10"/>
    </row>
    <row r="114" ht="15.75" customHeight="1">
      <c r="A114" s="16"/>
      <c r="B114" s="16" t="s">
        <v>52</v>
      </c>
      <c r="C114" s="19" t="s">
        <v>53</v>
      </c>
      <c r="D114" s="10"/>
      <c r="F114" s="10"/>
    </row>
    <row r="115" ht="15.75" customHeight="1">
      <c r="A115" s="4"/>
      <c r="B115" s="4" t="s">
        <v>50</v>
      </c>
      <c r="C115" s="10"/>
      <c r="D115" s="4" t="s">
        <v>27</v>
      </c>
      <c r="F115" s="10"/>
    </row>
    <row r="116" ht="15.75" customHeight="1">
      <c r="A116" s="10"/>
      <c r="B116" s="10"/>
      <c r="C116" s="10"/>
      <c r="D116" s="10"/>
      <c r="F116" s="17">
        <f>F$2</f>
        <v>46113</v>
      </c>
    </row>
    <row r="117" ht="15.75" customHeight="1">
      <c r="A117" s="18"/>
      <c r="B117" s="18" t="s">
        <v>1</v>
      </c>
      <c r="C117" s="10"/>
      <c r="D117" s="18" t="s">
        <v>2</v>
      </c>
      <c r="F117" s="6">
        <f>F1277</f>
        <v>21265200</v>
      </c>
    </row>
    <row r="118" ht="15.75" customHeight="1">
      <c r="A118" s="18"/>
      <c r="B118" s="18" t="s">
        <v>28</v>
      </c>
      <c r="C118" s="10"/>
      <c r="D118" s="18" t="s">
        <v>4</v>
      </c>
      <c r="F118" s="6">
        <f>F1283</f>
        <v>13187465</v>
      </c>
    </row>
    <row r="119" ht="15.75" customHeight="1">
      <c r="A119" s="18"/>
      <c r="B119" s="18" t="s">
        <v>5</v>
      </c>
      <c r="C119" s="10"/>
      <c r="D119" s="18" t="s">
        <v>6</v>
      </c>
      <c r="F119" s="6">
        <f>F117-F118</f>
        <v>8077735</v>
      </c>
    </row>
    <row r="120" ht="15.75" customHeight="1">
      <c r="A120" s="18"/>
      <c r="B120" s="18" t="s">
        <v>29</v>
      </c>
      <c r="C120" s="10"/>
      <c r="D120" s="18" t="s">
        <v>30</v>
      </c>
      <c r="F120" s="6">
        <f>F1316</f>
        <v>2532557</v>
      </c>
    </row>
    <row r="121" ht="15.75" customHeight="1">
      <c r="A121" s="18"/>
      <c r="B121" s="18" t="s">
        <v>31</v>
      </c>
      <c r="C121" s="10"/>
      <c r="D121" s="18" t="s">
        <v>9</v>
      </c>
      <c r="F121" s="6">
        <f>F119-F120</f>
        <v>5545178</v>
      </c>
    </row>
    <row r="122" ht="15.75" customHeight="1">
      <c r="A122" s="18"/>
      <c r="B122" s="18" t="s">
        <v>32</v>
      </c>
      <c r="C122" s="10"/>
      <c r="D122" s="18" t="s">
        <v>33</v>
      </c>
      <c r="F122" s="6">
        <f>F1318</f>
        <v>1088</v>
      </c>
    </row>
    <row r="123" ht="15.75" customHeight="1">
      <c r="A123" s="18"/>
      <c r="B123" s="18" t="s">
        <v>34</v>
      </c>
      <c r="C123" s="10"/>
      <c r="D123" s="18" t="s">
        <v>35</v>
      </c>
      <c r="F123" s="6">
        <f>F1321</f>
        <v>8326</v>
      </c>
    </row>
    <row r="124" ht="15.75" customHeight="1">
      <c r="A124" s="18"/>
      <c r="B124" s="18" t="s">
        <v>36</v>
      </c>
      <c r="C124" s="10"/>
      <c r="D124" s="18" t="s">
        <v>13</v>
      </c>
      <c r="F124" s="6">
        <f>F121+F122-F123</f>
        <v>5537940</v>
      </c>
    </row>
    <row r="125" ht="15.75" customHeight="1">
      <c r="A125" s="18"/>
      <c r="B125" s="18" t="s">
        <v>37</v>
      </c>
      <c r="C125" s="10"/>
      <c r="D125" s="18" t="s">
        <v>38</v>
      </c>
      <c r="F125" s="6">
        <f t="shared" ref="F125:F126" si="13">F1325</f>
        <v>0</v>
      </c>
    </row>
    <row r="126" ht="15.75" customHeight="1">
      <c r="A126" s="18"/>
      <c r="B126" s="18" t="s">
        <v>39</v>
      </c>
      <c r="C126" s="10"/>
      <c r="D126" s="18" t="s">
        <v>40</v>
      </c>
      <c r="F126" s="6">
        <f t="shared" si="13"/>
        <v>0</v>
      </c>
    </row>
    <row r="127" ht="15.75" customHeight="1">
      <c r="A127" s="18"/>
      <c r="B127" s="18" t="s">
        <v>41</v>
      </c>
      <c r="C127" s="10"/>
      <c r="D127" s="18" t="s">
        <v>42</v>
      </c>
      <c r="F127" s="6">
        <f>F124+F125-F126</f>
        <v>5537940</v>
      </c>
    </row>
    <row r="128" ht="15.75" customHeight="1">
      <c r="A128" s="18"/>
      <c r="B128" s="18" t="s">
        <v>43</v>
      </c>
      <c r="C128" s="10"/>
      <c r="D128" s="10"/>
      <c r="F128" s="20">
        <f>F1343+F1344</f>
        <v>0</v>
      </c>
    </row>
    <row r="129" ht="15.75" customHeight="1">
      <c r="A129" s="18"/>
      <c r="B129" s="18" t="s">
        <v>44</v>
      </c>
      <c r="C129" s="10"/>
      <c r="D129" s="18" t="s">
        <v>45</v>
      </c>
      <c r="F129" s="6">
        <f>F127-F128</f>
        <v>5537940</v>
      </c>
    </row>
    <row r="130" ht="15.75" customHeight="1">
      <c r="A130" s="10"/>
      <c r="B130" s="10"/>
      <c r="C130" s="10"/>
      <c r="D130" s="10"/>
      <c r="F130" s="10"/>
    </row>
    <row r="131" ht="15.75" customHeight="1">
      <c r="A131" s="10"/>
      <c r="B131" s="10"/>
      <c r="C131" s="10"/>
      <c r="D131" s="10"/>
      <c r="F131" s="10"/>
    </row>
    <row r="132" ht="15.75" customHeight="1">
      <c r="A132" s="16"/>
      <c r="B132" s="16" t="s">
        <v>54</v>
      </c>
      <c r="C132" s="19" t="s">
        <v>55</v>
      </c>
      <c r="D132" s="10"/>
      <c r="F132" s="10"/>
    </row>
    <row r="133" ht="15.75" customHeight="1">
      <c r="A133" s="4"/>
      <c r="B133" s="4" t="s">
        <v>50</v>
      </c>
      <c r="C133" s="18" t="s">
        <v>56</v>
      </c>
      <c r="D133" s="4" t="s">
        <v>27</v>
      </c>
      <c r="F133" s="10"/>
    </row>
    <row r="134" ht="15.75" customHeight="1">
      <c r="A134" s="10"/>
      <c r="B134" s="10"/>
      <c r="C134" s="10"/>
      <c r="D134" s="10"/>
      <c r="F134" s="17">
        <f>F$2</f>
        <v>46113</v>
      </c>
    </row>
    <row r="135" ht="15.75" customHeight="1">
      <c r="A135" s="18"/>
      <c r="B135" s="18" t="s">
        <v>1</v>
      </c>
      <c r="C135" s="10"/>
      <c r="D135" s="18" t="s">
        <v>2</v>
      </c>
      <c r="F135" s="6">
        <f>SUM(F1447+F1515+F1584+F1652+F1788)</f>
        <v>136063159</v>
      </c>
    </row>
    <row r="136" ht="15.75" customHeight="1">
      <c r="A136" s="18"/>
      <c r="B136" s="18" t="s">
        <v>28</v>
      </c>
      <c r="C136" s="10"/>
      <c r="D136" s="18" t="s">
        <v>4</v>
      </c>
      <c r="F136" s="6">
        <f>SUM(F1454,F1522,F1591,F1659,F1795)</f>
        <v>157236848</v>
      </c>
    </row>
    <row r="137" ht="15.75" customHeight="1">
      <c r="A137" s="18"/>
      <c r="B137" s="18" t="s">
        <v>5</v>
      </c>
      <c r="C137" s="10"/>
      <c r="D137" s="18" t="s">
        <v>6</v>
      </c>
      <c r="F137" s="6">
        <f>F135-F136</f>
        <v>-21173689</v>
      </c>
    </row>
    <row r="138" ht="15.75" customHeight="1">
      <c r="A138" s="18"/>
      <c r="B138" s="18" t="s">
        <v>29</v>
      </c>
      <c r="C138" s="10"/>
      <c r="D138" s="18" t="s">
        <v>30</v>
      </c>
      <c r="F138" s="6">
        <f>SUM(F1487,F1555,F1624,F1692,F1831)</f>
      </c>
    </row>
    <row r="139" ht="15.75" customHeight="1">
      <c r="A139" s="18"/>
      <c r="B139" s="18" t="s">
        <v>31</v>
      </c>
      <c r="C139" s="10"/>
      <c r="D139" s="18" t="s">
        <v>9</v>
      </c>
      <c r="F139" s="6">
        <f>F137-F138</f>
      </c>
    </row>
    <row r="140" ht="15.75" customHeight="1">
      <c r="A140" s="18"/>
      <c r="B140" s="18" t="s">
        <v>32</v>
      </c>
      <c r="C140" s="10"/>
      <c r="D140" s="18" t="s">
        <v>33</v>
      </c>
      <c r="F140" s="6">
        <f>SUM(F1489,F1557,F1626,F1694,F1833)</f>
      </c>
    </row>
    <row r="141" ht="15.75" customHeight="1">
      <c r="A141" s="18"/>
      <c r="B141" s="18" t="s">
        <v>34</v>
      </c>
      <c r="C141" s="10"/>
      <c r="D141" s="18" t="s">
        <v>35</v>
      </c>
      <c r="F141" s="6">
        <f>SUM(F1496,F1564,F1633,F1701,F1840)</f>
      </c>
    </row>
    <row r="142" ht="15.75" customHeight="1">
      <c r="A142" s="18"/>
      <c r="B142" s="18" t="s">
        <v>36</v>
      </c>
      <c r="C142" s="10"/>
      <c r="D142" s="18" t="s">
        <v>13</v>
      </c>
      <c r="F142" s="6">
        <f>F139+F140-F141</f>
      </c>
    </row>
    <row r="143" ht="15.75" customHeight="1">
      <c r="A143" s="18"/>
      <c r="B143" s="18" t="s">
        <v>37</v>
      </c>
      <c r="C143" s="10"/>
      <c r="D143" s="18" t="s">
        <v>38</v>
      </c>
      <c r="F143" s="6">
        <f>SUM(F1501,F1569,F1638,F1706,F1845)</f>
      </c>
    </row>
    <row r="144" ht="15.75" customHeight="1">
      <c r="A144" s="18"/>
      <c r="B144" s="18" t="s">
        <v>39</v>
      </c>
      <c r="C144" s="10"/>
      <c r="D144" s="18" t="s">
        <v>40</v>
      </c>
      <c r="F144" s="6">
        <f>SUM(F1504,F1572,F1641,F1709,F1848)</f>
      </c>
    </row>
    <row r="145" ht="15.75" customHeight="1">
      <c r="A145" s="18"/>
      <c r="B145" s="18" t="s">
        <v>41</v>
      </c>
      <c r="C145" s="10"/>
      <c r="D145" s="18" t="s">
        <v>42</v>
      </c>
      <c r="F145" s="6">
        <f>F142+F143-F144</f>
      </c>
    </row>
    <row r="146" ht="15.75" customHeight="1">
      <c r="A146" s="18"/>
      <c r="B146" s="18" t="s">
        <v>43</v>
      </c>
      <c r="C146" s="10"/>
      <c r="D146" s="10"/>
      <c r="F146" s="6">
        <f>SUM(F1509,F1577,F1646,F1714,F1853)-SUM(F1510,F1578,F1647,F1715,F1854)</f>
      </c>
    </row>
    <row r="147" ht="15.75" customHeight="1">
      <c r="A147" s="18"/>
      <c r="B147" s="18" t="s">
        <v>44</v>
      </c>
      <c r="C147" s="10"/>
      <c r="D147" s="18" t="s">
        <v>45</v>
      </c>
      <c r="F147" s="6">
        <f>F145-F146</f>
      </c>
    </row>
    <row r="148" ht="15.75" customHeight="1">
      <c r="A148" s="10"/>
      <c r="B148" s="10"/>
      <c r="C148" s="10"/>
      <c r="D148" s="10"/>
      <c r="F148" s="10"/>
    </row>
    <row r="149" ht="15.75" customHeight="1">
      <c r="A149" s="18"/>
      <c r="B149" s="18" t="s">
        <v>57</v>
      </c>
      <c r="C149" s="10"/>
      <c r="D149" s="10"/>
      <c r="F149" s="10"/>
    </row>
    <row r="150" ht="15.75" customHeight="1">
      <c r="A150" s="21"/>
      <c r="B150" s="21" t="s">
        <v>58</v>
      </c>
      <c r="C150" s="10"/>
      <c r="D150" s="10"/>
      <c r="F150" s="22">
        <f>(F135-#REF!)/#REF!</f>
      </c>
    </row>
    <row r="151" ht="15.75" customHeight="1">
      <c r="A151" s="21"/>
      <c r="B151" s="21" t="s">
        <v>59</v>
      </c>
      <c r="C151" s="10"/>
      <c r="D151" s="10"/>
      <c r="F151" s="22">
        <f>IF(#REF!&gt;0,(F139-#REF!)/#REF!,(F139-#REF!)/-#REF!)</f>
      </c>
    </row>
    <row r="152" ht="15.75" customHeight="1">
      <c r="A152" s="18"/>
      <c r="B152" s="18" t="s">
        <v>60</v>
      </c>
      <c r="C152" s="10"/>
      <c r="D152" s="10"/>
      <c r="F152" s="10"/>
    </row>
    <row r="153" ht="15.75" customHeight="1">
      <c r="A153" s="21"/>
      <c r="B153" s="21" t="s">
        <v>58</v>
      </c>
      <c r="C153" s="10"/>
      <c r="D153" s="10"/>
      <c r="F153" s="23">
        <f>((F135-F1883)-(#REF!-#REF!))/(#REF!-#REF!)</f>
      </c>
    </row>
    <row r="154" ht="15.75" customHeight="1">
      <c r="A154" s="21"/>
      <c r="B154" s="21" t="s">
        <v>59</v>
      </c>
      <c r="C154" s="10"/>
      <c r="D154" s="10"/>
      <c r="F154" s="23">
        <f>IF((#REF!-#REF!)&gt;0,((F139-F1887)-(#REF!-#REF!))/(#REF!-#REF!),((F139-F1887)-(#REF!-#REF!))/-(#REF!-#REF!))</f>
      </c>
    </row>
    <row r="155" ht="15.75" customHeight="1">
      <c r="A155" s="10"/>
      <c r="B155" s="10"/>
      <c r="C155" s="10"/>
      <c r="D155" s="10"/>
      <c r="F155" s="10"/>
    </row>
    <row r="156" ht="15.75" customHeight="1">
      <c r="A156" s="10"/>
      <c r="B156" s="10"/>
      <c r="C156" s="10"/>
      <c r="D156" s="10"/>
      <c r="F156" s="10"/>
    </row>
    <row r="157" ht="15.75" customHeight="1">
      <c r="A157" s="16"/>
      <c r="B157" s="16" t="s">
        <v>61</v>
      </c>
      <c r="C157" s="10"/>
      <c r="D157" s="10"/>
      <c r="F157" s="10"/>
    </row>
    <row r="158" ht="15.75" customHeight="1">
      <c r="A158" s="4"/>
      <c r="B158" s="4" t="s">
        <v>50</v>
      </c>
      <c r="C158" s="10"/>
      <c r="D158" s="10"/>
      <c r="F158" s="10"/>
    </row>
    <row r="159" ht="15.75" customHeight="1">
      <c r="A159" s="10"/>
      <c r="B159" s="10"/>
      <c r="C159" s="10"/>
      <c r="D159" s="10"/>
      <c r="F159" s="17">
        <f>F$2</f>
        <v>46113</v>
      </c>
    </row>
    <row r="160" ht="15.75" customHeight="1">
      <c r="A160" s="18"/>
      <c r="B160" s="18" t="s">
        <v>1</v>
      </c>
      <c r="C160" s="10"/>
      <c r="D160" s="10"/>
      <c r="F160" s="6">
        <f>F1927</f>
        <v>0</v>
      </c>
    </row>
    <row r="161" ht="15.75" customHeight="1">
      <c r="A161" s="18"/>
      <c r="B161" s="18" t="s">
        <v>28</v>
      </c>
      <c r="C161" s="10"/>
      <c r="D161" s="10"/>
      <c r="F161" s="6">
        <f>F1933</f>
      </c>
    </row>
    <row r="162" ht="15.75" customHeight="1">
      <c r="A162" s="18"/>
      <c r="B162" s="18" t="s">
        <v>5</v>
      </c>
      <c r="C162" s="10"/>
      <c r="D162" s="10"/>
      <c r="F162" s="6">
        <f>F160-F161</f>
      </c>
    </row>
    <row r="163" ht="15.75" customHeight="1">
      <c r="A163" s="18"/>
      <c r="B163" s="18" t="s">
        <v>29</v>
      </c>
      <c r="C163" s="10"/>
      <c r="D163" s="10"/>
      <c r="F163" s="6">
        <f>F1967</f>
      </c>
    </row>
    <row r="164" ht="15.75" customHeight="1">
      <c r="A164" s="18"/>
      <c r="B164" s="18" t="s">
        <v>31</v>
      </c>
      <c r="C164" s="10"/>
      <c r="D164" s="10"/>
      <c r="F164" s="6">
        <f>F162-F163</f>
      </c>
    </row>
    <row r="165" ht="15.75" customHeight="1">
      <c r="A165" s="18"/>
      <c r="B165" s="18" t="s">
        <v>32</v>
      </c>
      <c r="C165" s="10"/>
      <c r="D165" s="10"/>
      <c r="F165" s="6">
        <f>F1969</f>
      </c>
    </row>
    <row r="166" ht="15.75" customHeight="1">
      <c r="A166" s="18"/>
      <c r="B166" s="18" t="s">
        <v>34</v>
      </c>
      <c r="C166" s="10"/>
      <c r="D166" s="10"/>
      <c r="F166" s="6">
        <f>F1976</f>
      </c>
    </row>
    <row r="167" ht="15.75" customHeight="1">
      <c r="A167" s="18"/>
      <c r="B167" s="18" t="s">
        <v>36</v>
      </c>
      <c r="C167" s="10"/>
      <c r="D167" s="10"/>
      <c r="F167" s="6">
        <f>F164+F165-F166</f>
      </c>
    </row>
    <row r="168" ht="15.75" customHeight="1">
      <c r="A168" s="18"/>
      <c r="B168" s="18" t="s">
        <v>37</v>
      </c>
      <c r="C168" s="10"/>
      <c r="D168" s="10"/>
      <c r="F168" s="6">
        <f>F1981</f>
      </c>
    </row>
    <row r="169" ht="15.75" customHeight="1">
      <c r="A169" s="18"/>
      <c r="B169" s="18" t="s">
        <v>39</v>
      </c>
      <c r="C169" s="10"/>
      <c r="D169" s="10"/>
      <c r="F169" s="6">
        <f>F1984</f>
      </c>
    </row>
    <row r="170" ht="15.75" customHeight="1">
      <c r="A170" s="18"/>
      <c r="B170" s="18" t="s">
        <v>41</v>
      </c>
      <c r="C170" s="10"/>
      <c r="D170" s="10"/>
      <c r="F170" s="6">
        <f>F167+F168-F169</f>
      </c>
    </row>
    <row r="171" ht="15.75" customHeight="1">
      <c r="A171" s="18"/>
      <c r="B171" s="18" t="s">
        <v>43</v>
      </c>
      <c r="C171" s="10"/>
      <c r="D171" s="10"/>
      <c r="F171" s="20">
        <f>F1989-F1990</f>
      </c>
    </row>
    <row r="172" ht="15.75" customHeight="1">
      <c r="A172" s="18"/>
      <c r="B172" s="18" t="s">
        <v>44</v>
      </c>
      <c r="C172" s="10"/>
      <c r="D172" s="10"/>
      <c r="F172" s="6">
        <f>F170-F171</f>
      </c>
    </row>
    <row r="173" ht="15.75" customHeight="1">
      <c r="A173" s="10"/>
      <c r="B173" s="10"/>
      <c r="C173" s="10"/>
      <c r="D173" s="10"/>
      <c r="F173" s="10"/>
    </row>
    <row r="174" ht="15.75" customHeight="1">
      <c r="A174" s="24"/>
      <c r="B174" s="24" t="s">
        <v>62</v>
      </c>
      <c r="C174" s="10"/>
      <c r="D174" s="10"/>
      <c r="F174" s="10"/>
    </row>
    <row r="175" ht="15.75" customHeight="1">
      <c r="A175" s="4"/>
      <c r="B175" s="4" t="s">
        <v>50</v>
      </c>
      <c r="C175" s="10"/>
      <c r="D175" s="10"/>
      <c r="F175" s="10"/>
    </row>
    <row r="176" ht="15.75" customHeight="1">
      <c r="A176" s="10"/>
      <c r="B176" s="10"/>
      <c r="C176" s="10"/>
      <c r="D176" s="10"/>
      <c r="F176" s="17">
        <f>F$2</f>
        <v>46113</v>
      </c>
    </row>
    <row r="177" ht="15.75" customHeight="1">
      <c r="A177" s="18"/>
      <c r="B177" s="18" t="s">
        <v>1</v>
      </c>
      <c r="C177" s="10"/>
      <c r="D177" s="10"/>
      <c r="F177" s="6">
        <f>F2033+F2101+F2237+F2169</f>
        <v>1733680532</v>
      </c>
    </row>
    <row r="178" ht="15.75" customHeight="1">
      <c r="A178" s="18"/>
      <c r="B178" s="18" t="s">
        <v>28</v>
      </c>
      <c r="C178" s="10"/>
      <c r="D178" s="10"/>
      <c r="F178" s="20">
        <f>F1999</f>
        <v/>
      </c>
    </row>
    <row r="179" ht="15.75" customHeight="1">
      <c r="A179" s="18"/>
      <c r="B179" s="18" t="s">
        <v>5</v>
      </c>
      <c r="C179" s="10"/>
      <c r="D179" s="10"/>
      <c r="F179" s="6">
        <f>F177-F178</f>
        <v>1733680532</v>
      </c>
    </row>
    <row r="180" ht="15.75" customHeight="1">
      <c r="A180" s="18"/>
      <c r="B180" s="18" t="s">
        <v>29</v>
      </c>
      <c r="C180" s="10"/>
      <c r="D180" s="10"/>
      <c r="F180" s="20">
        <f>F2006</f>
        <v/>
      </c>
    </row>
    <row r="181" ht="15.75" customHeight="1">
      <c r="A181" s="18"/>
      <c r="B181" s="18" t="s">
        <v>31</v>
      </c>
      <c r="C181" s="10"/>
      <c r="D181" s="10"/>
      <c r="F181" s="6">
        <f>F179-F180</f>
        <v>1733680532</v>
      </c>
    </row>
    <row r="182" ht="15.75" customHeight="1">
      <c r="A182" s="18"/>
      <c r="B182" s="18" t="s">
        <v>32</v>
      </c>
      <c r="C182" s="10"/>
      <c r="D182" s="10"/>
      <c r="F182" s="20">
        <f>F2010</f>
        <v/>
      </c>
    </row>
    <row r="183" ht="15.75" customHeight="1">
      <c r="A183" s="18"/>
      <c r="B183" s="18" t="s">
        <v>34</v>
      </c>
      <c r="C183" s="10"/>
      <c r="D183" s="10"/>
      <c r="F183" s="20">
        <f>F2012</f>
        <v/>
      </c>
    </row>
    <row r="184" ht="15.75" customHeight="1">
      <c r="A184" s="18"/>
      <c r="B184" s="18" t="s">
        <v>36</v>
      </c>
      <c r="C184" s="10"/>
      <c r="D184" s="10"/>
      <c r="F184" s="6">
        <f>F181+F182-F183</f>
        <v>1733680532</v>
      </c>
    </row>
    <row r="185" ht="15.75" customHeight="1">
      <c r="A185" s="18"/>
      <c r="B185" s="18" t="s">
        <v>37</v>
      </c>
      <c r="C185" s="10"/>
      <c r="D185" s="10"/>
      <c r="F185" s="20">
        <f>F2015</f>
        <v/>
      </c>
    </row>
    <row r="186" ht="15.75" customHeight="1">
      <c r="A186" s="18"/>
      <c r="B186" s="18" t="s">
        <v>39</v>
      </c>
      <c r="C186" s="10"/>
      <c r="D186" s="10"/>
      <c r="F186" s="20">
        <f>F2017</f>
        <v/>
      </c>
    </row>
    <row r="187" ht="15.75" customHeight="1">
      <c r="A187" s="18"/>
      <c r="B187" s="18" t="s">
        <v>41</v>
      </c>
      <c r="C187" s="10"/>
      <c r="D187" s="10"/>
      <c r="F187" s="6">
        <f>F184+F185-F186</f>
        <v>1733680532</v>
      </c>
    </row>
    <row r="188" ht="15.75" customHeight="1">
      <c r="A188" s="18"/>
      <c r="B188" s="18" t="s">
        <v>43</v>
      </c>
      <c r="C188" s="10"/>
      <c r="D188" s="10"/>
      <c r="F188" s="20">
        <f>F2019</f>
        <v/>
      </c>
    </row>
    <row r="189" ht="15.75" customHeight="1">
      <c r="A189" s="18"/>
      <c r="B189" s="18" t="s">
        <v>44</v>
      </c>
      <c r="C189" s="10"/>
      <c r="D189" s="10"/>
      <c r="F189" s="6">
        <f>F187-F188</f>
        <v>1733680532</v>
      </c>
    </row>
    <row r="190" ht="15.75" customHeight="1">
      <c r="A190" s="10"/>
      <c r="B190" s="10"/>
      <c r="C190" s="10"/>
      <c r="D190" s="10"/>
      <c r="F190" s="10"/>
    </row>
    <row r="191" ht="15.75" customHeight="1" outlineLevel="1">
      <c r="A191" s="16"/>
      <c r="B191" s="16" t="s">
        <v>63</v>
      </c>
      <c r="C191" s="10"/>
      <c r="D191" s="10"/>
      <c r="F191" s="10"/>
    </row>
    <row r="192" ht="15.75" customHeight="1" outlineLevel="1">
      <c r="A192" s="4"/>
      <c r="B192" s="4" t="s">
        <v>50</v>
      </c>
      <c r="C192" s="10"/>
      <c r="D192" s="10"/>
      <c r="F192" s="10"/>
    </row>
    <row r="193" ht="15.75" customHeight="1" outlineLevel="1">
      <c r="A193" s="10"/>
      <c r="B193" s="10"/>
      <c r="C193" s="10"/>
      <c r="D193" s="10"/>
      <c r="F193" s="17">
        <f>F$2</f>
        <v>46113</v>
      </c>
    </row>
    <row r="194" ht="15.75" customHeight="1" outlineLevel="1">
      <c r="A194" s="18"/>
      <c r="B194" s="18" t="s">
        <v>1</v>
      </c>
      <c r="C194" s="10"/>
      <c r="D194" s="10"/>
      <c r="F194" s="6">
        <f>SUMIF(MD1_PL!$A$4:$A$100,"売上*",MD1_PL!F$4:F$100)</f>
        <v>0</v>
      </c>
    </row>
    <row r="195" ht="15.75" customHeight="1" outlineLevel="1">
      <c r="A195" s="18"/>
      <c r="B195" s="18" t="s">
        <v>28</v>
      </c>
      <c r="C195" s="10"/>
      <c r="D195" s="10"/>
      <c r="F195" s="6">
        <f>SUMIF(MD1_PL!$A$4:$A$100,"売上原価*",MD1_PL!F$4:F$100)</f>
        <v>0</v>
      </c>
    </row>
    <row r="196" ht="15.75" customHeight="1" outlineLevel="1">
      <c r="A196" s="18"/>
      <c r="B196" s="18" t="s">
        <v>5</v>
      </c>
      <c r="C196" s="10"/>
      <c r="D196" s="10"/>
      <c r="F196" s="6">
        <f>F194-F195</f>
        <v>0</v>
      </c>
    </row>
    <row r="197" ht="15.75" customHeight="1" outlineLevel="1">
      <c r="A197" s="18"/>
      <c r="B197" s="18" t="s">
        <v>29</v>
      </c>
      <c r="C197" s="10"/>
      <c r="D197" s="10"/>
      <c r="F197" s="6">
        <f>SUMIF(MD1_PL!$A$4:$A$100,"販売費及び一般管理費*",MD1_PL!F$4:F$100)</f>
        <v>0</v>
      </c>
    </row>
    <row r="198" ht="15.75" customHeight="1" outlineLevel="1">
      <c r="A198" s="18"/>
      <c r="B198" s="18" t="s">
        <v>31</v>
      </c>
      <c r="C198" s="10"/>
      <c r="D198" s="10"/>
      <c r="F198" s="6">
        <f>F196-F197</f>
        <v>0</v>
      </c>
    </row>
    <row r="199" ht="15.75" customHeight="1" outlineLevel="1">
      <c r="A199" s="18"/>
      <c r="B199" s="18" t="s">
        <v>32</v>
      </c>
      <c r="C199" s="10"/>
      <c r="D199" s="10"/>
      <c r="F199" s="6">
        <f>SUMIF(MD1_PL!$A$4:$A$100,"営業外収益*",MD1_PL!F$4:F$100)</f>
        <v>0</v>
      </c>
    </row>
    <row r="200" ht="15.75" customHeight="1" outlineLevel="1">
      <c r="A200" s="18"/>
      <c r="B200" s="18" t="s">
        <v>34</v>
      </c>
      <c r="C200" s="10"/>
      <c r="D200" s="10"/>
      <c r="F200" s="6">
        <f>SUMIF(MD1_PL!$A$4:$A$100,"営業外費用*",MD1_PL!F$4:F$100)</f>
        <v>0</v>
      </c>
    </row>
    <row r="201" ht="15.75" customHeight="1" outlineLevel="1">
      <c r="A201" s="18"/>
      <c r="B201" s="18" t="s">
        <v>36</v>
      </c>
      <c r="C201" s="10"/>
      <c r="D201" s="10"/>
      <c r="F201" s="6">
        <f>F198+F199-F200</f>
        <v>0</v>
      </c>
    </row>
    <row r="202" ht="15.75" customHeight="1" outlineLevel="1">
      <c r="A202" s="18"/>
      <c r="B202" s="18" t="s">
        <v>37</v>
      </c>
      <c r="C202" s="10"/>
      <c r="D202" s="10"/>
      <c r="F202" s="6">
        <f>SUMIF(MD1_PL!$A$4:$A$100,"特別利益*",MD1_PL!F$4:F$100)</f>
        <v>0</v>
      </c>
    </row>
    <row r="203" ht="15.75" customHeight="1" outlineLevel="1">
      <c r="A203" s="18"/>
      <c r="B203" s="18" t="s">
        <v>39</v>
      </c>
      <c r="C203" s="10"/>
      <c r="D203" s="10"/>
      <c r="F203" s="6">
        <f>SUMIF(MD1_PL!$A$4:$A$100,"特別損失*",MD1_PL!F$4:F$100)</f>
        <v>0</v>
      </c>
    </row>
    <row r="204" ht="15.75" customHeight="1" outlineLevel="1">
      <c r="A204" s="18"/>
      <c r="B204" s="18" t="s">
        <v>41</v>
      </c>
      <c r="C204" s="10"/>
      <c r="D204" s="10"/>
      <c r="F204" s="6">
        <f>F201+F202-F203</f>
        <v>0</v>
      </c>
    </row>
    <row r="205" ht="15.75" customHeight="1" outlineLevel="1">
      <c r="A205" s="18"/>
      <c r="B205" s="18" t="s">
        <v>43</v>
      </c>
      <c r="C205" s="10"/>
      <c r="D205" s="10"/>
      <c r="F205" s="6">
        <f>SUMIF(MD1_PL!$A$4:$A$100,"法人税*",MD1_PL!F$4:F$100)</f>
        <v>0</v>
      </c>
    </row>
    <row r="206" ht="15.75" customHeight="1" outlineLevel="1">
      <c r="A206" s="18"/>
      <c r="B206" s="18" t="s">
        <v>44</v>
      </c>
      <c r="C206" s="10"/>
      <c r="D206" s="10"/>
      <c r="F206" s="6">
        <f>F204-F205</f>
        <v>0</v>
      </c>
    </row>
    <row r="207" ht="15.75" customHeight="1" outlineLevel="1">
      <c r="A207" s="10"/>
      <c r="B207" s="10"/>
      <c r="C207" s="10"/>
      <c r="D207" s="10"/>
      <c r="F207" s="10"/>
    </row>
    <row r="208" ht="15.75" customHeight="1" outlineLevel="1">
      <c r="A208" s="10"/>
      <c r="B208" s="10"/>
      <c r="C208" s="10"/>
      <c r="D208" s="10"/>
      <c r="F208" s="10"/>
    </row>
    <row r="209" ht="15.75" customHeight="1" outlineLevel="1">
      <c r="A209" s="4"/>
      <c r="B209" s="4" t="s">
        <v>50</v>
      </c>
      <c r="C209" s="10"/>
      <c r="D209" s="10"/>
      <c r="F209" s="17">
        <f>F$2</f>
        <v>46113</v>
      </c>
    </row>
    <row r="210" ht="15.75" customHeight="1" outlineLevel="1">
      <c r="A210" s="18"/>
      <c r="B210" s="18" t="s">
        <v>64</v>
      </c>
      <c r="C210" s="10"/>
      <c r="D210" s="10"/>
      <c r="F210" s="6">
        <f>F2383*30%</f>
        <v>0</v>
      </c>
    </row>
    <row r="211" ht="15.75" customHeight="1">
      <c r="A211" s="10"/>
      <c r="B211" s="10"/>
      <c r="C211" s="10"/>
      <c r="D211" s="10"/>
      <c r="F211" s="10"/>
    </row>
    <row r="212" ht="15.75" customHeight="1">
      <c r="A212" s="10"/>
      <c r="B212" s="10"/>
      <c r="C212" s="10"/>
      <c r="D212" s="10"/>
      <c r="F212" s="10"/>
    </row>
    <row r="213" ht="15.75" customHeight="1">
      <c r="A213" s="25"/>
      <c r="B213" s="25" t="s">
        <v>65</v>
      </c>
      <c r="C213" s="26"/>
      <c r="D213" s="26"/>
      <c r="E213" s="26"/>
      <c r="F213" s="26"/>
      <c r="G213" s="26"/>
      <c r="H213" s="26"/>
      <c r="I213" s="26"/>
      <c r="J213" s="26"/>
      <c r="K213" s="26"/>
      <c r="L213" s="26"/>
      <c r="M213" s="26"/>
      <c r="N213" s="26"/>
      <c r="O213" s="26"/>
      <c r="P213" s="26"/>
      <c r="Q213" s="26"/>
      <c r="R213" s="26"/>
      <c r="S213" s="26"/>
    </row>
    <row r="214" ht="15.75" customHeight="1">
      <c r="A214" s="4"/>
      <c r="B214" s="4" t="s">
        <v>50</v>
      </c>
      <c r="C214" s="10"/>
      <c r="D214" s="4" t="s">
        <v>27</v>
      </c>
      <c r="F214" s="10"/>
    </row>
    <row r="215" ht="15.75" customHeight="1">
      <c r="A215" s="10"/>
      <c r="B215" s="10"/>
      <c r="C215" s="4" t="s">
        <v>66</v>
      </c>
      <c r="D215" s="10"/>
      <c r="F215" s="17"/>
    </row>
    <row r="216" ht="15.75" customHeight="1">
      <c r="A216" s="18"/>
      <c r="B216" s="18" t="s">
        <v>1</v>
      </c>
      <c r="C216" s="10"/>
      <c r="D216" s="10"/>
      <c r="F216" s="5"/>
    </row>
    <row r="217" ht="15.75" customHeight="1">
      <c r="A217" s="18"/>
      <c r="B217" s="18" t="s">
        <v>67</v>
      </c>
      <c r="C217" s="10"/>
      <c r="D217" s="10"/>
      <c r="F217" s="6">
        <f>SUMIF(YGR_PL!$A$4:$A$56, "売上*", YGR_PL!J$4:J$56)
</f>
        <v>43119318</v>
      </c>
    </row>
    <row r="218" ht="15.75" customHeight="1">
      <c r="A218" s="18"/>
      <c r="B218" s="18" t="s">
        <v>28</v>
      </c>
      <c r="C218" s="10"/>
      <c r="D218" s="10"/>
    </row>
    <row r="219" ht="15.75" customHeight="1">
      <c r="A219" s="10"/>
      <c r="B219" s="10"/>
      <c r="C219" s="18" t="s">
        <v>68</v>
      </c>
      <c r="D219" s="10"/>
      <c r="F219" s="6">
        <f t="array" ref="F219">XLOOKUP(XLOOKUP($C219, 'マスタ'!$C$2:$C$318, 'マスタ'!$D$2:$D$318, $C219), YGR_PL!$A$4:$A$56, YGR_PL!J$4:J$56)</f>
        <v>1886546</v>
      </c>
    </row>
    <row r="220" ht="15.75" customHeight="1">
      <c r="A220" s="10"/>
      <c r="B220" s="10"/>
      <c r="C220" s="18" t="s">
        <v>69</v>
      </c>
      <c r="D220" s="10"/>
      <c r="F220" s="6">
        <f t="array" ref="F220">XLOOKUP(XLOOKUP($C220, 'マスタ'!$C$2:$C$318, 'マスタ'!$D$2:$D$318, $C220), YGR_PL!$A$4:$A$56, YGR_PL!J$4:J$56)</f>
        <v>5788844</v>
      </c>
    </row>
    <row r="221" ht="15.75" customHeight="1">
      <c r="A221" s="10"/>
      <c r="B221" s="10"/>
      <c r="C221" s="27" t="s">
        <v>70</v>
      </c>
      <c r="D221" s="10"/>
      <c r="F221" s="28"/>
    </row>
    <row r="222" ht="15.75" customHeight="1">
      <c r="A222" s="10"/>
      <c r="B222" s="10"/>
      <c r="C222" s="18" t="s">
        <v>71</v>
      </c>
      <c r="D222" s="10"/>
      <c r="F222" s="6">
        <f t="array" ref="F222">XLOOKUP(C222, YGR_PL!$C$4:$C$56, YGR_PL!J$4:J$56)</f>
        <v>715441</v>
      </c>
    </row>
    <row r="223" ht="15.75" customHeight="1">
      <c r="A223" s="18"/>
      <c r="B223" s="18" t="s">
        <v>28</v>
      </c>
      <c r="C223" s="10"/>
      <c r="D223" s="10"/>
      <c r="F223" s="29">
        <f>F219+F220-F222</f>
        <v>6959949</v>
      </c>
    </row>
    <row r="224" ht="15.75" customHeight="1">
      <c r="A224" s="18"/>
      <c r="B224" s="18" t="s">
        <v>5</v>
      </c>
      <c r="C224" s="10"/>
      <c r="D224" s="10"/>
      <c r="F224" s="29">
        <f>F217-F223</f>
        <v>36159369</v>
      </c>
    </row>
    <row r="225" ht="15.75" customHeight="1">
      <c r="A225" s="18"/>
      <c r="B225" s="18" t="s">
        <v>29</v>
      </c>
      <c r="C225" s="10"/>
      <c r="D225" s="10"/>
      <c r="F225" s="5"/>
    </row>
    <row r="226" ht="15.75" customHeight="1">
      <c r="A226" s="10"/>
      <c r="B226" s="10"/>
      <c r="C226" s="18" t="s">
        <v>72</v>
      </c>
      <c r="D226" s="10"/>
      <c r="F226" s="6">
        <f t="array" ref="F226">SUMIF(YGR_PL!$A$4:$A$56, XLOOKUP($C226, 'マスタ'!$C$2:$C$318, 'マスタ'!$D$2:$D$318, $C226), YGR_PL!J$4:J$56)</f>
        <v>3650000</v>
      </c>
    </row>
    <row r="227" ht="15.75" customHeight="1">
      <c r="A227" s="10"/>
      <c r="B227" s="10"/>
      <c r="C227" s="18" t="s">
        <v>73</v>
      </c>
      <c r="D227" s="10"/>
      <c r="F227" s="6">
        <f t="array" ref="F227">SUMIF(YGR_PL!$A$4:$A$56, XLOOKUP($C227, 'マスタ'!$C$2:$C$318, 'マスタ'!$D$2:$D$318, $C227), YGR_PL!J$4:J$56)</f>
        <v>1906725</v>
      </c>
    </row>
    <row r="228" ht="15.75" customHeight="1">
      <c r="A228" s="10"/>
      <c r="B228" s="10"/>
      <c r="C228" s="18" t="s">
        <v>74</v>
      </c>
      <c r="D228" s="10"/>
      <c r="F228" s="6">
        <f t="array" ref="F228">SUMIF(YGR_PL!$A$4:$A$56, XLOOKUP($C228, 'マスタ'!$C$2:$C$318, 'マスタ'!$D$2:$D$318, $C228), YGR_PL!J$4:J$56)</f>
        <v>688384</v>
      </c>
    </row>
    <row r="229" ht="15.75" customHeight="1">
      <c r="A229" s="10"/>
      <c r="B229" s="10"/>
      <c r="C229" s="18" t="s">
        <v>75</v>
      </c>
      <c r="D229" s="10"/>
      <c r="F229" s="6">
        <f t="array" ref="F229">SUMIF(YGR_PL!$A$4:$A$56, XLOOKUP($C229, 'マスタ'!$C$2:$C$318, 'マスタ'!$D$2:$D$318, $C229), YGR_PL!J$4:J$56)</f>
        <v>0</v>
      </c>
    </row>
    <row r="230" ht="15.75" customHeight="1">
      <c r="A230" s="10"/>
      <c r="B230" s="10"/>
      <c r="C230" s="18" t="s">
        <v>76</v>
      </c>
      <c r="D230" s="10"/>
      <c r="F230" s="6">
        <f t="array" ref="F230">SUMIF(YGR_PL!$A$4:$A$56, XLOOKUP($C230, 'マスタ'!$C$2:$C$318, 'マスタ'!$D$2:$D$318, $C230), YGR_PL!J$4:J$56)</f>
        <v>17395635</v>
      </c>
    </row>
    <row r="231" ht="15.75" customHeight="1">
      <c r="A231" s="10"/>
      <c r="B231" s="10"/>
      <c r="C231" s="18" t="s">
        <v>77</v>
      </c>
      <c r="D231" s="10"/>
      <c r="F231" s="6">
        <f t="array" ref="F231">SUMIF(YGR_PL!$A$4:$A$56, XLOOKUP($C231, 'マスタ'!$C$2:$C$318, 'マスタ'!$D$2:$D$318, $C231), YGR_PL!J$4:J$56)</f>
        <v>1155634</v>
      </c>
    </row>
    <row r="232" ht="15.75" customHeight="1">
      <c r="A232" s="10"/>
      <c r="B232" s="10"/>
      <c r="C232" s="18" t="s">
        <v>78</v>
      </c>
      <c r="D232" s="10"/>
      <c r="F232" s="6">
        <f t="array" ref="F232">SUMIF(YGR_PL!$A$4:$A$56, XLOOKUP($C232, 'マスタ'!$C$2:$C$318, 'マスタ'!$D$2:$D$318, $C232), YGR_PL!J$4:J$56)</f>
        <v>2015176</v>
      </c>
    </row>
    <row r="233" ht="15.75" customHeight="1">
      <c r="A233" s="10"/>
      <c r="B233" s="10"/>
      <c r="C233" s="18" t="s">
        <v>79</v>
      </c>
      <c r="D233" s="10"/>
      <c r="F233" s="6">
        <f t="array" ref="F233">SUMIF(YGR_PL!$A$4:$A$56, XLOOKUP($C233, 'マスタ'!$C$2:$C$318, 'マスタ'!$D$2:$D$318, $C233), YGR_PL!J$4:J$56)</f>
        <v>0</v>
      </c>
    </row>
    <row r="234" ht="15.75" customHeight="1">
      <c r="A234" s="10"/>
      <c r="B234" s="10"/>
      <c r="C234" s="18" t="s">
        <v>80</v>
      </c>
      <c r="D234" s="10"/>
      <c r="F234" s="6">
        <f t="array" ref="F234">SUMIF(YGR_PL!$A$4:$A$56, XLOOKUP($C234, 'マスタ'!$C$2:$C$318, 'マスタ'!$D$2:$D$318, $C234), YGR_PL!J$4:J$56)</f>
        <v>20359</v>
      </c>
    </row>
    <row r="235" ht="15.75" customHeight="1">
      <c r="A235" s="10"/>
      <c r="B235" s="10"/>
      <c r="C235" s="18" t="s">
        <v>81</v>
      </c>
      <c r="D235" s="10"/>
      <c r="F235" s="6">
        <f t="array" ref="F235">SUMIF(YGR_PL!$A$4:$A$56, XLOOKUP($C235, 'マスタ'!$C$2:$C$318, 'マスタ'!$D$2:$D$318, $C235), YGR_PL!J$4:J$56)</f>
        <v>0</v>
      </c>
    </row>
    <row r="236" ht="15.75" customHeight="1">
      <c r="A236" s="10"/>
      <c r="B236" s="10"/>
      <c r="C236" s="18" t="s">
        <v>82</v>
      </c>
      <c r="D236" s="10"/>
      <c r="F236" s="6">
        <f t="array" ref="F236">SUMIF(YGR_PL!$A$4:$A$56, XLOOKUP($C236, 'マスタ'!$C$2:$C$318, 'マスタ'!$D$2:$D$318, $C236), YGR_PL!J$4:J$56)</f>
        <v>116332</v>
      </c>
    </row>
    <row r="237" ht="15.75" customHeight="1">
      <c r="A237" s="10"/>
      <c r="B237" s="10"/>
      <c r="C237" s="18" t="s">
        <v>83</v>
      </c>
      <c r="D237" s="10"/>
      <c r="F237" s="6">
        <f t="array" ref="F237">SUMIF(YGR_PL!$A$4:$A$56, XLOOKUP($C237, 'マスタ'!$C$2:$C$318, 'マスタ'!$D$2:$D$318, $C237), YGR_PL!J$4:J$56)</f>
        <v>1009055</v>
      </c>
    </row>
    <row r="238" ht="15.75" customHeight="1">
      <c r="A238" s="10"/>
      <c r="B238" s="10"/>
      <c r="C238" s="18" t="s">
        <v>84</v>
      </c>
      <c r="D238" s="10"/>
      <c r="F238" s="6">
        <f t="array" ref="F238">SUMIF(YGR_PL!$A$4:$A$56, XLOOKUP($C238, 'マスタ'!$C$2:$C$318, 'マスタ'!$D$2:$D$318, $C238), YGR_PL!J$4:J$56)</f>
        <v>394197</v>
      </c>
    </row>
    <row r="239" ht="15.75" customHeight="1">
      <c r="A239" s="10"/>
      <c r="B239" s="10"/>
      <c r="C239" s="18" t="s">
        <v>85</v>
      </c>
      <c r="D239" s="10"/>
      <c r="F239" s="6">
        <f t="array" ref="F239">SUMIF(YGR_PL!$A$4:$A$56, XLOOKUP($C239, 'マスタ'!$C$2:$C$318, 'マスタ'!$D$2:$D$318, $C239), YGR_PL!J$4:J$56)</f>
        <v>0</v>
      </c>
    </row>
    <row r="240" ht="15.75" customHeight="1">
      <c r="A240" s="10"/>
      <c r="B240" s="10"/>
      <c r="C240" s="18" t="s">
        <v>86</v>
      </c>
      <c r="D240" s="10"/>
      <c r="F240" s="6">
        <f t="array" ref="F240">SUMIF(YGR_PL!$A$4:$A$56, XLOOKUP($C240, 'マスタ'!$C$2:$C$318, 'マスタ'!$D$2:$D$318, $C240), YGR_PL!J$4:J$56)</f>
        <v>78736</v>
      </c>
    </row>
    <row r="241" ht="15.75" customHeight="1">
      <c r="A241" s="10"/>
      <c r="B241" s="10"/>
      <c r="C241" s="18" t="s">
        <v>87</v>
      </c>
      <c r="D241" s="10"/>
      <c r="F241" s="6">
        <f t="array" ref="F241">SUMIF(YGR_PL!$A$4:$A$56, XLOOKUP($C241, 'マスタ'!$C$2:$C$318, 'マスタ'!$D$2:$D$318, $C241), YGR_PL!J$4:J$56)</f>
        <v>625659</v>
      </c>
    </row>
    <row r="242" ht="15.75" customHeight="1">
      <c r="A242" s="10"/>
      <c r="B242" s="10"/>
      <c r="C242" s="18" t="s">
        <v>88</v>
      </c>
      <c r="D242" s="10"/>
      <c r="F242" s="6">
        <f t="array" ref="F242">SUMIF(YGR_PL!$A$4:$A$56, XLOOKUP($C242, 'マスタ'!$C$2:$C$318, 'マスタ'!$D$2:$D$318, $C242), YGR_PL!J$4:J$56)</f>
        <v>30400</v>
      </c>
    </row>
    <row r="243" ht="15.75" customHeight="1">
      <c r="A243" s="10"/>
      <c r="B243" s="10"/>
      <c r="C243" s="18" t="s">
        <v>89</v>
      </c>
      <c r="D243" s="10"/>
      <c r="F243" s="6">
        <f t="array" ref="F243">SUMIF(YGR_PL!$A$4:$A$56, XLOOKUP($C243, 'マスタ'!$C$2:$C$318, 'マスタ'!$D$2:$D$318, $C243), YGR_PL!J$4:J$56)</f>
        <v>0</v>
      </c>
    </row>
    <row r="244" ht="15.75" customHeight="1">
      <c r="A244" s="10"/>
      <c r="B244" s="10"/>
      <c r="C244" s="18" t="s">
        <v>90</v>
      </c>
      <c r="D244" s="10"/>
      <c r="F244" s="6">
        <f t="array" ref="F244">SUMIF(YGR_PL!$A$4:$A$56, XLOOKUP($C244, 'マスタ'!$C$2:$C$318, 'マスタ'!$D$2:$D$318, $C244), YGR_PL!J$4:J$56)</f>
        <v>0</v>
      </c>
    </row>
    <row r="245" ht="15.75" customHeight="1">
      <c r="A245" s="10"/>
      <c r="B245" s="10"/>
      <c r="C245" s="18" t="s">
        <v>91</v>
      </c>
      <c r="D245" s="10"/>
      <c r="F245" s="6">
        <f t="array" ref="F245">SUMIF(YGR_PL!$A$4:$A$56, XLOOKUP($C245, 'マスタ'!$C$2:$C$318, 'マスタ'!$D$2:$D$318, $C245), YGR_PL!J$4:J$56)</f>
        <v>2805759</v>
      </c>
    </row>
    <row r="246" ht="15.75" customHeight="1">
      <c r="A246" s="10"/>
      <c r="B246" s="10"/>
      <c r="C246" s="18" t="s">
        <v>92</v>
      </c>
      <c r="D246" s="10"/>
      <c r="F246" s="6">
        <f t="array" ref="F246">SUMIF(YGR_PL!$A$4:$A$56, XLOOKUP($C246, 'マスタ'!$C$2:$C$318, 'マスタ'!$D$2:$D$318, $C246), YGR_PL!J$4:J$56)</f>
        <v>28224</v>
      </c>
    </row>
    <row r="247" ht="15.75" customHeight="1">
      <c r="A247" s="10"/>
      <c r="B247" s="10"/>
      <c r="C247" s="18" t="s">
        <v>93</v>
      </c>
      <c r="D247" s="10"/>
      <c r="F247" s="6">
        <f t="array" ref="F247">SUMIF(YGR_PL!$A$4:$A$56, XLOOKUP($C247, 'マスタ'!$C$2:$C$318, 'マスタ'!$D$2:$D$318, $C247), YGR_PL!J$4:J$56)</f>
        <v>2275000</v>
      </c>
    </row>
    <row r="248" ht="15.75" customHeight="1">
      <c r="A248" s="10"/>
      <c r="B248" s="10"/>
      <c r="C248" s="18" t="s">
        <v>94</v>
      </c>
      <c r="D248" s="10"/>
      <c r="F248" s="6">
        <f t="array" ref="F248">SUMIF(YGR_PL!$A$4:$A$56, XLOOKUP($C248, 'マスタ'!$C$2:$C$318, 'マスタ'!$D$2:$D$318, $C248), YGR_PL!J$4:J$56)</f>
        <v>0</v>
      </c>
    </row>
    <row r="249" ht="15.75" customHeight="1">
      <c r="A249" s="10"/>
      <c r="B249" s="10"/>
      <c r="C249" s="18" t="s">
        <v>95</v>
      </c>
      <c r="D249" s="10"/>
      <c r="F249" s="6">
        <f t="array" ref="F249">SUMIF(YGR_PL!$A$4:$A$56, XLOOKUP($C249, 'マスタ'!$C$2:$C$318, 'マスタ'!$D$2:$D$318, $C249), YGR_PL!J$4:J$56)</f>
        <v>254649</v>
      </c>
    </row>
    <row r="250" ht="15.75" customHeight="1">
      <c r="A250" s="10"/>
      <c r="B250" s="10"/>
      <c r="C250" s="18" t="s">
        <v>96</v>
      </c>
      <c r="D250" s="10"/>
      <c r="F250" s="6">
        <f t="array" ref="F250">SUMIF(YGR_PL!$A$4:$A$56, XLOOKUP($C250, 'マスタ'!$C$2:$C$318, 'マスタ'!$D$2:$D$318, $C250), YGR_PL!J$4:J$56)</f>
        <v>0</v>
      </c>
    </row>
    <row r="251" ht="15.75" customHeight="1">
      <c r="A251" s="10"/>
      <c r="B251" s="10"/>
      <c r="C251" s="18" t="s">
        <v>97</v>
      </c>
      <c r="D251" s="10"/>
      <c r="F251" s="6">
        <f t="array" ref="F251">SUMIF(YGR_PL!$A$4:$A$56, XLOOKUP($C251, 'マスタ'!$C$2:$C$318, 'マスタ'!$D$2:$D$318, $C251), YGR_PL!J$4:J$56)</f>
        <v>0</v>
      </c>
    </row>
    <row r="252" ht="15.75" customHeight="1">
      <c r="A252" s="10"/>
      <c r="B252" s="10"/>
      <c r="C252" s="18" t="s">
        <v>98</v>
      </c>
      <c r="D252" s="10"/>
      <c r="F252" s="6">
        <f t="array" ref="F252">SUMIF(YGR_PL!$A$4:$A$56, XLOOKUP($C252, 'マスタ'!$C$2:$C$318, 'マスタ'!$D$2:$D$318, $C252), YGR_PL!J$4:J$56)</f>
        <v>0</v>
      </c>
    </row>
    <row r="253" ht="15.75" customHeight="1">
      <c r="A253" s="10"/>
      <c r="B253" s="10"/>
      <c r="C253" s="18" t="s">
        <v>99</v>
      </c>
      <c r="D253" s="10"/>
      <c r="F253" s="6">
        <f t="array" ref="F253">SUMIF(YGR_PL!$A$4:$A$56, XLOOKUP($C253, 'マスタ'!$C$2:$C$318, 'マスタ'!$D$2:$D$318, $C253), YGR_PL!J$4:J$56)</f>
        <v>0</v>
      </c>
    </row>
    <row r="254" ht="15.75" customHeight="1">
      <c r="A254" s="10"/>
      <c r="B254" s="10"/>
      <c r="C254" s="18" t="s">
        <v>100</v>
      </c>
      <c r="D254" s="10"/>
      <c r="F254" s="6">
        <f t="array" ref="F254">SUMIF(YGR_PL!$A$4:$A$56, XLOOKUP($C254, 'マスタ'!$C$2:$C$318, 'マスタ'!$D$2:$D$318, $C254), YGR_PL!J$4:J$56)</f>
        <v>0</v>
      </c>
    </row>
    <row r="255" ht="15.75" customHeight="1">
      <c r="A255" s="10"/>
      <c r="B255" s="10"/>
      <c r="C255" s="18" t="s">
        <v>101</v>
      </c>
      <c r="D255" s="10"/>
      <c r="F255" s="6">
        <f t="array" ref="F255">SUMIF(YGR_PL!$A$4:$A$56, XLOOKUP($C255, 'マスタ'!$C$2:$C$318, 'マスタ'!$D$2:$D$318, $C255), YGR_PL!J$4:J$56)</f>
        <v>0</v>
      </c>
    </row>
    <row r="256" ht="15.75" customHeight="1">
      <c r="A256" s="18"/>
      <c r="B256" s="18" t="s">
        <v>102</v>
      </c>
      <c r="C256" s="10"/>
      <c r="D256" s="10"/>
      <c r="F256" s="29">
        <f>SUM(F226:F255)</f>
        <v>34449924</v>
      </c>
    </row>
    <row r="257" ht="15.75" customHeight="1">
      <c r="A257" s="18"/>
      <c r="B257" s="18" t="s">
        <v>31</v>
      </c>
      <c r="C257" s="10"/>
      <c r="D257" s="10"/>
      <c r="F257" s="6">
        <f>F224-F256</f>
        <v>1709445</v>
      </c>
    </row>
    <row r="258" ht="15.75" customHeight="1">
      <c r="A258" s="18"/>
      <c r="B258" s="18" t="s">
        <v>32</v>
      </c>
      <c r="C258" s="18"/>
      <c r="D258" s="10"/>
      <c r="F258" s="6">
        <f>SUM(F259:F264)</f>
        <v>1392416</v>
      </c>
    </row>
    <row r="259" ht="15.75" customHeight="1">
      <c r="A259" s="10"/>
      <c r="B259" s="10"/>
      <c r="C259" s="18" t="s">
        <v>103</v>
      </c>
      <c r="D259" s="10"/>
      <c r="F259" s="6">
        <f t="array" ref="F259">XLOOKUP(XLOOKUP($C259, 'マスタ'!$C$2:$C$318, 'マスタ'!$D$2:$D$318, $C259), YGR_PL!$C$4:$C$56, YGR_PL!J$4:J$56, 0)</f>
        <v>12583</v>
      </c>
    </row>
    <row r="260" ht="15.75" customHeight="1">
      <c r="A260" s="10"/>
      <c r="B260" s="10"/>
      <c r="C260" s="10" t="s">
        <v>104</v>
      </c>
      <c r="D260" s="10"/>
      <c r="F260" s="6"/>
    </row>
    <row r="261" ht="15.75" customHeight="1">
      <c r="A261" s="10"/>
      <c r="B261" s="10"/>
      <c r="C261" s="18" t="s">
        <v>105</v>
      </c>
      <c r="D261" s="10"/>
      <c r="F261" s="6"/>
    </row>
    <row r="262" ht="15.75" customHeight="1">
      <c r="A262" s="10"/>
      <c r="B262" s="10"/>
      <c r="C262" s="10" t="s">
        <v>106</v>
      </c>
      <c r="D262" s="10"/>
      <c r="F262" s="6"/>
    </row>
    <row r="263" ht="15.75" customHeight="1">
      <c r="A263" s="10"/>
      <c r="B263" s="10"/>
      <c r="C263" s="18" t="s">
        <v>107</v>
      </c>
      <c r="D263" s="10"/>
      <c r="F263" s="6"/>
    </row>
    <row r="264" ht="15.75" customHeight="1">
      <c r="A264" s="10"/>
      <c r="B264" s="10"/>
      <c r="C264" s="18" t="s">
        <v>108</v>
      </c>
      <c r="D264" s="10"/>
      <c r="F264" s="6">
        <f t="array" ref="F264">XLOOKUP(XLOOKUP($C264, 'マスタ'!$C$2:$C$318, 'マスタ'!$D$2:$D$318, $C264), YGR_PL!$C$4:$C$56, YGR_PL!J$4:J$56, 0)</f>
        <v>1379833</v>
      </c>
    </row>
    <row r="265" ht="15.75" customHeight="1">
      <c r="A265" s="18"/>
      <c r="B265" s="18" t="s">
        <v>34</v>
      </c>
      <c r="C265" s="18"/>
      <c r="D265" s="10"/>
      <c r="F265" s="6">
        <f>SUM(F266:F268)</f>
        <v>43584257</v>
      </c>
    </row>
    <row r="266" ht="15.75" customHeight="1">
      <c r="A266" s="10"/>
      <c r="B266" s="10"/>
      <c r="C266" s="18" t="s">
        <v>109</v>
      </c>
      <c r="D266" s="10"/>
      <c r="F266" s="6">
        <f t="array" ref="F266">XLOOKUP(XLOOKUP($C266, 'マスタ'!$C$2:$C$318, 'マスタ'!$D$2:$D$318, $C266), YGR_PL!$C$4:$C$56, YGR_PL!J$4:J$56, 0)</f>
        <v>42868816</v>
      </c>
    </row>
    <row r="267" ht="15.75" customHeight="1">
      <c r="A267" s="10"/>
      <c r="B267" s="10"/>
      <c r="C267" s="18" t="s">
        <v>110</v>
      </c>
      <c r="D267" s="10"/>
      <c r="F267" s="6"/>
    </row>
    <row r="268" ht="15.75" customHeight="1">
      <c r="A268" s="10"/>
      <c r="B268" s="10"/>
      <c r="C268" s="18" t="s">
        <v>111</v>
      </c>
      <c r="D268" s="10"/>
      <c r="F268" s="6">
        <f t="array" ref="F268">XLOOKUP(XLOOKUP($C268, 'マスタ'!$C$2:$C$318, 'マスタ'!$D$2:$D$318, $C268), YGR_PL!$C$4:$C$56, YGR_PL!J$4:J$56, 0)</f>
        <v>715441</v>
      </c>
    </row>
    <row r="269" ht="15.75" customHeight="1">
      <c r="A269" s="18"/>
      <c r="B269" s="18" t="s">
        <v>112</v>
      </c>
      <c r="C269" s="10"/>
      <c r="D269" s="10"/>
      <c r="F269" s="6">
        <f>F257+F258-F265</f>
        <v>-40482396</v>
      </c>
    </row>
    <row r="270" ht="15.75" customHeight="1">
      <c r="A270" s="18"/>
      <c r="B270" s="18" t="s">
        <v>37</v>
      </c>
      <c r="D270" s="10"/>
      <c r="F270" s="28">
        <f t="array" ref="F270">XLOOKUP(XLOOKUP($B270, 'マスタ'!$C$2:$C$318, 'マスタ'!$D$2:$D$318, $B270), YGR_PL!$C$4:$C$56, YGR_PL!J$4:J$56, 0)</f>
        <v>0</v>
      </c>
    </row>
    <row r="271" ht="15.75" customHeight="1">
      <c r="A271" s="10"/>
      <c r="B271" s="10"/>
      <c r="C271" s="10" t="s">
        <v>113</v>
      </c>
      <c r="F271" s="28"/>
    </row>
    <row r="272" ht="15.75" customHeight="1">
      <c r="A272" s="10"/>
      <c r="B272" s="10"/>
      <c r="C272" s="18"/>
      <c r="D272" s="18"/>
      <c r="F272" s="28"/>
    </row>
    <row r="273" ht="15.75" customHeight="1">
      <c r="A273" s="18"/>
      <c r="B273" s="18" t="s">
        <v>39</v>
      </c>
      <c r="D273" s="18"/>
      <c r="F273" s="28">
        <f t="array" ref="F273">XLOOKUP(XLOOKUP($B273, 'マスタ'!$C$2:$C$318, 'マスタ'!$D$2:$D$318, $B273), YGR_PL!$C$4:$C$56, YGR_PL!J$4:J$56, 0)</f>
        <v>0</v>
      </c>
    </row>
    <row r="274" ht="15.75" customHeight="1">
      <c r="A274" s="18"/>
      <c r="B274" s="18"/>
      <c r="C274" s="18" t="s">
        <v>114</v>
      </c>
      <c r="F274" s="28"/>
    </row>
    <row r="275" ht="15.75" customHeight="1">
      <c r="A275" s="18"/>
      <c r="B275" s="18"/>
      <c r="C275" s="10" t="s">
        <v>115</v>
      </c>
      <c r="F275" s="28"/>
    </row>
    <row r="276" ht="15.75" customHeight="1">
      <c r="A276" s="18"/>
      <c r="B276" s="18"/>
      <c r="C276" s="10" t="s">
        <v>116</v>
      </c>
      <c r="F276" s="28"/>
    </row>
    <row r="277" ht="15.75" customHeight="1">
      <c r="A277" s="18"/>
      <c r="B277" s="18" t="s">
        <v>117</v>
      </c>
      <c r="C277" s="10"/>
      <c r="F277" s="6">
        <f>F269+F270-F273</f>
        <v>-40482396</v>
      </c>
    </row>
    <row r="278" ht="15.75" customHeight="1">
      <c r="A278" s="10"/>
      <c r="B278" s="10"/>
      <c r="C278" s="18" t="s">
        <v>43</v>
      </c>
      <c r="D278" s="10"/>
      <c r="F278" s="6">
        <f t="array" ref="F278">XLOOKUP(XLOOKUP($C278, 'マスタ'!$C$2:$C$318, 'マスタ'!$D$2:$D$318, $C278), YGR_PL!$C$4:$C$56, YGR_PL!J$4:J$56, 0)</f>
        <v>0</v>
      </c>
    </row>
    <row r="279" ht="15.75" customHeight="1">
      <c r="A279" s="10"/>
      <c r="B279" s="10"/>
      <c r="C279" s="18" t="s">
        <v>118</v>
      </c>
      <c r="D279" s="10"/>
      <c r="F279" s="6">
        <f t="array" ref="F279">XLOOKUP(XLOOKUP($C279, 'マスタ'!$C$2:$C$318, 'マスタ'!$D$2:$D$318, $C279), YGR_PL!$C$4:$C$56, YGR_PL!J$4:J$56, 0)</f>
        <v>0</v>
      </c>
    </row>
    <row r="280" ht="15.75" customHeight="1">
      <c r="A280" s="18"/>
      <c r="B280" s="18" t="s">
        <v>119</v>
      </c>
      <c r="C280" s="10"/>
      <c r="D280" s="10"/>
      <c r="F280" s="6">
        <f>F277-(F278+F279)</f>
        <v>-40482396</v>
      </c>
    </row>
    <row r="281" ht="15.75" customHeight="1">
      <c r="A281" s="18"/>
      <c r="B281" s="18"/>
      <c r="C281" s="10"/>
      <c r="D281" s="10"/>
      <c r="F281" s="6"/>
    </row>
    <row r="282" ht="15.75" customHeight="1">
      <c r="A282" s="18"/>
      <c r="B282" s="18"/>
      <c r="C282" s="10"/>
      <c r="D282" s="10"/>
      <c r="F282" s="6"/>
    </row>
    <row r="283" ht="15.75" customHeight="1">
      <c r="A283" s="4"/>
      <c r="B283" s="4" t="s">
        <v>50</v>
      </c>
      <c r="C283" s="10"/>
      <c r="D283" s="4" t="s">
        <v>27</v>
      </c>
      <c r="F283" s="6"/>
    </row>
    <row r="284" ht="15.75" customHeight="1">
      <c r="A284" s="10"/>
      <c r="B284" s="10"/>
      <c r="C284" s="4" t="s">
        <v>120</v>
      </c>
      <c r="D284" s="10"/>
      <c r="F284" s="6"/>
    </row>
    <row r="285" ht="15.75" customHeight="1">
      <c r="A285" s="18"/>
      <c r="B285" s="18" t="s">
        <v>1</v>
      </c>
      <c r="C285" s="10"/>
      <c r="D285" s="10"/>
      <c r="F285" s="6">
        <v>2775.0</v>
      </c>
    </row>
    <row r="286" ht="15.75" customHeight="1">
      <c r="A286" s="18"/>
      <c r="B286" s="18" t="s">
        <v>67</v>
      </c>
      <c r="C286" s="10"/>
      <c r="D286" s="10"/>
      <c r="F286" s="6"/>
    </row>
    <row r="287" ht="15.75" customHeight="1">
      <c r="A287" s="18"/>
      <c r="B287" s="18" t="s">
        <v>28</v>
      </c>
      <c r="C287" s="10"/>
      <c r="D287" s="10"/>
      <c r="F287" s="6"/>
    </row>
    <row r="288" ht="15.75" customHeight="1">
      <c r="A288" s="10"/>
      <c r="B288" s="10"/>
      <c r="C288" s="18" t="s">
        <v>68</v>
      </c>
      <c r="D288" s="10"/>
      <c r="F288" s="6">
        <v>0.0</v>
      </c>
    </row>
    <row r="289" ht="15.75" customHeight="1">
      <c r="A289" s="10"/>
      <c r="B289" s="10"/>
      <c r="C289" s="18" t="s">
        <v>69</v>
      </c>
      <c r="D289" s="10"/>
      <c r="F289" s="6">
        <v>0.0</v>
      </c>
    </row>
    <row r="290" ht="15.75" customHeight="1">
      <c r="A290" s="10"/>
      <c r="B290" s="10"/>
      <c r="C290" s="18" t="s">
        <v>71</v>
      </c>
      <c r="D290" s="10"/>
      <c r="F290" s="6">
        <v>0.0</v>
      </c>
    </row>
    <row r="291" ht="15.75" customHeight="1">
      <c r="A291" s="18"/>
      <c r="B291" s="18" t="s">
        <v>28</v>
      </c>
      <c r="C291" s="10"/>
      <c r="D291" s="10"/>
      <c r="F291" s="6">
        <f>F288+F289-F290</f>
        <v>0</v>
      </c>
    </row>
    <row r="292" ht="15.75" customHeight="1">
      <c r="A292" s="18"/>
      <c r="B292" s="18" t="s">
        <v>5</v>
      </c>
      <c r="C292" s="10"/>
      <c r="D292" s="10"/>
      <c r="F292" s="6">
        <f>F285-F291</f>
        <v>2775</v>
      </c>
    </row>
    <row r="293" ht="15.75" customHeight="1" collapsed="1">
      <c r="A293" s="18"/>
      <c r="B293" s="18" t="s">
        <v>29</v>
      </c>
      <c r="C293" s="10"/>
      <c r="D293" s="10"/>
      <c r="F293" s="6"/>
    </row>
    <row r="294" ht="15.75" hidden="1" customHeight="1" outlineLevel="1">
      <c r="A294" s="10"/>
      <c r="B294" s="10"/>
      <c r="C294" s="18" t="s">
        <v>72</v>
      </c>
      <c r="D294" s="10"/>
      <c r="F294" s="6">
        <v>0.0</v>
      </c>
    </row>
    <row r="295" ht="15.75" hidden="1" customHeight="1" outlineLevel="1">
      <c r="A295" s="10"/>
      <c r="B295" s="10"/>
      <c r="C295" s="18" t="s">
        <v>73</v>
      </c>
      <c r="D295" s="10"/>
      <c r="F295" s="6">
        <v>0.0</v>
      </c>
    </row>
    <row r="296" ht="15.75" hidden="1" customHeight="1" outlineLevel="1">
      <c r="A296" s="10"/>
      <c r="B296" s="10"/>
      <c r="C296" s="18" t="s">
        <v>74</v>
      </c>
      <c r="D296" s="10"/>
      <c r="F296" s="6">
        <v>0.0</v>
      </c>
    </row>
    <row r="297" ht="15.75" hidden="1" customHeight="1" outlineLevel="1">
      <c r="A297" s="10"/>
      <c r="B297" s="10"/>
      <c r="C297" s="18" t="s">
        <v>75</v>
      </c>
      <c r="D297" s="10"/>
      <c r="F297" s="6">
        <v>0.0</v>
      </c>
    </row>
    <row r="298" ht="15.75" hidden="1" customHeight="1" outlineLevel="1">
      <c r="A298" s="10"/>
      <c r="B298" s="10"/>
      <c r="C298" s="18" t="s">
        <v>76</v>
      </c>
      <c r="D298" s="10"/>
      <c r="F298" s="6">
        <v>0.0</v>
      </c>
    </row>
    <row r="299" ht="15.75" hidden="1" customHeight="1" outlineLevel="1">
      <c r="A299" s="10"/>
      <c r="B299" s="10"/>
      <c r="C299" s="18" t="s">
        <v>77</v>
      </c>
      <c r="D299" s="10"/>
      <c r="F299" s="6">
        <v>0.0</v>
      </c>
    </row>
    <row r="300" ht="15.75" hidden="1" customHeight="1" outlineLevel="1">
      <c r="A300" s="10"/>
      <c r="B300" s="10"/>
      <c r="C300" s="18" t="s">
        <v>78</v>
      </c>
      <c r="D300" s="10"/>
      <c r="F300" s="6">
        <v>0.0</v>
      </c>
    </row>
    <row r="301" ht="15.75" hidden="1" customHeight="1" outlineLevel="1">
      <c r="A301" s="10"/>
      <c r="B301" s="10"/>
      <c r="C301" s="18" t="s">
        <v>79</v>
      </c>
      <c r="D301" s="10"/>
      <c r="F301" s="6">
        <v>0.0</v>
      </c>
    </row>
    <row r="302" ht="15.75" hidden="1" customHeight="1" outlineLevel="1">
      <c r="A302" s="10"/>
      <c r="B302" s="10"/>
      <c r="C302" s="18" t="s">
        <v>80</v>
      </c>
      <c r="D302" s="10"/>
      <c r="F302" s="6">
        <v>0.0</v>
      </c>
    </row>
    <row r="303" ht="15.75" hidden="1" customHeight="1" outlineLevel="1">
      <c r="A303" s="10"/>
      <c r="B303" s="10"/>
      <c r="C303" s="18" t="s">
        <v>81</v>
      </c>
      <c r="D303" s="10"/>
      <c r="F303" s="6">
        <v>0.0</v>
      </c>
    </row>
    <row r="304" ht="15.75" hidden="1" customHeight="1" outlineLevel="1">
      <c r="A304" s="10"/>
      <c r="B304" s="10"/>
      <c r="C304" s="18" t="s">
        <v>82</v>
      </c>
      <c r="D304" s="10"/>
      <c r="F304" s="6">
        <v>0.0</v>
      </c>
    </row>
    <row r="305" ht="15.75" hidden="1" customHeight="1" outlineLevel="1">
      <c r="A305" s="10"/>
      <c r="B305" s="10"/>
      <c r="C305" s="18" t="s">
        <v>83</v>
      </c>
      <c r="D305" s="10"/>
      <c r="F305" s="6">
        <v>0.0</v>
      </c>
    </row>
    <row r="306" ht="15.75" hidden="1" customHeight="1" outlineLevel="1">
      <c r="A306" s="10"/>
      <c r="B306" s="10"/>
      <c r="C306" s="18" t="s">
        <v>84</v>
      </c>
      <c r="D306" s="10"/>
      <c r="F306" s="6">
        <v>0.0</v>
      </c>
    </row>
    <row r="307" ht="15.75" hidden="1" customHeight="1" outlineLevel="1">
      <c r="A307" s="10"/>
      <c r="B307" s="10"/>
      <c r="C307" s="18" t="s">
        <v>85</v>
      </c>
      <c r="D307" s="10"/>
      <c r="F307" s="6">
        <v>0.0</v>
      </c>
    </row>
    <row r="308" ht="15.75" hidden="1" customHeight="1" outlineLevel="1">
      <c r="A308" s="10"/>
      <c r="B308" s="10"/>
      <c r="C308" s="18" t="s">
        <v>86</v>
      </c>
      <c r="D308" s="10"/>
      <c r="F308" s="6">
        <v>0.0</v>
      </c>
    </row>
    <row r="309" ht="15.75" hidden="1" customHeight="1" outlineLevel="1">
      <c r="A309" s="10"/>
      <c r="B309" s="10"/>
      <c r="C309" s="18" t="s">
        <v>87</v>
      </c>
      <c r="D309" s="10"/>
      <c r="F309" s="6">
        <v>0.0</v>
      </c>
    </row>
    <row r="310" ht="15.75" hidden="1" customHeight="1" outlineLevel="1">
      <c r="A310" s="10"/>
      <c r="B310" s="10"/>
      <c r="C310" s="18" t="s">
        <v>88</v>
      </c>
      <c r="D310" s="10"/>
      <c r="F310" s="6">
        <v>0.0</v>
      </c>
    </row>
    <row r="311" ht="15.75" hidden="1" customHeight="1" outlineLevel="1">
      <c r="A311" s="10"/>
      <c r="B311" s="10"/>
      <c r="C311" s="18" t="s">
        <v>89</v>
      </c>
      <c r="D311" s="10"/>
      <c r="F311" s="6">
        <v>0.0</v>
      </c>
    </row>
    <row r="312" ht="15.75" hidden="1" customHeight="1" outlineLevel="1">
      <c r="A312" s="10"/>
      <c r="B312" s="10"/>
      <c r="C312" s="18" t="s">
        <v>90</v>
      </c>
      <c r="D312" s="10"/>
      <c r="F312" s="6">
        <v>0.0</v>
      </c>
    </row>
    <row r="313" ht="15.75" hidden="1" customHeight="1" outlineLevel="1">
      <c r="A313" s="10"/>
      <c r="B313" s="10"/>
      <c r="C313" s="18" t="s">
        <v>91</v>
      </c>
      <c r="D313" s="10"/>
      <c r="F313" s="6">
        <v>0.0</v>
      </c>
    </row>
    <row r="314" ht="15.75" hidden="1" customHeight="1" outlineLevel="1">
      <c r="A314" s="10"/>
      <c r="B314" s="10"/>
      <c r="C314" s="18" t="s">
        <v>92</v>
      </c>
      <c r="D314" s="10"/>
      <c r="F314" s="6">
        <v>0.0</v>
      </c>
    </row>
    <row r="315" ht="15.75" hidden="1" customHeight="1" outlineLevel="1">
      <c r="A315" s="10"/>
      <c r="B315" s="10"/>
      <c r="C315" s="18" t="s">
        <v>93</v>
      </c>
      <c r="D315" s="10"/>
      <c r="F315" s="6">
        <v>0.0</v>
      </c>
    </row>
    <row r="316" ht="15.75" hidden="1" customHeight="1" outlineLevel="1">
      <c r="A316" s="10"/>
      <c r="B316" s="10"/>
      <c r="C316" s="18" t="s">
        <v>94</v>
      </c>
      <c r="D316" s="10"/>
      <c r="F316" s="6">
        <v>0.0</v>
      </c>
    </row>
    <row r="317" ht="15.75" hidden="1" customHeight="1" outlineLevel="1">
      <c r="A317" s="10"/>
      <c r="B317" s="10"/>
      <c r="C317" s="18" t="s">
        <v>95</v>
      </c>
      <c r="D317" s="10"/>
      <c r="F317" s="6">
        <v>0.0</v>
      </c>
    </row>
    <row r="318" ht="15.75" hidden="1" customHeight="1" outlineLevel="1">
      <c r="A318" s="10"/>
      <c r="B318" s="10"/>
      <c r="C318" s="18" t="s">
        <v>96</v>
      </c>
      <c r="D318" s="10"/>
      <c r="F318" s="6">
        <v>0.0</v>
      </c>
    </row>
    <row r="319" ht="15.75" hidden="1" customHeight="1" outlineLevel="1">
      <c r="A319" s="10"/>
      <c r="B319" s="10"/>
      <c r="C319" s="18" t="s">
        <v>97</v>
      </c>
      <c r="D319" s="10"/>
      <c r="F319" s="6">
        <v>0.0</v>
      </c>
    </row>
    <row r="320" ht="15.75" hidden="1" customHeight="1" outlineLevel="1">
      <c r="A320" s="10"/>
      <c r="B320" s="10"/>
      <c r="C320" s="18" t="s">
        <v>98</v>
      </c>
      <c r="D320" s="10"/>
      <c r="F320" s="6">
        <v>0.0</v>
      </c>
    </row>
    <row r="321" ht="15.75" hidden="1" customHeight="1" outlineLevel="1">
      <c r="A321" s="10"/>
      <c r="B321" s="10"/>
      <c r="C321" s="18" t="s">
        <v>99</v>
      </c>
      <c r="D321" s="10"/>
      <c r="F321" s="6">
        <v>0.0</v>
      </c>
    </row>
    <row r="322" ht="15.75" hidden="1" customHeight="1" outlineLevel="1">
      <c r="A322" s="10"/>
      <c r="B322" s="10"/>
      <c r="C322" s="18" t="s">
        <v>100</v>
      </c>
      <c r="D322" s="10"/>
      <c r="F322" s="6">
        <v>0.0</v>
      </c>
    </row>
    <row r="323" ht="15.75" hidden="1" customHeight="1" outlineLevel="1">
      <c r="A323" s="10"/>
      <c r="B323" s="10"/>
      <c r="C323" s="18" t="s">
        <v>101</v>
      </c>
      <c r="D323" s="10"/>
      <c r="F323" s="6">
        <v>0.0</v>
      </c>
    </row>
    <row r="324" ht="15.75" customHeight="1">
      <c r="A324" s="18"/>
      <c r="B324" s="18" t="s">
        <v>102</v>
      </c>
      <c r="C324" s="10"/>
      <c r="D324" s="10"/>
      <c r="F324" s="6">
        <f>IFERROR(SUM(F294:F323), 0)</f>
        <v>0</v>
      </c>
    </row>
    <row r="325" ht="15.75" customHeight="1">
      <c r="A325" s="18"/>
      <c r="B325" s="18" t="s">
        <v>31</v>
      </c>
      <c r="C325" s="10"/>
      <c r="D325" s="10"/>
      <c r="F325" s="6">
        <f>F292-F324</f>
        <v>2775</v>
      </c>
    </row>
    <row r="326" ht="15.75" customHeight="1" collapsed="1">
      <c r="A326" s="18"/>
      <c r="B326" s="18" t="s">
        <v>32</v>
      </c>
      <c r="C326" s="18"/>
      <c r="D326" s="10"/>
      <c r="F326" s="6"/>
    </row>
    <row r="327" ht="15.75" hidden="1" customHeight="1" outlineLevel="1">
      <c r="A327" s="10"/>
      <c r="B327" s="10"/>
      <c r="C327" s="18" t="s">
        <v>103</v>
      </c>
      <c r="D327" s="10"/>
      <c r="F327" s="6">
        <v>0.0</v>
      </c>
    </row>
    <row r="328" ht="15.75" hidden="1" customHeight="1" outlineLevel="1">
      <c r="A328" s="10"/>
      <c r="B328" s="10"/>
      <c r="C328" s="10" t="s">
        <v>104</v>
      </c>
      <c r="D328" s="10"/>
      <c r="F328" s="6">
        <v>0.0</v>
      </c>
    </row>
    <row r="329" ht="15.75" hidden="1" customHeight="1" outlineLevel="1">
      <c r="A329" s="10"/>
      <c r="B329" s="10"/>
      <c r="C329" s="18" t="s">
        <v>105</v>
      </c>
      <c r="D329" s="10"/>
      <c r="F329" s="6">
        <v>0.0</v>
      </c>
    </row>
    <row r="330" ht="15.75" hidden="1" customHeight="1" outlineLevel="1">
      <c r="A330" s="10"/>
      <c r="B330" s="10"/>
      <c r="C330" s="10" t="s">
        <v>106</v>
      </c>
      <c r="D330" s="10"/>
      <c r="F330" s="6">
        <v>0.0</v>
      </c>
    </row>
    <row r="331" ht="15.75" hidden="1" customHeight="1" outlineLevel="1">
      <c r="A331" s="10"/>
      <c r="B331" s="10"/>
      <c r="C331" s="18" t="s">
        <v>107</v>
      </c>
      <c r="D331" s="10"/>
      <c r="F331" s="6">
        <v>0.0</v>
      </c>
    </row>
    <row r="332" ht="15.75" hidden="1" customHeight="1" outlineLevel="1">
      <c r="A332" s="10"/>
      <c r="B332" s="10"/>
      <c r="C332" s="18" t="s">
        <v>108</v>
      </c>
      <c r="D332" s="10"/>
      <c r="F332" s="6">
        <v>0.0</v>
      </c>
    </row>
    <row r="333" ht="15.75" customHeight="1" collapsed="1">
      <c r="A333" s="18"/>
      <c r="B333" s="18" t="s">
        <v>34</v>
      </c>
      <c r="C333" s="18"/>
      <c r="D333" s="10"/>
      <c r="F333" s="6"/>
    </row>
    <row r="334" ht="15.75" hidden="1" customHeight="1" outlineLevel="1">
      <c r="A334" s="10"/>
      <c r="B334" s="10"/>
      <c r="C334" s="18" t="s">
        <v>109</v>
      </c>
      <c r="D334" s="10"/>
      <c r="F334" s="6">
        <v>0.0</v>
      </c>
    </row>
    <row r="335" ht="15.75" hidden="1" customHeight="1" outlineLevel="1">
      <c r="A335" s="10"/>
      <c r="B335" s="10"/>
      <c r="C335" s="18" t="s">
        <v>110</v>
      </c>
      <c r="D335" s="10"/>
      <c r="F335" s="6">
        <v>0.0</v>
      </c>
    </row>
    <row r="336" ht="15.75" hidden="1" customHeight="1" outlineLevel="1">
      <c r="A336" s="10"/>
      <c r="B336" s="10"/>
      <c r="C336" s="18" t="s">
        <v>111</v>
      </c>
      <c r="D336" s="10"/>
      <c r="F336" s="6">
        <v>0.0</v>
      </c>
    </row>
    <row r="337" ht="15.75" customHeight="1">
      <c r="A337" s="18"/>
      <c r="B337" s="18" t="s">
        <v>112</v>
      </c>
      <c r="C337" s="10"/>
      <c r="D337" s="10"/>
      <c r="F337" s="6">
        <v>2775.0</v>
      </c>
    </row>
    <row r="338" ht="15.75" customHeight="1">
      <c r="A338" s="18"/>
      <c r="B338" s="18" t="s">
        <v>37</v>
      </c>
      <c r="D338" s="10"/>
      <c r="F338" s="6"/>
    </row>
    <row r="339" ht="15.75" customHeight="1">
      <c r="A339" s="10"/>
      <c r="B339" s="10"/>
      <c r="C339" s="10" t="s">
        <v>113</v>
      </c>
      <c r="F339" s="6"/>
    </row>
    <row r="340" ht="15.75" customHeight="1">
      <c r="A340" s="10"/>
      <c r="B340" s="10"/>
      <c r="C340" s="18"/>
      <c r="D340" s="18"/>
      <c r="F340" s="6"/>
    </row>
    <row r="341" ht="15.75" customHeight="1" collapsed="1">
      <c r="A341" s="18"/>
      <c r="B341" s="18" t="s">
        <v>39</v>
      </c>
      <c r="D341" s="18"/>
      <c r="F341" s="6"/>
    </row>
    <row r="342" ht="15.75" hidden="1" customHeight="1" outlineLevel="1">
      <c r="A342" s="18"/>
      <c r="B342" s="18"/>
      <c r="C342" s="18" t="s">
        <v>114</v>
      </c>
      <c r="F342" s="6"/>
    </row>
    <row r="343" ht="15.75" hidden="1" customHeight="1" outlineLevel="1">
      <c r="A343" s="18"/>
      <c r="B343" s="18"/>
      <c r="C343" s="10" t="s">
        <v>115</v>
      </c>
      <c r="F343" s="6"/>
    </row>
    <row r="344" ht="15.75" hidden="1" customHeight="1" outlineLevel="1">
      <c r="A344" s="18"/>
      <c r="B344" s="18"/>
      <c r="C344" s="10" t="s">
        <v>116</v>
      </c>
      <c r="F344" s="6"/>
    </row>
    <row r="345" ht="15.75" customHeight="1">
      <c r="A345" s="18"/>
      <c r="B345" s="18" t="s">
        <v>117</v>
      </c>
      <c r="C345" s="10"/>
      <c r="F345" s="6"/>
    </row>
    <row r="346" ht="15.75" customHeight="1">
      <c r="A346" s="10"/>
      <c r="B346" s="10"/>
      <c r="C346" s="18" t="s">
        <v>43</v>
      </c>
      <c r="D346" s="10"/>
      <c r="F346" s="6"/>
    </row>
    <row r="347" ht="15.75" customHeight="1">
      <c r="A347" s="10"/>
      <c r="B347" s="10"/>
      <c r="C347" s="18" t="s">
        <v>118</v>
      </c>
      <c r="D347" s="10"/>
      <c r="F347" s="6"/>
    </row>
    <row r="348" ht="15.75" customHeight="1">
      <c r="A348" s="18"/>
      <c r="B348" s="18" t="s">
        <v>119</v>
      </c>
      <c r="C348" s="10"/>
      <c r="D348" s="10"/>
      <c r="F348" s="6">
        <v>2775.0</v>
      </c>
    </row>
    <row r="349" ht="15.75" customHeight="1">
      <c r="A349" s="18"/>
      <c r="B349" s="18"/>
      <c r="C349" s="10"/>
      <c r="D349" s="10"/>
      <c r="F349" s="6"/>
    </row>
    <row r="350" ht="15.75" customHeight="1">
      <c r="A350" s="4"/>
      <c r="B350" s="4" t="s">
        <v>50</v>
      </c>
      <c r="C350" s="10"/>
      <c r="D350" s="4" t="s">
        <v>27</v>
      </c>
      <c r="F350" s="6"/>
    </row>
    <row r="351" ht="15.75" customHeight="1">
      <c r="A351" s="10"/>
      <c r="B351" s="10"/>
      <c r="C351" s="4" t="s">
        <v>121</v>
      </c>
      <c r="D351" s="10"/>
      <c r="F351" s="6"/>
    </row>
    <row r="352" ht="15.75" customHeight="1">
      <c r="A352" s="18"/>
      <c r="B352" s="18" t="s">
        <v>1</v>
      </c>
      <c r="C352" s="10"/>
      <c r="D352" s="10"/>
      <c r="F352" s="30"/>
    </row>
    <row r="353" ht="15.75" customHeight="1">
      <c r="A353" s="18"/>
      <c r="B353" s="18" t="s">
        <v>67</v>
      </c>
      <c r="C353" s="10"/>
      <c r="D353" s="10"/>
      <c r="F353" s="30"/>
    </row>
    <row r="354" ht="15.75" customHeight="1">
      <c r="A354" s="18"/>
      <c r="B354" s="18" t="s">
        <v>28</v>
      </c>
      <c r="C354" s="10"/>
      <c r="D354" s="10"/>
      <c r="F354" s="30"/>
    </row>
    <row r="355" ht="15.75" customHeight="1">
      <c r="A355" s="10"/>
      <c r="B355" s="10"/>
      <c r="C355" s="18" t="s">
        <v>68</v>
      </c>
      <c r="D355" s="10"/>
      <c r="F355" s="30"/>
    </row>
    <row r="356" ht="15.75" customHeight="1">
      <c r="A356" s="10"/>
      <c r="B356" s="10"/>
      <c r="C356" s="18" t="s">
        <v>69</v>
      </c>
      <c r="D356" s="10"/>
      <c r="F356" s="30"/>
    </row>
    <row r="357" ht="15.75" customHeight="1">
      <c r="A357" s="10"/>
      <c r="B357" s="10"/>
      <c r="C357" s="27" t="s">
        <v>70</v>
      </c>
      <c r="D357" s="10"/>
      <c r="F357" s="30"/>
    </row>
    <row r="358" ht="15.75" customHeight="1">
      <c r="A358" s="10"/>
      <c r="B358" s="10"/>
      <c r="C358" s="18" t="s">
        <v>71</v>
      </c>
      <c r="D358" s="10"/>
      <c r="F358" s="30"/>
    </row>
    <row r="359" ht="15.75" customHeight="1">
      <c r="A359" s="18"/>
      <c r="B359" s="18" t="s">
        <v>28</v>
      </c>
      <c r="C359" s="10"/>
      <c r="D359" s="10"/>
      <c r="F359" s="30"/>
    </row>
    <row r="360" ht="15.75" customHeight="1">
      <c r="A360" s="18"/>
      <c r="B360" s="18" t="s">
        <v>5</v>
      </c>
      <c r="C360" s="10"/>
      <c r="D360" s="10"/>
      <c r="F360" s="30"/>
    </row>
    <row r="361" ht="15.75" customHeight="1">
      <c r="A361" s="18"/>
      <c r="B361" s="18" t="s">
        <v>29</v>
      </c>
      <c r="C361" s="10"/>
      <c r="D361" s="10"/>
      <c r="F361" s="30"/>
    </row>
    <row r="362" ht="15.75" customHeight="1">
      <c r="A362" s="10"/>
      <c r="B362" s="10"/>
      <c r="C362" s="18" t="s">
        <v>72</v>
      </c>
      <c r="D362" s="10"/>
      <c r="F362" s="30"/>
    </row>
    <row r="363" ht="15.75" customHeight="1">
      <c r="A363" s="10"/>
      <c r="B363" s="10"/>
      <c r="C363" s="18" t="s">
        <v>73</v>
      </c>
      <c r="D363" s="10"/>
      <c r="F363" s="30"/>
    </row>
    <row r="364" ht="15.75" customHeight="1">
      <c r="A364" s="10"/>
      <c r="B364" s="10"/>
      <c r="C364" s="18" t="s">
        <v>74</v>
      </c>
      <c r="D364" s="10"/>
      <c r="F364" s="30"/>
    </row>
    <row r="365" ht="15.75" customHeight="1">
      <c r="A365" s="10"/>
      <c r="B365" s="10"/>
      <c r="C365" s="18" t="s">
        <v>75</v>
      </c>
      <c r="D365" s="10"/>
      <c r="F365" s="30"/>
    </row>
    <row r="366" ht="15.75" customHeight="1">
      <c r="A366" s="10"/>
      <c r="B366" s="10"/>
      <c r="C366" s="18" t="s">
        <v>76</v>
      </c>
      <c r="D366" s="10"/>
      <c r="F366" s="30"/>
    </row>
    <row r="367" ht="15.75" customHeight="1">
      <c r="A367" s="10"/>
      <c r="B367" s="10"/>
      <c r="C367" s="18" t="s">
        <v>77</v>
      </c>
      <c r="D367" s="10"/>
      <c r="F367" s="30"/>
    </row>
    <row r="368" ht="15.75" customHeight="1">
      <c r="A368" s="10"/>
      <c r="B368" s="10"/>
      <c r="C368" s="18" t="s">
        <v>78</v>
      </c>
      <c r="D368" s="10"/>
      <c r="F368" s="30"/>
    </row>
    <row r="369" ht="15.75" customHeight="1">
      <c r="A369" s="10"/>
      <c r="B369" s="10"/>
      <c r="C369" s="18" t="s">
        <v>79</v>
      </c>
      <c r="D369" s="10"/>
      <c r="F369" s="30"/>
    </row>
    <row r="370" ht="15.75" customHeight="1">
      <c r="A370" s="10"/>
      <c r="B370" s="10"/>
      <c r="C370" s="18" t="s">
        <v>80</v>
      </c>
      <c r="D370" s="10"/>
      <c r="F370" s="30"/>
    </row>
    <row r="371" ht="15.75" customHeight="1">
      <c r="A371" s="10"/>
      <c r="B371" s="10"/>
      <c r="C371" s="18" t="s">
        <v>81</v>
      </c>
      <c r="D371" s="10"/>
      <c r="F371" s="30"/>
    </row>
    <row r="372" ht="15.75" customHeight="1">
      <c r="A372" s="10"/>
      <c r="B372" s="10"/>
      <c r="C372" s="18" t="s">
        <v>82</v>
      </c>
      <c r="D372" s="10"/>
      <c r="F372" s="30"/>
    </row>
    <row r="373" ht="15.75" customHeight="1">
      <c r="A373" s="10"/>
      <c r="B373" s="10"/>
      <c r="C373" s="18" t="s">
        <v>83</v>
      </c>
      <c r="D373" s="10"/>
      <c r="F373" s="30"/>
    </row>
    <row r="374" ht="15.75" customHeight="1">
      <c r="A374" s="10"/>
      <c r="B374" s="10"/>
      <c r="C374" s="18" t="s">
        <v>84</v>
      </c>
      <c r="D374" s="10"/>
      <c r="F374" s="30"/>
    </row>
    <row r="375" ht="15.75" customHeight="1">
      <c r="A375" s="10"/>
      <c r="B375" s="10"/>
      <c r="C375" s="18" t="s">
        <v>85</v>
      </c>
      <c r="D375" s="10"/>
      <c r="F375" s="30"/>
    </row>
    <row r="376" ht="15.75" customHeight="1">
      <c r="A376" s="10"/>
      <c r="B376" s="10"/>
      <c r="C376" s="18" t="s">
        <v>86</v>
      </c>
      <c r="D376" s="10"/>
      <c r="F376" s="30"/>
    </row>
    <row r="377" ht="15.75" customHeight="1">
      <c r="A377" s="10"/>
      <c r="B377" s="10"/>
      <c r="C377" s="18" t="s">
        <v>87</v>
      </c>
      <c r="D377" s="10"/>
      <c r="F377" s="30"/>
    </row>
    <row r="378" ht="15.75" customHeight="1">
      <c r="A378" s="10"/>
      <c r="B378" s="10"/>
      <c r="C378" s="18" t="s">
        <v>88</v>
      </c>
      <c r="D378" s="10"/>
      <c r="F378" s="30"/>
    </row>
    <row r="379" ht="15.75" customHeight="1">
      <c r="A379" s="10"/>
      <c r="B379" s="10"/>
      <c r="C379" s="18" t="s">
        <v>89</v>
      </c>
      <c r="D379" s="10"/>
      <c r="F379" s="30"/>
    </row>
    <row r="380" ht="15.75" customHeight="1">
      <c r="A380" s="10"/>
      <c r="B380" s="10"/>
      <c r="C380" s="18" t="s">
        <v>90</v>
      </c>
      <c r="D380" s="10"/>
      <c r="F380" s="30"/>
    </row>
    <row r="381" ht="15.75" customHeight="1">
      <c r="A381" s="10"/>
      <c r="B381" s="10"/>
      <c r="C381" s="18" t="s">
        <v>91</v>
      </c>
      <c r="D381" s="10"/>
      <c r="F381" s="30"/>
    </row>
    <row r="382" ht="15.75" customHeight="1">
      <c r="A382" s="10"/>
      <c r="B382" s="10"/>
      <c r="C382" s="18" t="s">
        <v>92</v>
      </c>
      <c r="D382" s="10"/>
      <c r="F382" s="30"/>
    </row>
    <row r="383" ht="15.75" customHeight="1">
      <c r="A383" s="10"/>
      <c r="B383" s="10"/>
      <c r="C383" s="18" t="s">
        <v>93</v>
      </c>
      <c r="D383" s="10"/>
      <c r="F383" s="30"/>
    </row>
    <row r="384" ht="15.75" customHeight="1">
      <c r="A384" s="10"/>
      <c r="B384" s="10"/>
      <c r="C384" s="18" t="s">
        <v>94</v>
      </c>
      <c r="D384" s="10"/>
      <c r="F384" s="30"/>
    </row>
    <row r="385" ht="15.75" customHeight="1">
      <c r="A385" s="10"/>
      <c r="B385" s="10"/>
      <c r="C385" s="18" t="s">
        <v>95</v>
      </c>
      <c r="D385" s="10"/>
      <c r="F385" s="30"/>
    </row>
    <row r="386" ht="15.75" customHeight="1">
      <c r="A386" s="10"/>
      <c r="B386" s="10"/>
      <c r="C386" s="18" t="s">
        <v>96</v>
      </c>
      <c r="D386" s="10"/>
      <c r="F386" s="30"/>
    </row>
    <row r="387" ht="15.75" customHeight="1">
      <c r="A387" s="10"/>
      <c r="B387" s="10"/>
      <c r="C387" s="18" t="s">
        <v>97</v>
      </c>
      <c r="D387" s="10"/>
      <c r="F387" s="30"/>
    </row>
    <row r="388" ht="15.75" customHeight="1">
      <c r="A388" s="10"/>
      <c r="B388" s="10"/>
      <c r="C388" s="18" t="s">
        <v>98</v>
      </c>
      <c r="D388" s="10"/>
      <c r="F388" s="30"/>
    </row>
    <row r="389" ht="15.75" customHeight="1">
      <c r="A389" s="10"/>
      <c r="B389" s="10"/>
      <c r="C389" s="18" t="s">
        <v>99</v>
      </c>
      <c r="D389" s="10"/>
      <c r="F389" s="30"/>
    </row>
    <row r="390" ht="15.75" customHeight="1">
      <c r="A390" s="10"/>
      <c r="B390" s="10"/>
      <c r="C390" s="18" t="s">
        <v>100</v>
      </c>
      <c r="D390" s="10"/>
      <c r="F390" s="30"/>
    </row>
    <row r="391" ht="15.75" customHeight="1">
      <c r="A391" s="10"/>
      <c r="B391" s="10"/>
      <c r="C391" s="18" t="s">
        <v>101</v>
      </c>
      <c r="D391" s="10"/>
      <c r="F391" s="30"/>
    </row>
    <row r="392" ht="15.75" customHeight="1">
      <c r="A392" s="18"/>
      <c r="B392" s="18" t="s">
        <v>102</v>
      </c>
      <c r="C392" s="10"/>
      <c r="D392" s="10"/>
      <c r="F392" s="30"/>
    </row>
    <row r="393" ht="15.75" customHeight="1">
      <c r="A393" s="18"/>
      <c r="B393" s="18" t="s">
        <v>31</v>
      </c>
      <c r="C393" s="10"/>
      <c r="D393" s="10"/>
      <c r="F393" s="30"/>
    </row>
    <row r="394" ht="15.75" customHeight="1">
      <c r="A394" s="18"/>
      <c r="B394" s="18" t="s">
        <v>32</v>
      </c>
      <c r="C394" s="18"/>
      <c r="D394" s="10"/>
      <c r="F394" s="30"/>
    </row>
    <row r="395" ht="15.75" customHeight="1">
      <c r="A395" s="10"/>
      <c r="B395" s="10"/>
      <c r="C395" s="18" t="s">
        <v>103</v>
      </c>
      <c r="D395" s="10"/>
      <c r="F395" s="30"/>
    </row>
    <row r="396" ht="15.75" customHeight="1">
      <c r="A396" s="10"/>
      <c r="B396" s="10"/>
      <c r="C396" s="10" t="s">
        <v>104</v>
      </c>
      <c r="D396" s="10"/>
      <c r="F396" s="30"/>
    </row>
    <row r="397" ht="15.75" customHeight="1">
      <c r="A397" s="10"/>
      <c r="B397" s="10"/>
      <c r="C397" s="18" t="s">
        <v>105</v>
      </c>
      <c r="D397" s="10"/>
      <c r="F397" s="30"/>
    </row>
    <row r="398" ht="15.75" customHeight="1">
      <c r="A398" s="10"/>
      <c r="B398" s="10"/>
      <c r="C398" s="10" t="s">
        <v>106</v>
      </c>
      <c r="D398" s="10"/>
      <c r="F398" s="30"/>
    </row>
    <row r="399" ht="15.75" customHeight="1">
      <c r="A399" s="10"/>
      <c r="B399" s="10"/>
      <c r="C399" s="18" t="s">
        <v>107</v>
      </c>
      <c r="D399" s="10"/>
      <c r="F399" s="30"/>
    </row>
    <row r="400" ht="15.75" customHeight="1">
      <c r="A400" s="10"/>
      <c r="B400" s="10"/>
      <c r="C400" s="18" t="s">
        <v>108</v>
      </c>
      <c r="D400" s="10"/>
      <c r="F400" s="30"/>
    </row>
    <row r="401" ht="15.75" customHeight="1">
      <c r="A401" s="18"/>
      <c r="B401" s="18" t="s">
        <v>34</v>
      </c>
      <c r="C401" s="18"/>
      <c r="D401" s="10"/>
      <c r="F401" s="30"/>
    </row>
    <row r="402" ht="15.75" customHeight="1">
      <c r="A402" s="10"/>
      <c r="B402" s="10"/>
      <c r="C402" s="18" t="s">
        <v>109</v>
      </c>
      <c r="D402" s="10"/>
      <c r="F402" s="30"/>
    </row>
    <row r="403" ht="15.75" customHeight="1">
      <c r="A403" s="10"/>
      <c r="B403" s="10"/>
      <c r="C403" s="18" t="s">
        <v>110</v>
      </c>
      <c r="D403" s="10"/>
      <c r="F403" s="30"/>
    </row>
    <row r="404" ht="15.75" customHeight="1">
      <c r="A404" s="10"/>
      <c r="B404" s="10"/>
      <c r="C404" s="18" t="s">
        <v>111</v>
      </c>
      <c r="D404" s="10"/>
      <c r="F404" s="30"/>
    </row>
    <row r="405" ht="15.75" customHeight="1">
      <c r="A405" s="18"/>
      <c r="B405" s="18" t="s">
        <v>112</v>
      </c>
      <c r="C405" s="10"/>
      <c r="D405" s="10"/>
      <c r="F405" s="30"/>
    </row>
    <row r="406" ht="15.75" customHeight="1">
      <c r="A406" s="18"/>
      <c r="B406" s="18" t="s">
        <v>37</v>
      </c>
      <c r="D406" s="10"/>
      <c r="F406" s="30"/>
    </row>
    <row r="407" ht="15.75" customHeight="1">
      <c r="A407" s="10"/>
      <c r="B407" s="10"/>
      <c r="C407" s="10" t="s">
        <v>113</v>
      </c>
      <c r="F407" s="30"/>
    </row>
    <row r="408" ht="15.75" customHeight="1">
      <c r="A408" s="10"/>
      <c r="B408" s="10"/>
      <c r="C408" s="18"/>
      <c r="D408" s="18"/>
      <c r="F408" s="30"/>
    </row>
    <row r="409" ht="15.75" customHeight="1">
      <c r="A409" s="18"/>
      <c r="B409" s="18" t="s">
        <v>39</v>
      </c>
      <c r="D409" s="18"/>
      <c r="F409" s="30"/>
    </row>
    <row r="410" ht="15.75" customHeight="1">
      <c r="A410" s="18"/>
      <c r="B410" s="18"/>
      <c r="C410" s="18" t="s">
        <v>114</v>
      </c>
      <c r="F410" s="30"/>
    </row>
    <row r="411" ht="15.75" customHeight="1">
      <c r="A411" s="18"/>
      <c r="B411" s="18"/>
      <c r="C411" s="10" t="s">
        <v>115</v>
      </c>
      <c r="F411" s="30"/>
    </row>
    <row r="412" ht="15.75" customHeight="1">
      <c r="A412" s="18"/>
      <c r="B412" s="18"/>
      <c r="C412" s="10" t="s">
        <v>116</v>
      </c>
      <c r="F412" s="30"/>
    </row>
    <row r="413" ht="15.75" customHeight="1">
      <c r="A413" s="18"/>
      <c r="B413" s="18" t="s">
        <v>117</v>
      </c>
      <c r="C413" s="10"/>
      <c r="F413" s="30"/>
    </row>
    <row r="414" ht="15.75" customHeight="1">
      <c r="A414" s="10"/>
      <c r="B414" s="10"/>
      <c r="C414" s="18" t="s">
        <v>43</v>
      </c>
      <c r="D414" s="10"/>
      <c r="F414" s="30"/>
    </row>
    <row r="415" ht="15.75" customHeight="1">
      <c r="A415" s="10"/>
      <c r="B415" s="10"/>
      <c r="C415" s="18" t="s">
        <v>118</v>
      </c>
      <c r="D415" s="10"/>
      <c r="F415" s="30"/>
    </row>
    <row r="416" ht="15.75" customHeight="1">
      <c r="A416" s="18"/>
      <c r="B416" s="18" t="s">
        <v>119</v>
      </c>
      <c r="C416" s="10"/>
      <c r="D416" s="10"/>
      <c r="F416" s="30"/>
    </row>
    <row r="417" ht="15.75" customHeight="1">
      <c r="A417" s="18"/>
      <c r="B417" s="18"/>
      <c r="C417" s="10"/>
      <c r="D417" s="10"/>
      <c r="F417" s="30"/>
    </row>
    <row r="418" ht="15.75" customHeight="1">
      <c r="A418" s="4"/>
      <c r="B418" s="4" t="s">
        <v>50</v>
      </c>
      <c r="C418" s="10"/>
      <c r="D418" s="4" t="s">
        <v>27</v>
      </c>
      <c r="F418" s="30"/>
    </row>
    <row r="419" ht="15.75" customHeight="1">
      <c r="A419" s="10"/>
      <c r="B419" s="10"/>
      <c r="C419" s="4" t="s">
        <v>122</v>
      </c>
      <c r="D419" s="10"/>
      <c r="F419" s="30"/>
    </row>
    <row r="420" ht="15.75" customHeight="1">
      <c r="A420" s="18"/>
      <c r="B420" s="18" t="s">
        <v>1</v>
      </c>
      <c r="C420" s="10"/>
      <c r="D420" s="10"/>
      <c r="F420" s="30"/>
    </row>
    <row r="421" ht="15.75" customHeight="1">
      <c r="A421" s="18"/>
      <c r="B421" s="18" t="s">
        <v>67</v>
      </c>
      <c r="C421" s="10"/>
      <c r="D421" s="10"/>
      <c r="F421" s="30"/>
    </row>
    <row r="422" ht="15.75" customHeight="1">
      <c r="A422" s="18"/>
      <c r="B422" s="18" t="s">
        <v>28</v>
      </c>
      <c r="C422" s="10"/>
      <c r="D422" s="10"/>
      <c r="F422" s="30"/>
    </row>
    <row r="423" ht="15.75" customHeight="1">
      <c r="A423" s="10"/>
      <c r="B423" s="10"/>
      <c r="C423" s="18" t="s">
        <v>68</v>
      </c>
      <c r="D423" s="10"/>
      <c r="F423" s="30"/>
    </row>
    <row r="424" ht="15.75" customHeight="1">
      <c r="A424" s="10"/>
      <c r="B424" s="10"/>
      <c r="C424" s="18" t="s">
        <v>69</v>
      </c>
      <c r="D424" s="10"/>
      <c r="F424" s="30"/>
    </row>
    <row r="425" ht="15.75" customHeight="1">
      <c r="A425" s="10"/>
      <c r="B425" s="10"/>
      <c r="C425" s="27" t="s">
        <v>70</v>
      </c>
      <c r="D425" s="10"/>
      <c r="F425" s="30"/>
    </row>
    <row r="426" ht="15.75" customHeight="1">
      <c r="A426" s="10"/>
      <c r="B426" s="10"/>
      <c r="C426" s="18" t="s">
        <v>71</v>
      </c>
      <c r="D426" s="10"/>
      <c r="F426" s="30"/>
    </row>
    <row r="427" ht="15.75" customHeight="1">
      <c r="A427" s="18"/>
      <c r="B427" s="18" t="s">
        <v>28</v>
      </c>
      <c r="C427" s="10"/>
      <c r="D427" s="10"/>
      <c r="F427" s="30"/>
    </row>
    <row r="428" ht="15.75" customHeight="1">
      <c r="A428" s="18"/>
      <c r="B428" s="18" t="s">
        <v>5</v>
      </c>
      <c r="C428" s="10"/>
      <c r="D428" s="10"/>
      <c r="F428" s="30"/>
    </row>
    <row r="429" ht="15.75" customHeight="1">
      <c r="A429" s="18"/>
      <c r="B429" s="18" t="s">
        <v>29</v>
      </c>
      <c r="C429" s="10"/>
      <c r="D429" s="10"/>
      <c r="F429" s="30"/>
    </row>
    <row r="430" ht="15.75" customHeight="1">
      <c r="A430" s="10"/>
      <c r="B430" s="10"/>
      <c r="C430" s="18" t="s">
        <v>72</v>
      </c>
      <c r="D430" s="10"/>
      <c r="F430" s="30"/>
    </row>
    <row r="431" ht="15.75" customHeight="1">
      <c r="A431" s="10"/>
      <c r="B431" s="10"/>
      <c r="C431" s="18" t="s">
        <v>73</v>
      </c>
      <c r="D431" s="10"/>
      <c r="F431" s="30"/>
    </row>
    <row r="432" ht="15.75" customHeight="1">
      <c r="A432" s="10"/>
      <c r="B432" s="10"/>
      <c r="C432" s="18" t="s">
        <v>74</v>
      </c>
      <c r="D432" s="10"/>
      <c r="F432" s="30"/>
    </row>
    <row r="433" ht="15.75" customHeight="1">
      <c r="A433" s="10"/>
      <c r="B433" s="10"/>
      <c r="C433" s="18" t="s">
        <v>75</v>
      </c>
      <c r="D433" s="10"/>
      <c r="F433" s="30"/>
    </row>
    <row r="434" ht="15.75" customHeight="1">
      <c r="A434" s="10"/>
      <c r="B434" s="10"/>
      <c r="C434" s="18" t="s">
        <v>76</v>
      </c>
      <c r="D434" s="10"/>
      <c r="F434" s="30"/>
    </row>
    <row r="435" ht="15.75" customHeight="1">
      <c r="A435" s="10"/>
      <c r="B435" s="10"/>
      <c r="C435" s="18" t="s">
        <v>77</v>
      </c>
      <c r="D435" s="10"/>
      <c r="F435" s="30"/>
    </row>
    <row r="436" ht="15.75" customHeight="1">
      <c r="A436" s="10"/>
      <c r="B436" s="10"/>
      <c r="C436" s="18" t="s">
        <v>78</v>
      </c>
      <c r="D436" s="10"/>
      <c r="F436" s="30"/>
    </row>
    <row r="437" ht="15.75" customHeight="1">
      <c r="A437" s="10"/>
      <c r="B437" s="10"/>
      <c r="C437" s="18" t="s">
        <v>79</v>
      </c>
      <c r="D437" s="10"/>
      <c r="F437" s="30"/>
    </row>
    <row r="438" ht="15.75" customHeight="1">
      <c r="A438" s="10"/>
      <c r="B438" s="10"/>
      <c r="C438" s="18" t="s">
        <v>80</v>
      </c>
      <c r="D438" s="10"/>
      <c r="F438" s="30"/>
    </row>
    <row r="439" ht="15.75" customHeight="1">
      <c r="A439" s="10"/>
      <c r="B439" s="10"/>
      <c r="C439" s="18" t="s">
        <v>81</v>
      </c>
      <c r="D439" s="10"/>
      <c r="F439" s="30"/>
    </row>
    <row r="440" ht="15.75" customHeight="1">
      <c r="A440" s="10"/>
      <c r="B440" s="10"/>
      <c r="C440" s="18" t="s">
        <v>82</v>
      </c>
      <c r="D440" s="10"/>
      <c r="F440" s="30"/>
    </row>
    <row r="441" ht="15.75" customHeight="1">
      <c r="A441" s="10"/>
      <c r="B441" s="10"/>
      <c r="C441" s="18" t="s">
        <v>83</v>
      </c>
      <c r="D441" s="10"/>
      <c r="F441" s="30"/>
    </row>
    <row r="442" ht="15.75" customHeight="1">
      <c r="A442" s="10"/>
      <c r="B442" s="10"/>
      <c r="C442" s="18" t="s">
        <v>84</v>
      </c>
      <c r="D442" s="10"/>
      <c r="F442" s="30"/>
    </row>
    <row r="443" ht="15.75" customHeight="1">
      <c r="A443" s="10"/>
      <c r="B443" s="10"/>
      <c r="C443" s="18" t="s">
        <v>85</v>
      </c>
      <c r="D443" s="10"/>
      <c r="F443" s="30"/>
    </row>
    <row r="444" ht="15.75" customHeight="1">
      <c r="A444" s="10"/>
      <c r="B444" s="10"/>
      <c r="C444" s="18" t="s">
        <v>86</v>
      </c>
      <c r="D444" s="10"/>
      <c r="F444" s="30"/>
    </row>
    <row r="445" ht="15.75" customHeight="1">
      <c r="A445" s="10"/>
      <c r="B445" s="10"/>
      <c r="C445" s="18" t="s">
        <v>87</v>
      </c>
      <c r="D445" s="10"/>
      <c r="F445" s="30"/>
    </row>
    <row r="446" ht="15.75" customHeight="1">
      <c r="A446" s="10"/>
      <c r="B446" s="10"/>
      <c r="C446" s="18" t="s">
        <v>88</v>
      </c>
      <c r="D446" s="10"/>
      <c r="F446" s="30"/>
    </row>
    <row r="447" ht="15.75" customHeight="1">
      <c r="A447" s="10"/>
      <c r="B447" s="10"/>
      <c r="C447" s="18" t="s">
        <v>89</v>
      </c>
      <c r="D447" s="10"/>
      <c r="F447" s="30"/>
    </row>
    <row r="448" ht="15.75" customHeight="1">
      <c r="A448" s="10"/>
      <c r="B448" s="10"/>
      <c r="C448" s="18" t="s">
        <v>90</v>
      </c>
      <c r="D448" s="10"/>
      <c r="F448" s="30"/>
    </row>
    <row r="449" ht="15.75" customHeight="1">
      <c r="A449" s="10"/>
      <c r="B449" s="10"/>
      <c r="C449" s="18" t="s">
        <v>91</v>
      </c>
      <c r="D449" s="10"/>
      <c r="F449" s="30"/>
    </row>
    <row r="450" ht="15.75" customHeight="1">
      <c r="A450" s="10"/>
      <c r="B450" s="10"/>
      <c r="C450" s="18" t="s">
        <v>92</v>
      </c>
      <c r="D450" s="10"/>
      <c r="F450" s="30"/>
    </row>
    <row r="451" ht="15.75" customHeight="1">
      <c r="A451" s="10"/>
      <c r="B451" s="10"/>
      <c r="C451" s="18" t="s">
        <v>93</v>
      </c>
      <c r="D451" s="10"/>
      <c r="F451" s="30"/>
    </row>
    <row r="452" ht="15.75" customHeight="1">
      <c r="A452" s="10"/>
      <c r="B452" s="10"/>
      <c r="C452" s="18" t="s">
        <v>94</v>
      </c>
      <c r="D452" s="10"/>
      <c r="F452" s="30"/>
    </row>
    <row r="453" ht="15.75" customHeight="1">
      <c r="A453" s="10"/>
      <c r="B453" s="10"/>
      <c r="C453" s="18" t="s">
        <v>95</v>
      </c>
      <c r="D453" s="10"/>
      <c r="F453" s="30"/>
    </row>
    <row r="454" ht="15.75" customHeight="1">
      <c r="A454" s="10"/>
      <c r="B454" s="10"/>
      <c r="C454" s="18" t="s">
        <v>96</v>
      </c>
      <c r="D454" s="10"/>
      <c r="F454" s="30"/>
    </row>
    <row r="455" ht="15.75" customHeight="1">
      <c r="A455" s="10"/>
      <c r="B455" s="10"/>
      <c r="C455" s="18" t="s">
        <v>97</v>
      </c>
      <c r="D455" s="10"/>
      <c r="F455" s="30"/>
    </row>
    <row r="456" ht="15.75" customHeight="1">
      <c r="A456" s="10"/>
      <c r="B456" s="10"/>
      <c r="C456" s="18" t="s">
        <v>98</v>
      </c>
      <c r="D456" s="10"/>
      <c r="F456" s="30"/>
    </row>
    <row r="457" ht="15.75" customHeight="1">
      <c r="A457" s="10"/>
      <c r="B457" s="10"/>
      <c r="C457" s="18" t="s">
        <v>99</v>
      </c>
      <c r="D457" s="10"/>
      <c r="F457" s="30"/>
    </row>
    <row r="458" ht="15.75" customHeight="1">
      <c r="A458" s="10"/>
      <c r="B458" s="10"/>
      <c r="C458" s="18" t="s">
        <v>100</v>
      </c>
      <c r="D458" s="10"/>
      <c r="F458" s="30"/>
    </row>
    <row r="459" ht="15.75" customHeight="1">
      <c r="A459" s="10"/>
      <c r="B459" s="10"/>
      <c r="C459" s="18" t="s">
        <v>101</v>
      </c>
      <c r="D459" s="10"/>
      <c r="F459" s="30"/>
    </row>
    <row r="460" ht="15.75" customHeight="1">
      <c r="A460" s="18"/>
      <c r="B460" s="18" t="s">
        <v>102</v>
      </c>
      <c r="C460" s="10"/>
      <c r="D460" s="10"/>
      <c r="F460" s="30"/>
    </row>
    <row r="461" ht="15.75" customHeight="1">
      <c r="A461" s="18"/>
      <c r="B461" s="18" t="s">
        <v>31</v>
      </c>
      <c r="C461" s="10"/>
      <c r="D461" s="10"/>
      <c r="F461" s="30"/>
    </row>
    <row r="462" ht="15.75" customHeight="1">
      <c r="A462" s="18"/>
      <c r="B462" s="18" t="s">
        <v>32</v>
      </c>
      <c r="C462" s="18"/>
      <c r="D462" s="10"/>
      <c r="F462" s="30"/>
    </row>
    <row r="463" ht="15.75" customHeight="1">
      <c r="A463" s="10"/>
      <c r="B463" s="10"/>
      <c r="C463" s="18" t="s">
        <v>103</v>
      </c>
      <c r="D463" s="10"/>
      <c r="F463" s="30"/>
    </row>
    <row r="464" ht="15.75" customHeight="1">
      <c r="A464" s="10"/>
      <c r="B464" s="10"/>
      <c r="C464" s="10" t="s">
        <v>104</v>
      </c>
      <c r="D464" s="10"/>
      <c r="F464" s="30"/>
    </row>
    <row r="465" ht="15.75" customHeight="1">
      <c r="A465" s="10"/>
      <c r="B465" s="10"/>
      <c r="C465" s="18" t="s">
        <v>105</v>
      </c>
      <c r="D465" s="10"/>
      <c r="F465" s="30"/>
    </row>
    <row r="466" ht="15.75" customHeight="1">
      <c r="A466" s="10"/>
      <c r="B466" s="10"/>
      <c r="C466" s="10" t="s">
        <v>106</v>
      </c>
      <c r="D466" s="10"/>
      <c r="F466" s="30"/>
    </row>
    <row r="467" ht="15.75" customHeight="1">
      <c r="A467" s="10"/>
      <c r="B467" s="10"/>
      <c r="C467" s="18" t="s">
        <v>107</v>
      </c>
      <c r="D467" s="10"/>
      <c r="F467" s="30"/>
    </row>
    <row r="468" ht="15.75" customHeight="1">
      <c r="A468" s="10"/>
      <c r="B468" s="10"/>
      <c r="C468" s="18" t="s">
        <v>108</v>
      </c>
      <c r="D468" s="10"/>
      <c r="F468" s="30"/>
    </row>
    <row r="469" ht="15.75" customHeight="1">
      <c r="A469" s="18"/>
      <c r="B469" s="18" t="s">
        <v>34</v>
      </c>
      <c r="C469" s="18"/>
      <c r="D469" s="10"/>
      <c r="F469" s="30"/>
    </row>
    <row r="470" ht="15.75" customHeight="1">
      <c r="A470" s="10"/>
      <c r="B470" s="10"/>
      <c r="C470" s="18" t="s">
        <v>109</v>
      </c>
      <c r="D470" s="10"/>
      <c r="F470" s="30"/>
    </row>
    <row r="471" ht="15.75" customHeight="1">
      <c r="A471" s="10"/>
      <c r="B471" s="10"/>
      <c r="C471" s="18" t="s">
        <v>110</v>
      </c>
      <c r="D471" s="10"/>
      <c r="F471" s="30"/>
    </row>
    <row r="472" ht="15.75" customHeight="1">
      <c r="A472" s="10"/>
      <c r="B472" s="10"/>
      <c r="C472" s="18" t="s">
        <v>111</v>
      </c>
      <c r="D472" s="10"/>
      <c r="F472" s="30"/>
    </row>
    <row r="473" ht="15.75" customHeight="1">
      <c r="A473" s="18"/>
      <c r="B473" s="18" t="s">
        <v>112</v>
      </c>
      <c r="C473" s="10"/>
      <c r="D473" s="10"/>
      <c r="F473" s="30"/>
    </row>
    <row r="474" ht="15.75" customHeight="1">
      <c r="A474" s="18"/>
      <c r="B474" s="18" t="s">
        <v>37</v>
      </c>
      <c r="D474" s="10"/>
      <c r="F474" s="30"/>
    </row>
    <row r="475" ht="15.75" customHeight="1">
      <c r="A475" s="10"/>
      <c r="B475" s="10"/>
      <c r="C475" s="10" t="s">
        <v>113</v>
      </c>
      <c r="F475" s="30"/>
    </row>
    <row r="476" ht="15.75" customHeight="1">
      <c r="A476" s="10"/>
      <c r="B476" s="10"/>
      <c r="C476" s="18"/>
      <c r="D476" s="18"/>
      <c r="F476" s="30"/>
    </row>
    <row r="477" ht="15.75" customHeight="1">
      <c r="A477" s="18"/>
      <c r="B477" s="18" t="s">
        <v>39</v>
      </c>
      <c r="D477" s="18"/>
      <c r="F477" s="30"/>
    </row>
    <row r="478" ht="15.75" customHeight="1">
      <c r="A478" s="18"/>
      <c r="B478" s="18"/>
      <c r="C478" s="18" t="s">
        <v>114</v>
      </c>
      <c r="F478" s="30"/>
    </row>
    <row r="479" ht="15.75" customHeight="1">
      <c r="A479" s="18"/>
      <c r="B479" s="18"/>
      <c r="C479" s="10" t="s">
        <v>115</v>
      </c>
      <c r="F479" s="30"/>
    </row>
    <row r="480" ht="15.75" customHeight="1">
      <c r="A480" s="18"/>
      <c r="B480" s="18"/>
      <c r="C480" s="10" t="s">
        <v>116</v>
      </c>
      <c r="F480" s="30"/>
    </row>
    <row r="481" ht="15.75" customHeight="1">
      <c r="A481" s="18"/>
      <c r="B481" s="18" t="s">
        <v>117</v>
      </c>
      <c r="C481" s="10"/>
      <c r="F481" s="30"/>
    </row>
    <row r="482" ht="15.75" customHeight="1">
      <c r="A482" s="10"/>
      <c r="B482" s="10"/>
      <c r="C482" s="18" t="s">
        <v>43</v>
      </c>
      <c r="D482" s="10"/>
      <c r="F482" s="30"/>
    </row>
    <row r="483" ht="15.75" customHeight="1">
      <c r="A483" s="10"/>
      <c r="B483" s="10"/>
      <c r="C483" s="18" t="s">
        <v>118</v>
      </c>
      <c r="D483" s="10"/>
      <c r="F483" s="30"/>
    </row>
    <row r="484" ht="15.75" customHeight="1">
      <c r="A484" s="18"/>
      <c r="B484" s="18" t="s">
        <v>119</v>
      </c>
      <c r="C484" s="10"/>
      <c r="D484" s="10"/>
      <c r="F484" s="30"/>
    </row>
    <row r="485" ht="15.75" customHeight="1">
      <c r="A485" s="18"/>
      <c r="B485" s="18"/>
      <c r="C485" s="10"/>
      <c r="D485" s="10"/>
      <c r="F485" s="30"/>
    </row>
    <row r="486" ht="15.75" customHeight="1">
      <c r="A486" s="18"/>
      <c r="B486" s="18"/>
      <c r="C486" s="10"/>
      <c r="D486" s="10"/>
      <c r="F486" s="30"/>
    </row>
    <row r="487" ht="15.75" customHeight="1">
      <c r="A487" s="4"/>
      <c r="B487" s="4" t="s">
        <v>50</v>
      </c>
      <c r="C487" s="10"/>
      <c r="D487" s="4" t="s">
        <v>27</v>
      </c>
      <c r="F487" s="31"/>
    </row>
    <row r="488" ht="15.75" customHeight="1">
      <c r="A488" s="10"/>
      <c r="B488" s="10"/>
      <c r="C488" s="4" t="s">
        <v>123</v>
      </c>
      <c r="D488" s="10"/>
      <c r="F488" s="6"/>
    </row>
    <row r="489" ht="15.75" customHeight="1">
      <c r="A489" s="18"/>
      <c r="B489" s="18" t="s">
        <v>1</v>
      </c>
      <c r="C489" s="10"/>
      <c r="D489" s="10"/>
      <c r="F489" s="6">
        <v>0.0</v>
      </c>
    </row>
    <row r="490" ht="15.75" customHeight="1">
      <c r="A490" s="18"/>
      <c r="B490" s="18" t="s">
        <v>67</v>
      </c>
      <c r="C490" s="10"/>
      <c r="D490" s="10"/>
      <c r="F490" s="6">
        <v>0.0</v>
      </c>
    </row>
    <row r="491" ht="15.75" customHeight="1">
      <c r="A491" s="18"/>
      <c r="B491" s="18" t="s">
        <v>28</v>
      </c>
      <c r="C491" s="10"/>
      <c r="D491" s="10"/>
      <c r="F491" s="6">
        <v>0.0</v>
      </c>
    </row>
    <row r="492" ht="15.75" customHeight="1">
      <c r="A492" s="10"/>
      <c r="B492" s="10"/>
      <c r="C492" s="18" t="s">
        <v>68</v>
      </c>
      <c r="D492" s="10"/>
      <c r="F492" s="6"/>
    </row>
    <row r="493" ht="15.75" customHeight="1">
      <c r="A493" s="10"/>
      <c r="B493" s="10"/>
      <c r="C493" s="18" t="s">
        <v>69</v>
      </c>
      <c r="D493" s="10"/>
      <c r="F493" s="6"/>
    </row>
    <row r="494" ht="15.75" customHeight="1">
      <c r="A494" s="10"/>
      <c r="B494" s="10"/>
      <c r="C494" s="27" t="s">
        <v>70</v>
      </c>
      <c r="D494" s="10"/>
      <c r="F494" s="6"/>
    </row>
    <row r="495" ht="15.75" customHeight="1">
      <c r="A495" s="10"/>
      <c r="B495" s="10"/>
      <c r="C495" s="18" t="s">
        <v>71</v>
      </c>
      <c r="D495" s="10"/>
      <c r="F495" s="6"/>
    </row>
    <row r="496" ht="15.75" customHeight="1">
      <c r="A496" s="18"/>
      <c r="B496" s="18" t="s">
        <v>28</v>
      </c>
      <c r="C496" s="10"/>
      <c r="D496" s="10"/>
      <c r="F496" s="6">
        <v>0.0</v>
      </c>
    </row>
    <row r="497" ht="15.75" customHeight="1">
      <c r="A497" s="18"/>
      <c r="B497" s="18" t="s">
        <v>5</v>
      </c>
      <c r="C497" s="10"/>
      <c r="D497" s="10"/>
      <c r="F497" s="6"/>
    </row>
    <row r="498" ht="15.75" customHeight="1" collapsed="1">
      <c r="A498" s="18"/>
      <c r="B498" s="18" t="s">
        <v>29</v>
      </c>
      <c r="C498" s="10"/>
      <c r="D498" s="10"/>
      <c r="F498" s="6"/>
    </row>
    <row r="499" ht="15.75" hidden="1" customHeight="1" outlineLevel="1">
      <c r="A499" s="10"/>
      <c r="B499" s="10"/>
      <c r="C499" s="18" t="s">
        <v>72</v>
      </c>
      <c r="D499" s="10"/>
      <c r="F499" s="6"/>
    </row>
    <row r="500" ht="15.75" hidden="1" customHeight="1" outlineLevel="1">
      <c r="A500" s="10"/>
      <c r="B500" s="10"/>
      <c r="C500" s="18" t="s">
        <v>73</v>
      </c>
      <c r="D500" s="10"/>
      <c r="F500" s="6"/>
    </row>
    <row r="501" ht="15.75" hidden="1" customHeight="1" outlineLevel="1">
      <c r="A501" s="10"/>
      <c r="B501" s="10"/>
      <c r="C501" s="18" t="s">
        <v>74</v>
      </c>
      <c r="D501" s="10"/>
      <c r="F501" s="6"/>
    </row>
    <row r="502" ht="15.75" hidden="1" customHeight="1" outlineLevel="1">
      <c r="A502" s="10"/>
      <c r="B502" s="10"/>
      <c r="C502" s="18" t="s">
        <v>75</v>
      </c>
      <c r="D502" s="10"/>
      <c r="F502" s="6"/>
    </row>
    <row r="503" ht="15.75" hidden="1" customHeight="1" outlineLevel="1">
      <c r="A503" s="10"/>
      <c r="B503" s="10"/>
      <c r="C503" s="18" t="s">
        <v>76</v>
      </c>
      <c r="D503" s="10"/>
      <c r="F503" s="6"/>
    </row>
    <row r="504" ht="15.75" hidden="1" customHeight="1" outlineLevel="1">
      <c r="A504" s="10"/>
      <c r="B504" s="10"/>
      <c r="C504" s="18" t="s">
        <v>77</v>
      </c>
      <c r="D504" s="10"/>
      <c r="F504" s="6"/>
    </row>
    <row r="505" ht="15.75" hidden="1" customHeight="1" outlineLevel="1">
      <c r="A505" s="10"/>
      <c r="B505" s="10"/>
      <c r="C505" s="18" t="s">
        <v>78</v>
      </c>
      <c r="D505" s="10"/>
      <c r="F505" s="6"/>
    </row>
    <row r="506" ht="15.75" hidden="1" customHeight="1" outlineLevel="1">
      <c r="A506" s="10"/>
      <c r="B506" s="10"/>
      <c r="C506" s="18" t="s">
        <v>79</v>
      </c>
      <c r="D506" s="10"/>
      <c r="F506" s="6"/>
    </row>
    <row r="507" ht="15.75" hidden="1" customHeight="1" outlineLevel="1">
      <c r="A507" s="10"/>
      <c r="B507" s="10"/>
      <c r="C507" s="18" t="s">
        <v>80</v>
      </c>
      <c r="D507" s="10"/>
      <c r="F507" s="6"/>
    </row>
    <row r="508" ht="15.75" hidden="1" customHeight="1" outlineLevel="1">
      <c r="A508" s="10"/>
      <c r="B508" s="10"/>
      <c r="C508" s="18" t="s">
        <v>81</v>
      </c>
      <c r="D508" s="10"/>
      <c r="F508" s="6"/>
    </row>
    <row r="509" ht="15.75" hidden="1" customHeight="1" outlineLevel="1">
      <c r="A509" s="10"/>
      <c r="B509" s="10"/>
      <c r="C509" s="18" t="s">
        <v>82</v>
      </c>
      <c r="D509" s="10"/>
      <c r="F509" s="6"/>
    </row>
    <row r="510" ht="15.75" hidden="1" customHeight="1" outlineLevel="1">
      <c r="A510" s="10"/>
      <c r="B510" s="10"/>
      <c r="C510" s="18" t="s">
        <v>83</v>
      </c>
      <c r="D510" s="10"/>
      <c r="F510" s="6"/>
    </row>
    <row r="511" ht="15.75" hidden="1" customHeight="1" outlineLevel="1">
      <c r="A511" s="10"/>
      <c r="B511" s="10"/>
      <c r="C511" s="18" t="s">
        <v>84</v>
      </c>
      <c r="D511" s="10"/>
      <c r="F511" s="6"/>
    </row>
    <row r="512" ht="15.75" hidden="1" customHeight="1" outlineLevel="1">
      <c r="A512" s="10"/>
      <c r="B512" s="10"/>
      <c r="C512" s="18" t="s">
        <v>85</v>
      </c>
      <c r="D512" s="10"/>
      <c r="F512" s="6"/>
    </row>
    <row r="513" ht="15.75" hidden="1" customHeight="1" outlineLevel="1">
      <c r="A513" s="10"/>
      <c r="B513" s="10"/>
      <c r="C513" s="18" t="s">
        <v>86</v>
      </c>
      <c r="D513" s="10"/>
      <c r="F513" s="6"/>
    </row>
    <row r="514" ht="15.75" hidden="1" customHeight="1" outlineLevel="1">
      <c r="A514" s="10"/>
      <c r="B514" s="10"/>
      <c r="C514" s="18" t="s">
        <v>87</v>
      </c>
      <c r="D514" s="10"/>
      <c r="F514" s="6"/>
    </row>
    <row r="515" ht="15.75" hidden="1" customHeight="1" outlineLevel="1">
      <c r="A515" s="10"/>
      <c r="B515" s="10"/>
      <c r="C515" s="18" t="s">
        <v>88</v>
      </c>
      <c r="D515" s="10"/>
      <c r="F515" s="6"/>
    </row>
    <row r="516" ht="15.75" hidden="1" customHeight="1" outlineLevel="1">
      <c r="A516" s="10"/>
      <c r="B516" s="10"/>
      <c r="C516" s="18" t="s">
        <v>89</v>
      </c>
      <c r="D516" s="10"/>
      <c r="F516" s="6"/>
    </row>
    <row r="517" ht="15.75" hidden="1" customHeight="1" outlineLevel="1">
      <c r="A517" s="10"/>
      <c r="B517" s="10"/>
      <c r="C517" s="18" t="s">
        <v>90</v>
      </c>
      <c r="D517" s="10"/>
      <c r="F517" s="6"/>
    </row>
    <row r="518" ht="15.75" hidden="1" customHeight="1" outlineLevel="1">
      <c r="A518" s="10"/>
      <c r="B518" s="10"/>
      <c r="C518" s="18" t="s">
        <v>91</v>
      </c>
      <c r="D518" s="10"/>
      <c r="F518" s="6"/>
    </row>
    <row r="519" ht="15.75" customHeight="1" collapsed="1">
      <c r="A519" s="10"/>
      <c r="B519" s="10"/>
      <c r="C519" s="18" t="s">
        <v>92</v>
      </c>
      <c r="D519" s="10"/>
      <c r="F519" s="6">
        <v>264.0</v>
      </c>
    </row>
    <row r="520" ht="15.75" hidden="1" customHeight="1" outlineLevel="1">
      <c r="A520" s="10"/>
      <c r="B520" s="10"/>
      <c r="C520" s="18" t="s">
        <v>93</v>
      </c>
      <c r="D520" s="10"/>
      <c r="F520" s="6"/>
    </row>
    <row r="521" ht="15.75" hidden="1" customHeight="1" outlineLevel="1">
      <c r="A521" s="10"/>
      <c r="B521" s="10"/>
      <c r="C521" s="18" t="s">
        <v>94</v>
      </c>
      <c r="D521" s="10"/>
      <c r="F521" s="6"/>
    </row>
    <row r="522" ht="15.75" hidden="1" customHeight="1" outlineLevel="1">
      <c r="A522" s="10"/>
      <c r="B522" s="10"/>
      <c r="C522" s="18" t="s">
        <v>95</v>
      </c>
      <c r="D522" s="10"/>
      <c r="F522" s="6"/>
    </row>
    <row r="523" ht="15.75" hidden="1" customHeight="1" outlineLevel="1">
      <c r="A523" s="10"/>
      <c r="B523" s="10"/>
      <c r="C523" s="18" t="s">
        <v>96</v>
      </c>
      <c r="D523" s="10"/>
      <c r="F523" s="6"/>
    </row>
    <row r="524" ht="15.75" hidden="1" customHeight="1" outlineLevel="1">
      <c r="A524" s="10"/>
      <c r="B524" s="10"/>
      <c r="C524" s="18" t="s">
        <v>97</v>
      </c>
      <c r="D524" s="10"/>
      <c r="F524" s="6"/>
    </row>
    <row r="525" ht="15.75" hidden="1" customHeight="1" outlineLevel="1">
      <c r="A525" s="10"/>
      <c r="B525" s="10"/>
      <c r="C525" s="18" t="s">
        <v>98</v>
      </c>
      <c r="D525" s="10"/>
      <c r="F525" s="6"/>
    </row>
    <row r="526" ht="15.75" hidden="1" customHeight="1" outlineLevel="1">
      <c r="A526" s="10"/>
      <c r="B526" s="10"/>
      <c r="C526" s="18" t="s">
        <v>99</v>
      </c>
      <c r="D526" s="10"/>
      <c r="F526" s="6"/>
    </row>
    <row r="527" ht="15.75" hidden="1" customHeight="1" outlineLevel="1">
      <c r="A527" s="10"/>
      <c r="B527" s="10"/>
      <c r="C527" s="18" t="s">
        <v>100</v>
      </c>
      <c r="D527" s="10"/>
      <c r="F527" s="6"/>
    </row>
    <row r="528" ht="15.75" hidden="1" customHeight="1" outlineLevel="1">
      <c r="A528" s="10"/>
      <c r="B528" s="10"/>
      <c r="C528" s="18" t="s">
        <v>101</v>
      </c>
      <c r="D528" s="10"/>
      <c r="F528" s="6"/>
    </row>
    <row r="529" ht="15.75" customHeight="1">
      <c r="A529" s="18"/>
      <c r="B529" s="18" t="s">
        <v>102</v>
      </c>
      <c r="C529" s="10"/>
      <c r="D529" s="10"/>
      <c r="F529" s="6">
        <f>F519</f>
        <v>264</v>
      </c>
    </row>
    <row r="530" ht="15.75" customHeight="1">
      <c r="A530" s="18"/>
      <c r="B530" s="18" t="s">
        <v>31</v>
      </c>
      <c r="C530" s="10"/>
      <c r="D530" s="10"/>
      <c r="F530" s="6">
        <f>F497-F529</f>
        <v>-264</v>
      </c>
    </row>
    <row r="531" ht="15.75" customHeight="1">
      <c r="A531" s="18"/>
      <c r="B531" s="18"/>
      <c r="C531" s="10"/>
      <c r="D531" s="10"/>
      <c r="F531" s="6"/>
    </row>
    <row r="532" ht="15.75" customHeight="1">
      <c r="A532" s="18"/>
      <c r="B532" s="18"/>
      <c r="C532" s="10"/>
      <c r="D532" s="10"/>
      <c r="F532" s="6"/>
    </row>
    <row r="533" ht="15.75" customHeight="1">
      <c r="A533" s="4"/>
      <c r="B533" s="4" t="s">
        <v>50</v>
      </c>
      <c r="C533" s="10"/>
      <c r="D533" s="4" t="s">
        <v>27</v>
      </c>
      <c r="F533" s="6"/>
    </row>
    <row r="534" ht="15.75" customHeight="1">
      <c r="A534" s="10"/>
      <c r="B534" s="10"/>
      <c r="C534" s="4" t="s">
        <v>124</v>
      </c>
      <c r="D534" s="10"/>
      <c r="F534" s="6"/>
    </row>
    <row r="535" ht="15.75" customHeight="1">
      <c r="A535" s="18"/>
      <c r="B535" s="18" t="s">
        <v>1</v>
      </c>
      <c r="C535" s="10"/>
      <c r="D535" s="10"/>
      <c r="F535" s="6">
        <v>0.0</v>
      </c>
    </row>
    <row r="536" ht="15.75" customHeight="1">
      <c r="A536" s="18"/>
      <c r="B536" s="18" t="s">
        <v>67</v>
      </c>
      <c r="C536" s="10"/>
      <c r="D536" s="10"/>
      <c r="F536" s="6">
        <v>0.0</v>
      </c>
    </row>
    <row r="537" ht="15.75" customHeight="1">
      <c r="A537" s="18"/>
      <c r="B537" s="18" t="s">
        <v>28</v>
      </c>
      <c r="C537" s="10"/>
      <c r="D537" s="10"/>
      <c r="F537" s="6">
        <v>0.0</v>
      </c>
    </row>
    <row r="538" ht="15.75" customHeight="1">
      <c r="A538" s="10"/>
      <c r="B538" s="10"/>
      <c r="C538" s="18" t="s">
        <v>68</v>
      </c>
      <c r="D538" s="10"/>
      <c r="F538" s="6">
        <v>0.0</v>
      </c>
    </row>
    <row r="539" ht="15.75" customHeight="1">
      <c r="A539" s="10"/>
      <c r="B539" s="10"/>
      <c r="C539" s="18" t="s">
        <v>69</v>
      </c>
      <c r="D539" s="10"/>
      <c r="F539" s="6">
        <v>0.0</v>
      </c>
    </row>
    <row r="540" ht="15.75" customHeight="1">
      <c r="A540" s="10"/>
      <c r="B540" s="10"/>
      <c r="C540" s="18" t="s">
        <v>71</v>
      </c>
      <c r="D540" s="10"/>
      <c r="F540" s="6">
        <v>0.0</v>
      </c>
    </row>
    <row r="541" ht="15.75" customHeight="1">
      <c r="A541" s="18"/>
      <c r="B541" s="18" t="s">
        <v>28</v>
      </c>
      <c r="C541" s="10"/>
      <c r="D541" s="10"/>
      <c r="F541" s="6">
        <v>0.0</v>
      </c>
    </row>
    <row r="542" ht="15.75" customHeight="1">
      <c r="A542" s="18"/>
      <c r="B542" s="18" t="s">
        <v>5</v>
      </c>
      <c r="C542" s="10"/>
      <c r="D542" s="10"/>
      <c r="F542" s="6">
        <v>0.0</v>
      </c>
    </row>
    <row r="543" ht="15.75" customHeight="1" collapsed="1">
      <c r="A543" s="18"/>
      <c r="B543" s="18" t="s">
        <v>29</v>
      </c>
      <c r="C543" s="10"/>
      <c r="D543" s="10"/>
      <c r="F543" s="6"/>
    </row>
    <row r="544" ht="15.75" hidden="1" customHeight="1" outlineLevel="1">
      <c r="A544" s="10"/>
      <c r="B544" s="10"/>
      <c r="C544" s="18" t="s">
        <v>72</v>
      </c>
      <c r="D544" s="10"/>
      <c r="F544" s="6"/>
    </row>
    <row r="545" ht="15.75" hidden="1" customHeight="1" outlineLevel="1">
      <c r="A545" s="10"/>
      <c r="B545" s="10"/>
      <c r="C545" s="18" t="s">
        <v>73</v>
      </c>
      <c r="D545" s="10"/>
      <c r="F545" s="6"/>
    </row>
    <row r="546" ht="15.75" hidden="1" customHeight="1" outlineLevel="1">
      <c r="A546" s="10"/>
      <c r="B546" s="10"/>
      <c r="C546" s="18" t="s">
        <v>74</v>
      </c>
      <c r="D546" s="10"/>
      <c r="F546" s="6"/>
    </row>
    <row r="547" ht="15.75" hidden="1" customHeight="1" outlineLevel="1">
      <c r="A547" s="10"/>
      <c r="B547" s="10"/>
      <c r="C547" s="18" t="s">
        <v>75</v>
      </c>
      <c r="D547" s="10"/>
      <c r="F547" s="6"/>
    </row>
    <row r="548" ht="15.75" hidden="1" customHeight="1" outlineLevel="1">
      <c r="A548" s="10"/>
      <c r="B548" s="10"/>
      <c r="C548" s="18" t="s">
        <v>76</v>
      </c>
      <c r="D548" s="10"/>
      <c r="F548" s="6"/>
    </row>
    <row r="549" ht="15.75" hidden="1" customHeight="1" outlineLevel="1">
      <c r="A549" s="10"/>
      <c r="B549" s="10"/>
      <c r="C549" s="18" t="s">
        <v>77</v>
      </c>
      <c r="D549" s="10"/>
      <c r="F549" s="6"/>
    </row>
    <row r="550" ht="15.75" hidden="1" customHeight="1" outlineLevel="1">
      <c r="A550" s="10"/>
      <c r="B550" s="10"/>
      <c r="C550" s="18" t="s">
        <v>78</v>
      </c>
      <c r="D550" s="10"/>
      <c r="F550" s="6"/>
    </row>
    <row r="551" ht="15.75" hidden="1" customHeight="1" outlineLevel="1">
      <c r="A551" s="10"/>
      <c r="B551" s="10"/>
      <c r="C551" s="18" t="s">
        <v>79</v>
      </c>
      <c r="D551" s="10"/>
      <c r="F551" s="6"/>
    </row>
    <row r="552" ht="15.75" hidden="1" customHeight="1" outlineLevel="1">
      <c r="A552" s="10"/>
      <c r="B552" s="10"/>
      <c r="C552" s="18" t="s">
        <v>80</v>
      </c>
      <c r="D552" s="10"/>
      <c r="F552" s="6"/>
    </row>
    <row r="553" ht="15.75" hidden="1" customHeight="1" outlineLevel="1">
      <c r="A553" s="10"/>
      <c r="B553" s="10"/>
      <c r="C553" s="18" t="s">
        <v>81</v>
      </c>
      <c r="D553" s="10"/>
      <c r="F553" s="6"/>
    </row>
    <row r="554" ht="15.75" hidden="1" customHeight="1" outlineLevel="1">
      <c r="A554" s="10"/>
      <c r="B554" s="10"/>
      <c r="C554" s="18" t="s">
        <v>82</v>
      </c>
      <c r="D554" s="10"/>
      <c r="F554" s="6"/>
    </row>
    <row r="555" ht="15.75" hidden="1" customHeight="1" outlineLevel="1">
      <c r="A555" s="10"/>
      <c r="B555" s="10"/>
      <c r="C555" s="18" t="s">
        <v>83</v>
      </c>
      <c r="D555" s="10"/>
      <c r="F555" s="6"/>
    </row>
    <row r="556" ht="15.75" hidden="1" customHeight="1" outlineLevel="1">
      <c r="A556" s="10"/>
      <c r="B556" s="10"/>
      <c r="C556" s="18" t="s">
        <v>84</v>
      </c>
      <c r="D556" s="10"/>
      <c r="F556" s="6"/>
    </row>
    <row r="557" ht="15.75" hidden="1" customHeight="1" outlineLevel="1">
      <c r="A557" s="10"/>
      <c r="B557" s="10"/>
      <c r="C557" s="18" t="s">
        <v>85</v>
      </c>
      <c r="D557" s="10"/>
      <c r="F557" s="6"/>
    </row>
    <row r="558" ht="15.75" hidden="1" customHeight="1" outlineLevel="1">
      <c r="A558" s="10"/>
      <c r="B558" s="10"/>
      <c r="C558" s="18" t="s">
        <v>86</v>
      </c>
      <c r="D558" s="10"/>
      <c r="F558" s="6"/>
    </row>
    <row r="559" ht="15.75" hidden="1" customHeight="1" outlineLevel="1">
      <c r="A559" s="10"/>
      <c r="B559" s="10"/>
      <c r="C559" s="18" t="s">
        <v>87</v>
      </c>
      <c r="D559" s="10"/>
      <c r="F559" s="6"/>
    </row>
    <row r="560" ht="15.75" hidden="1" customHeight="1" outlineLevel="1">
      <c r="A560" s="10"/>
      <c r="B560" s="10"/>
      <c r="C560" s="18" t="s">
        <v>88</v>
      </c>
      <c r="D560" s="10"/>
      <c r="F560" s="6"/>
    </row>
    <row r="561" ht="15.75" hidden="1" customHeight="1" outlineLevel="1">
      <c r="A561" s="10"/>
      <c r="B561" s="10"/>
      <c r="C561" s="18" t="s">
        <v>89</v>
      </c>
      <c r="D561" s="10"/>
      <c r="F561" s="6"/>
    </row>
    <row r="562" ht="15.75" hidden="1" customHeight="1" outlineLevel="1">
      <c r="A562" s="10"/>
      <c r="B562" s="10"/>
      <c r="C562" s="18" t="s">
        <v>90</v>
      </c>
      <c r="D562" s="10"/>
      <c r="F562" s="6"/>
    </row>
    <row r="563" ht="15.75" hidden="1" customHeight="1" outlineLevel="1">
      <c r="A563" s="10"/>
      <c r="B563" s="10"/>
      <c r="C563" s="18" t="s">
        <v>91</v>
      </c>
      <c r="D563" s="10"/>
      <c r="F563" s="6"/>
    </row>
    <row r="564" ht="15.75" customHeight="1" collapsed="1">
      <c r="A564" s="10"/>
      <c r="B564" s="10"/>
      <c r="C564" s="18" t="s">
        <v>92</v>
      </c>
      <c r="D564" s="10"/>
      <c r="F564" s="6">
        <v>264.0</v>
      </c>
    </row>
    <row r="565" ht="15.75" hidden="1" customHeight="1" outlineLevel="1">
      <c r="A565" s="10"/>
      <c r="B565" s="10"/>
      <c r="C565" s="18" t="s">
        <v>93</v>
      </c>
      <c r="D565" s="10"/>
      <c r="F565" s="6"/>
    </row>
    <row r="566" ht="15.75" hidden="1" customHeight="1" outlineLevel="1">
      <c r="A566" s="10"/>
      <c r="B566" s="10"/>
      <c r="C566" s="18" t="s">
        <v>94</v>
      </c>
      <c r="D566" s="10"/>
      <c r="F566" s="6"/>
    </row>
    <row r="567" ht="15.75" hidden="1" customHeight="1" outlineLevel="1">
      <c r="A567" s="10"/>
      <c r="B567" s="10"/>
      <c r="C567" s="18" t="s">
        <v>95</v>
      </c>
      <c r="D567" s="10"/>
      <c r="F567" s="6"/>
    </row>
    <row r="568" ht="15.75" hidden="1" customHeight="1" outlineLevel="1">
      <c r="A568" s="10"/>
      <c r="B568" s="10"/>
      <c r="C568" s="18" t="s">
        <v>96</v>
      </c>
      <c r="D568" s="10"/>
      <c r="F568" s="6"/>
    </row>
    <row r="569" ht="15.75" hidden="1" customHeight="1" outlineLevel="1">
      <c r="A569" s="10"/>
      <c r="B569" s="10"/>
      <c r="C569" s="18" t="s">
        <v>97</v>
      </c>
      <c r="D569" s="10"/>
      <c r="F569" s="6"/>
    </row>
    <row r="570" ht="15.75" hidden="1" customHeight="1" outlineLevel="1">
      <c r="A570" s="10"/>
      <c r="B570" s="10"/>
      <c r="C570" s="18" t="s">
        <v>98</v>
      </c>
      <c r="D570" s="10"/>
      <c r="F570" s="6"/>
    </row>
    <row r="571" ht="15.75" hidden="1" customHeight="1" outlineLevel="1">
      <c r="A571" s="10"/>
      <c r="B571" s="10"/>
      <c r="C571" s="18" t="s">
        <v>99</v>
      </c>
      <c r="D571" s="10"/>
      <c r="F571" s="6"/>
    </row>
    <row r="572" ht="15.75" hidden="1" customHeight="1" outlineLevel="1">
      <c r="A572" s="10"/>
      <c r="B572" s="10"/>
      <c r="C572" s="18" t="s">
        <v>100</v>
      </c>
      <c r="D572" s="10"/>
      <c r="F572" s="6"/>
    </row>
    <row r="573" ht="15.75" hidden="1" customHeight="1" outlineLevel="1">
      <c r="A573" s="10"/>
      <c r="B573" s="10"/>
      <c r="C573" s="18" t="s">
        <v>101</v>
      </c>
      <c r="D573" s="10"/>
      <c r="F573" s="6"/>
    </row>
    <row r="574" ht="15.75" customHeight="1">
      <c r="A574" s="18"/>
      <c r="B574" s="18" t="s">
        <v>102</v>
      </c>
      <c r="C574" s="10"/>
      <c r="D574" s="10"/>
      <c r="F574" s="6">
        <f>-F564</f>
        <v>-264</v>
      </c>
    </row>
    <row r="575" ht="15.75" customHeight="1">
      <c r="A575" s="18"/>
      <c r="B575" s="18" t="s">
        <v>31</v>
      </c>
      <c r="C575" s="10"/>
      <c r="D575" s="10"/>
      <c r="F575" s="6">
        <f>F542-F564</f>
        <v>-264</v>
      </c>
    </row>
    <row r="576" ht="15.75" customHeight="1">
      <c r="A576" s="18"/>
      <c r="B576" s="18"/>
      <c r="C576" s="10"/>
      <c r="D576" s="10"/>
      <c r="F576" s="6"/>
    </row>
    <row r="577" ht="15.75" customHeight="1">
      <c r="A577" s="4"/>
      <c r="B577" s="4" t="s">
        <v>50</v>
      </c>
      <c r="C577" s="10"/>
      <c r="D577" s="4" t="s">
        <v>27</v>
      </c>
      <c r="F577" s="6"/>
    </row>
    <row r="578" ht="15.75" customHeight="1">
      <c r="A578" s="10"/>
      <c r="B578" s="10"/>
      <c r="C578" s="4" t="s">
        <v>125</v>
      </c>
      <c r="D578" s="10"/>
      <c r="F578" s="6"/>
    </row>
    <row r="579" ht="15.75" customHeight="1">
      <c r="A579" s="18"/>
      <c r="B579" s="18" t="s">
        <v>1</v>
      </c>
      <c r="C579" s="10"/>
      <c r="D579" s="10"/>
      <c r="F579" s="6">
        <f t="array" ref="F579">SUMIF('補足'!$A$2:$A$48, XLOOKUP($C579, 'マスタ'!$D$2:$D$318, 'マスタ'!$D$2:$D$318, $C579), '補足'!$G$2:$G$48)</f>
        <v>0</v>
      </c>
    </row>
    <row r="580" ht="15.75" customHeight="1" collapsed="1">
      <c r="A580" s="18"/>
      <c r="B580" s="18" t="s">
        <v>67</v>
      </c>
      <c r="C580" s="10"/>
      <c r="D580" s="10"/>
      <c r="F580" s="6">
        <f t="array" ref="F580">SUMIF('補足'!$A$2:$A$48, XLOOKUP($C580, 'マスタ'!$D$2:$D$318, 'マスタ'!$D$2:$D$318, $C580), '補足'!$G$2:$G$48)</f>
        <v>0</v>
      </c>
    </row>
    <row r="581" ht="15.75" hidden="1" customHeight="1" outlineLevel="1">
      <c r="A581" s="18"/>
      <c r="B581" s="18" t="s">
        <v>28</v>
      </c>
      <c r="C581" s="10"/>
      <c r="D581" s="10"/>
      <c r="F581" s="6">
        <f t="array" ref="F581">SUMIF('補足'!$A$2:$A$48, XLOOKUP($C581, 'マスタ'!$D$2:$D$318, 'マスタ'!$D$2:$D$318, $C581), '補足'!$G$2:$G$48)</f>
        <v>0</v>
      </c>
    </row>
    <row r="582" ht="15.75" hidden="1" customHeight="1" outlineLevel="1">
      <c r="A582" s="10"/>
      <c r="B582" s="10"/>
      <c r="C582" s="18" t="s">
        <v>68</v>
      </c>
      <c r="D582" s="10"/>
      <c r="F582" s="6">
        <f t="array" ref="F582">SUMIF('補足'!$A$2:$A$48, XLOOKUP($C582, 'マスタ'!$D$2:$D$318, 'マスタ'!$D$2:$D$318, $C582), '補足'!$G$2:$G$48)</f>
        <v>0</v>
      </c>
    </row>
    <row r="583" ht="15.75" hidden="1" customHeight="1" outlineLevel="1">
      <c r="A583" s="10"/>
      <c r="B583" s="10"/>
      <c r="C583" s="18" t="s">
        <v>69</v>
      </c>
      <c r="D583" s="10"/>
      <c r="F583" s="6">
        <f t="array" ref="F583">SUMIF('補足'!$A$2:$A$48, XLOOKUP($C583, 'マスタ'!$D$2:$D$318, 'マスタ'!$D$2:$D$318, $C583), '補足'!$G$2:$G$48)</f>
        <v>0</v>
      </c>
    </row>
    <row r="584" ht="15.75" hidden="1" customHeight="1" outlineLevel="1">
      <c r="A584" s="10"/>
      <c r="B584" s="10"/>
      <c r="C584" s="18" t="s">
        <v>71</v>
      </c>
      <c r="D584" s="10"/>
      <c r="F584" s="6">
        <f t="array" ref="F584">SUMIF('補足'!$A$2:$A$48, XLOOKUP($C584, 'マスタ'!$D$2:$D$318, 'マスタ'!$D$2:$D$318, $C584), '補足'!$G$2:$G$48)</f>
        <v>0</v>
      </c>
    </row>
    <row r="585" ht="15.75" customHeight="1">
      <c r="A585" s="18"/>
      <c r="B585" s="18" t="s">
        <v>28</v>
      </c>
      <c r="C585" s="10"/>
      <c r="D585" s="10"/>
      <c r="F585" s="6">
        <f>F582+F583-F584</f>
        <v>0</v>
      </c>
    </row>
    <row r="586" ht="15.75" customHeight="1">
      <c r="A586" s="18"/>
      <c r="B586" s="18" t="s">
        <v>5</v>
      </c>
      <c r="C586" s="10"/>
      <c r="D586" s="10"/>
      <c r="F586" s="6">
        <f>F579-F585</f>
        <v>0</v>
      </c>
    </row>
    <row r="587" ht="15.75" customHeight="1" collapsed="1">
      <c r="A587" s="18"/>
      <c r="B587" s="18" t="s">
        <v>29</v>
      </c>
      <c r="C587" s="10"/>
      <c r="D587" s="10"/>
      <c r="F587" s="6"/>
    </row>
    <row r="588" ht="15.75" hidden="1" customHeight="1" outlineLevel="1">
      <c r="A588" s="10"/>
      <c r="B588" s="10"/>
      <c r="C588" s="18" t="s">
        <v>72</v>
      </c>
      <c r="D588" s="10"/>
      <c r="F588" s="6">
        <f t="array" ref="F588">SUMIF('補足'!$A$2:$A$48, XLOOKUP($C588, 'マスタ'!$D$2:$D$318, 'マスタ'!$D$2:$D$318, $C588), '補足'!$G$2:$G$48)</f>
        <v>0</v>
      </c>
    </row>
    <row r="589" ht="15.75" hidden="1" customHeight="1" outlineLevel="1">
      <c r="A589" s="10"/>
      <c r="B589" s="10"/>
      <c r="C589" s="18" t="s">
        <v>73</v>
      </c>
      <c r="D589" s="10"/>
      <c r="F589" s="6">
        <f t="array" ref="F589">SUMIF('補足'!$A$2:$A$48, XLOOKUP($C589, 'マスタ'!$D$2:$D$318, 'マスタ'!$D$2:$D$318, $C589), '補足'!$G$2:$G$48)</f>
        <v>0</v>
      </c>
    </row>
    <row r="590" ht="15.75" hidden="1" customHeight="1" outlineLevel="1">
      <c r="A590" s="10"/>
      <c r="B590" s="10"/>
      <c r="C590" s="18" t="s">
        <v>74</v>
      </c>
      <c r="D590" s="10"/>
      <c r="F590" s="6">
        <f t="array" ref="F590">SUMIF('補足'!$A$2:$A$48, XLOOKUP($C590, 'マスタ'!$D$2:$D$318, 'マスタ'!$D$2:$D$318, $C590), '補足'!$G$2:$G$48)</f>
        <v>0</v>
      </c>
    </row>
    <row r="591" ht="15.75" hidden="1" customHeight="1" outlineLevel="1">
      <c r="A591" s="10"/>
      <c r="B591" s="10"/>
      <c r="C591" s="18" t="s">
        <v>75</v>
      </c>
      <c r="D591" s="10"/>
      <c r="F591" s="6">
        <f t="array" ref="F591">SUMIF('補足'!$A$2:$A$48, XLOOKUP($C591, 'マスタ'!$D$2:$D$318, 'マスタ'!$D$2:$D$318, $C591), '補足'!$G$2:$G$48)</f>
        <v>0</v>
      </c>
    </row>
    <row r="592" ht="15.75" hidden="1" customHeight="1" outlineLevel="1">
      <c r="A592" s="10"/>
      <c r="B592" s="10"/>
      <c r="C592" s="18" t="s">
        <v>76</v>
      </c>
      <c r="D592" s="10"/>
      <c r="F592" s="6">
        <f t="array" ref="F592">SUMIF('補足'!$A$2:$A$48, XLOOKUP($C592, 'マスタ'!$D$2:$D$318, 'マスタ'!$D$2:$D$318, $C592), '補足'!$G$2:$G$48)</f>
        <v>0</v>
      </c>
    </row>
    <row r="593" ht="15.75" hidden="1" customHeight="1" outlineLevel="1">
      <c r="A593" s="10"/>
      <c r="B593" s="10"/>
      <c r="C593" s="18" t="s">
        <v>77</v>
      </c>
      <c r="D593" s="10"/>
      <c r="F593" s="6">
        <f t="array" ref="F593">SUMIF('補足'!$A$2:$A$48, XLOOKUP($C593, 'マスタ'!$D$2:$D$318, 'マスタ'!$D$2:$D$318, $C593), '補足'!$G$2:$G$48)</f>
        <v>0</v>
      </c>
    </row>
    <row r="594" ht="15.75" hidden="1" customHeight="1" outlineLevel="1">
      <c r="A594" s="10"/>
      <c r="B594" s="10"/>
      <c r="C594" s="18" t="s">
        <v>78</v>
      </c>
      <c r="D594" s="10"/>
      <c r="F594" s="6">
        <f t="array" ref="F594">SUMIF('補足'!$A$2:$A$48, XLOOKUP($C594, 'マスタ'!$D$2:$D$318, 'マスタ'!$D$2:$D$318, $C594), '補足'!$G$2:$G$48)</f>
        <v>0</v>
      </c>
    </row>
    <row r="595" ht="15.75" customHeight="1">
      <c r="A595" s="10"/>
      <c r="B595" s="10"/>
      <c r="C595" s="18" t="s">
        <v>79</v>
      </c>
      <c r="D595" s="10"/>
      <c r="F595" s="6">
        <f t="array" ref="F595">SUMIF('補足'!$A$2:$A$48, XLOOKUP($C595, 'マスタ'!$D$2:$D$318, 'マスタ'!$D$2:$D$318, $C595), '補足'!$G$2:$G$48)</f>
        <v>850000</v>
      </c>
    </row>
    <row r="596" ht="15.75" customHeight="1" collapsed="1">
      <c r="A596" s="10"/>
      <c r="B596" s="10"/>
      <c r="C596" s="18" t="s">
        <v>80</v>
      </c>
      <c r="D596" s="10"/>
      <c r="F596" s="6">
        <f t="array" ref="F596">SUMIF('補足'!$A$2:$A$48, XLOOKUP($C596, 'マスタ'!$D$2:$D$318, 'マスタ'!$D$2:$D$318, $C596), '補足'!$G$2:$G$48)</f>
        <v>1019</v>
      </c>
    </row>
    <row r="597" ht="15.75" hidden="1" customHeight="1" outlineLevel="1">
      <c r="A597" s="10"/>
      <c r="B597" s="10"/>
      <c r="C597" s="18" t="s">
        <v>81</v>
      </c>
      <c r="D597" s="10"/>
      <c r="F597" s="6">
        <f t="array" ref="F597">SUMIF('補足'!$A$2:$A$48, XLOOKUP($C597, 'マスタ'!$D$2:$D$318, 'マスタ'!$D$2:$D$318, $C597), '補足'!$G$2:$G$48)</f>
        <v>0</v>
      </c>
    </row>
    <row r="598" ht="15.75" hidden="1" customHeight="1" outlineLevel="1">
      <c r="A598" s="10"/>
      <c r="B598" s="10"/>
      <c r="C598" s="18" t="s">
        <v>82</v>
      </c>
      <c r="D598" s="10"/>
      <c r="F598" s="6">
        <f t="array" ref="F598">SUMIF('補足'!$A$2:$A$48, XLOOKUP($C598, 'マスタ'!$D$2:$D$318, 'マスタ'!$D$2:$D$318, $C598), '補足'!$G$2:$G$48)</f>
        <v>0</v>
      </c>
    </row>
    <row r="599" ht="15.75" customHeight="1" collapsed="1">
      <c r="A599" s="10"/>
      <c r="B599" s="10"/>
      <c r="C599" s="18" t="s">
        <v>83</v>
      </c>
      <c r="D599" s="10"/>
      <c r="F599" s="6">
        <f t="array" ref="F599">SUMIF('補足'!$A$2:$A$48, XLOOKUP($C599, 'マスタ'!$D$2:$D$318, 'マスタ'!$D$2:$D$318, $C599), '補足'!$G$2:$G$48)</f>
        <v>2644</v>
      </c>
    </row>
    <row r="600" ht="15.75" hidden="1" customHeight="1" outlineLevel="1">
      <c r="A600" s="10"/>
      <c r="B600" s="10"/>
      <c r="C600" s="18" t="s">
        <v>84</v>
      </c>
      <c r="D600" s="10"/>
      <c r="F600" s="6">
        <f t="array" ref="F600">SUMIF('補足'!$A$2:$A$48, XLOOKUP($C600, 'マスタ'!$D$2:$D$318, 'マスタ'!$D$2:$D$318, $C600), '補足'!$G$2:$G$48)</f>
        <v>0</v>
      </c>
    </row>
    <row r="601" ht="15.75" hidden="1" customHeight="1" outlineLevel="1">
      <c r="A601" s="10"/>
      <c r="B601" s="10"/>
      <c r="C601" s="18" t="s">
        <v>85</v>
      </c>
      <c r="D601" s="10"/>
      <c r="F601" s="6">
        <f t="array" ref="F601">SUMIF('補足'!$A$2:$A$48, XLOOKUP($C601, 'マスタ'!$D$2:$D$318, 'マスタ'!$D$2:$D$318, $C601), '補足'!$G$2:$G$48)</f>
        <v>0</v>
      </c>
    </row>
    <row r="602" ht="15.75" hidden="1" customHeight="1" outlineLevel="1">
      <c r="A602" s="10"/>
      <c r="B602" s="10"/>
      <c r="C602" s="18" t="s">
        <v>86</v>
      </c>
      <c r="D602" s="10"/>
      <c r="F602" s="6">
        <f t="array" ref="F602">SUMIF('補足'!$A$2:$A$48, XLOOKUP($C602, 'マスタ'!$D$2:$D$318, 'マスタ'!$D$2:$D$318, $C602), '補足'!$G$2:$G$48)</f>
        <v>0</v>
      </c>
    </row>
    <row r="603" ht="15.75" hidden="1" customHeight="1" outlineLevel="1">
      <c r="A603" s="10"/>
      <c r="B603" s="10"/>
      <c r="C603" s="18" t="s">
        <v>87</v>
      </c>
      <c r="D603" s="10"/>
      <c r="F603" s="6">
        <f t="array" ref="F603">SUMIF('補足'!$A$2:$A$48, XLOOKUP($C603, 'マスタ'!$D$2:$D$318, 'マスタ'!$D$2:$D$318, $C603), '補足'!$G$2:$G$48)</f>
        <v>0</v>
      </c>
    </row>
    <row r="604" ht="15.75" hidden="1" customHeight="1" outlineLevel="1">
      <c r="A604" s="10"/>
      <c r="B604" s="10"/>
      <c r="C604" s="18" t="s">
        <v>88</v>
      </c>
      <c r="D604" s="10"/>
      <c r="F604" s="6">
        <f t="array" ref="F604">SUMIF('補足'!$A$2:$A$48, XLOOKUP($C604, 'マスタ'!$D$2:$D$318, 'マスタ'!$D$2:$D$318, $C604), '補足'!$G$2:$G$48)</f>
        <v>0</v>
      </c>
    </row>
    <row r="605" ht="15.75" hidden="1" customHeight="1" outlineLevel="1">
      <c r="A605" s="10"/>
      <c r="B605" s="10"/>
      <c r="C605" s="18" t="s">
        <v>89</v>
      </c>
      <c r="D605" s="10"/>
      <c r="F605" s="6">
        <f t="array" ref="F605">SUMIF('補足'!$A$2:$A$48, XLOOKUP($C605, 'マスタ'!$D$2:$D$318, 'マスタ'!$D$2:$D$318, $C605), '補足'!$G$2:$G$48)</f>
        <v>0</v>
      </c>
    </row>
    <row r="606" ht="15.75" hidden="1" customHeight="1" outlineLevel="1">
      <c r="A606" s="10"/>
      <c r="B606" s="10"/>
      <c r="C606" s="18" t="s">
        <v>90</v>
      </c>
      <c r="D606" s="10"/>
      <c r="F606" s="6">
        <f t="array" ref="F606">SUMIF('補足'!$A$2:$A$48, XLOOKUP($C606, 'マスタ'!$D$2:$D$318, 'マスタ'!$D$2:$D$318, $C606), '補足'!$G$2:$G$48)</f>
        <v>0</v>
      </c>
    </row>
    <row r="607" ht="15.75" hidden="1" customHeight="1" outlineLevel="1">
      <c r="A607" s="10"/>
      <c r="B607" s="10"/>
      <c r="C607" s="18" t="s">
        <v>91</v>
      </c>
      <c r="D607" s="10"/>
      <c r="F607" s="6">
        <f t="array" ref="F607">SUMIF('補足'!$A$2:$A$48, XLOOKUP($C607, 'マスタ'!$D$2:$D$318, 'マスタ'!$D$2:$D$318, $C607), '補足'!$G$2:$G$48)</f>
        <v>0</v>
      </c>
    </row>
    <row r="608" ht="15.75" customHeight="1" collapsed="1">
      <c r="A608" s="10"/>
      <c r="B608" s="10"/>
      <c r="C608" s="18" t="s">
        <v>92</v>
      </c>
      <c r="D608" s="10"/>
      <c r="F608" s="6">
        <f t="array" ref="F608">SUMIF('補足'!$A$2:$A$48, XLOOKUP($C608, 'マスタ'!$D$2:$D$318, 'マスタ'!$D$2:$D$318, $C608), '補足'!$G$2:$G$48)</f>
        <v>528</v>
      </c>
    </row>
    <row r="609" ht="15.75" hidden="1" customHeight="1" outlineLevel="1">
      <c r="A609" s="10"/>
      <c r="B609" s="10"/>
      <c r="C609" s="18" t="s">
        <v>93</v>
      </c>
      <c r="D609" s="10"/>
      <c r="F609" s="6">
        <f t="array" ref="F609">SUMIF('補足'!$A$2:$A$48, XLOOKUP($C609, 'マスタ'!$D$2:$D$318, 'マスタ'!$D$2:$D$318, $C609), '補足'!$G$2:$G$48)</f>
        <v>0</v>
      </c>
    </row>
    <row r="610" ht="15.75" hidden="1" customHeight="1" outlineLevel="1">
      <c r="A610" s="10"/>
      <c r="B610" s="10"/>
      <c r="C610" s="18" t="s">
        <v>94</v>
      </c>
      <c r="D610" s="10"/>
      <c r="F610" s="6">
        <f t="array" ref="F610">SUMIF('補足'!$A$2:$A$48, XLOOKUP($C610, 'マスタ'!$D$2:$D$318, 'マスタ'!$D$2:$D$318, $C610), '補足'!$G$2:$G$48)</f>
        <v>0</v>
      </c>
    </row>
    <row r="611" ht="15.75" hidden="1" customHeight="1" outlineLevel="1">
      <c r="A611" s="10"/>
      <c r="B611" s="10"/>
      <c r="C611" s="18" t="s">
        <v>95</v>
      </c>
      <c r="D611" s="10"/>
      <c r="F611" s="6">
        <f t="array" ref="F611">SUMIF('補足'!$A$2:$A$48, XLOOKUP($C611, 'マスタ'!$D$2:$D$318, 'マスタ'!$D$2:$D$318, $C611), '補足'!$G$2:$G$48)</f>
        <v>0</v>
      </c>
    </row>
    <row r="612" ht="15.75" hidden="1" customHeight="1" outlineLevel="1">
      <c r="A612" s="10"/>
      <c r="B612" s="10"/>
      <c r="C612" s="18" t="s">
        <v>96</v>
      </c>
      <c r="D612" s="10"/>
      <c r="F612" s="6">
        <f t="array" ref="F612">SUMIF('補足'!$A$2:$A$48, XLOOKUP($C612, 'マスタ'!$D$2:$D$318, 'マスタ'!$D$2:$D$318, $C612), '補足'!$G$2:$G$48)</f>
        <v>0</v>
      </c>
    </row>
    <row r="613" ht="15.75" hidden="1" customHeight="1" outlineLevel="1">
      <c r="A613" s="10"/>
      <c r="B613" s="10"/>
      <c r="C613" s="18" t="s">
        <v>97</v>
      </c>
      <c r="D613" s="10"/>
      <c r="F613" s="6">
        <f t="array" ref="F613">SUMIF('補足'!$A$2:$A$48, XLOOKUP($C613, 'マスタ'!$D$2:$D$318, 'マスタ'!$D$2:$D$318, $C613), '補足'!$G$2:$G$48)</f>
        <v>0</v>
      </c>
    </row>
    <row r="614" ht="15.75" hidden="1" customHeight="1" outlineLevel="1">
      <c r="A614" s="10"/>
      <c r="B614" s="10"/>
      <c r="C614" s="18" t="s">
        <v>98</v>
      </c>
      <c r="D614" s="10"/>
      <c r="F614" s="6">
        <f t="array" ref="F614">SUMIF('補足'!$A$2:$A$48, XLOOKUP($C614, 'マスタ'!$D$2:$D$318, 'マスタ'!$D$2:$D$318, $C614), '補足'!$G$2:$G$48)</f>
        <v>0</v>
      </c>
    </row>
    <row r="615" ht="15.75" hidden="1" customHeight="1" outlineLevel="1">
      <c r="A615" s="10"/>
      <c r="B615" s="10"/>
      <c r="C615" s="18" t="s">
        <v>99</v>
      </c>
      <c r="D615" s="10"/>
      <c r="F615" s="6">
        <f t="array" ref="F615">SUMIF('補足'!$A$2:$A$48, XLOOKUP($C615, 'マスタ'!$D$2:$D$318, 'マスタ'!$D$2:$D$318, $C615), '補足'!$G$2:$G$48)</f>
        <v>0</v>
      </c>
    </row>
    <row r="616" ht="15.75" hidden="1" customHeight="1" outlineLevel="1">
      <c r="A616" s="10"/>
      <c r="B616" s="10"/>
      <c r="C616" s="18" t="s">
        <v>100</v>
      </c>
      <c r="D616" s="10"/>
      <c r="F616" s="6">
        <f t="array" ref="F616">SUMIF('補足'!$A$2:$A$48, XLOOKUP($C616, 'マスタ'!$D$2:$D$318, 'マスタ'!$D$2:$D$318, $C616), '補足'!$G$2:$G$48)</f>
        <v>0</v>
      </c>
    </row>
    <row r="617" ht="15.75" hidden="1" customHeight="1" outlineLevel="1">
      <c r="A617" s="10"/>
      <c r="B617" s="10"/>
      <c r="C617" s="18" t="s">
        <v>101</v>
      </c>
      <c r="D617" s="10"/>
      <c r="F617" s="6">
        <f t="array" ref="F617">SUMIF('補足'!$A$2:$A$48, XLOOKUP($C617, 'マスタ'!$D$2:$D$318, 'マスタ'!$D$2:$D$318, $C617), '補足'!$G$2:$G$48)</f>
        <v>0</v>
      </c>
    </row>
    <row r="618" ht="15.75" customHeight="1">
      <c r="A618" s="18"/>
      <c r="B618" s="18" t="s">
        <v>102</v>
      </c>
      <c r="C618" s="10"/>
      <c r="D618" s="10"/>
      <c r="F618" s="6">
        <f>SUM(F588:F617)</f>
        <v>854191</v>
      </c>
    </row>
    <row r="619" ht="15.75" customHeight="1">
      <c r="A619" s="18"/>
      <c r="B619" s="18" t="s">
        <v>31</v>
      </c>
      <c r="C619" s="10"/>
      <c r="D619" s="10"/>
      <c r="F619" s="6">
        <f>F586-F618</f>
        <v>-854191</v>
      </c>
    </row>
    <row r="620" ht="15.75" customHeight="1">
      <c r="A620" s="18"/>
      <c r="B620" s="18"/>
      <c r="C620" s="10"/>
      <c r="D620" s="10"/>
      <c r="F620" s="6"/>
    </row>
    <row r="621" ht="15.75" customHeight="1">
      <c r="A621" s="4"/>
      <c r="B621" s="4" t="s">
        <v>50</v>
      </c>
      <c r="C621" s="10"/>
      <c r="D621" s="4" t="s">
        <v>27</v>
      </c>
      <c r="F621" s="6"/>
    </row>
    <row r="622" ht="15.75" customHeight="1">
      <c r="A622" s="10"/>
      <c r="B622" s="10"/>
      <c r="C622" s="4" t="s">
        <v>126</v>
      </c>
      <c r="D622" s="10"/>
      <c r="F622" s="6"/>
    </row>
    <row r="623" ht="15.75" customHeight="1">
      <c r="A623" s="18"/>
      <c r="B623" s="18" t="s">
        <v>1</v>
      </c>
      <c r="C623" s="10"/>
      <c r="D623" s="10"/>
      <c r="F623" s="6"/>
    </row>
    <row r="624" ht="15.75" customHeight="1" collapsed="1">
      <c r="A624" s="18"/>
      <c r="B624" s="18" t="s">
        <v>67</v>
      </c>
      <c r="C624" s="10"/>
      <c r="D624" s="10"/>
      <c r="F624" s="6">
        <f t="array" ref="F624">SUMIF('補足'!$A$52:$A$96, XLOOKUP($C624, 'マスタ'!$D$2:$D$318, 'マスタ'!$D$2:$D$318, $C624), '補足'!$G$52:$G$96)</f>
        <v>0</v>
      </c>
    </row>
    <row r="625" ht="15.75" hidden="1" customHeight="1" outlineLevel="1">
      <c r="A625" s="18"/>
      <c r="B625" s="18" t="s">
        <v>28</v>
      </c>
      <c r="C625" s="10"/>
      <c r="D625" s="10"/>
      <c r="F625" s="6">
        <f t="array" ref="F625">SUMIF('補足'!$A$52:$A$96, XLOOKUP($C625, 'マスタ'!$D$2:$D$318, 'マスタ'!$D$2:$D$318, $C625), '補足'!$G$52:$G$96)</f>
        <v>0</v>
      </c>
    </row>
    <row r="626" ht="15.75" hidden="1" customHeight="1" outlineLevel="1">
      <c r="A626" s="10"/>
      <c r="B626" s="10"/>
      <c r="C626" s="18" t="s">
        <v>68</v>
      </c>
      <c r="D626" s="10"/>
      <c r="F626" s="6">
        <f t="array" ref="F626">SUMIF('補足'!$A$52:$A$96, XLOOKUP($C626, 'マスタ'!$D$2:$D$318, 'マスタ'!$D$2:$D$318, $C626), '補足'!$G$52:$G$96)</f>
        <v>0</v>
      </c>
    </row>
    <row r="627" ht="15.75" hidden="1" customHeight="1" outlineLevel="1">
      <c r="A627" s="10"/>
      <c r="B627" s="10"/>
      <c r="C627" s="18" t="s">
        <v>69</v>
      </c>
      <c r="D627" s="10"/>
      <c r="F627" s="6">
        <f t="array" ref="F627">SUMIF('補足'!$A$52:$A$96, XLOOKUP($C627, 'マスタ'!$D$2:$D$318, 'マスタ'!$D$2:$D$318, $C627), '補足'!$G$52:$G$96)</f>
        <v>0</v>
      </c>
    </row>
    <row r="628" ht="15.75" hidden="1" customHeight="1" outlineLevel="1">
      <c r="A628" s="10"/>
      <c r="B628" s="10"/>
      <c r="C628" s="27" t="s">
        <v>70</v>
      </c>
      <c r="D628" s="10"/>
      <c r="F628" s="6">
        <f t="array" ref="F628">SUMIF('補足'!$A$52:$A$96, XLOOKUP($C628, 'マスタ'!$D$2:$D$318, 'マスタ'!$D$2:$D$318, $C628), '補足'!$G$52:$G$96)</f>
        <v>0</v>
      </c>
    </row>
    <row r="629" ht="15.75" hidden="1" customHeight="1" outlineLevel="1">
      <c r="A629" s="10"/>
      <c r="B629" s="10"/>
      <c r="C629" s="18" t="s">
        <v>71</v>
      </c>
      <c r="D629" s="10"/>
      <c r="F629" s="6">
        <f t="array" ref="F629">SUMIF('補足'!$A$52:$A$96, XLOOKUP($C629, 'マスタ'!$D$2:$D$318, 'マスタ'!$D$2:$D$318, $C629), '補足'!$G$52:$G$96)</f>
        <v>0</v>
      </c>
    </row>
    <row r="630" ht="15.75" customHeight="1">
      <c r="A630" s="18"/>
      <c r="B630" s="18" t="s">
        <v>28</v>
      </c>
      <c r="C630" s="10"/>
      <c r="D630" s="10"/>
      <c r="F630" s="6">
        <f t="array" ref="F630">SUMIF('補足'!$A$52:$A$96, XLOOKUP($C630, 'マスタ'!$D$2:$D$318, 'マスタ'!$D$2:$D$318, $C630), '補足'!$G$52:$G$96)</f>
        <v>0</v>
      </c>
    </row>
    <row r="631" ht="15.75" customHeight="1">
      <c r="A631" s="18"/>
      <c r="B631" s="18" t="s">
        <v>5</v>
      </c>
      <c r="C631" s="10"/>
      <c r="D631" s="10"/>
      <c r="F631" s="6">
        <f t="array" ref="F631">SUMIF('補足'!$A$52:$A$96, XLOOKUP($C631, 'マスタ'!$D$2:$D$318, 'マスタ'!$D$2:$D$318, $C631), '補足'!$G$52:$G$96)</f>
        <v>0</v>
      </c>
    </row>
    <row r="632" ht="15.75" customHeight="1" collapsed="1">
      <c r="A632" s="18"/>
      <c r="B632" s="18" t="s">
        <v>29</v>
      </c>
      <c r="C632" s="10"/>
      <c r="D632" s="10"/>
      <c r="F632" s="6"/>
    </row>
    <row r="633" ht="15.75" hidden="1" customHeight="1" outlineLevel="1">
      <c r="A633" s="10"/>
      <c r="B633" s="10"/>
      <c r="C633" s="18" t="s">
        <v>72</v>
      </c>
      <c r="D633" s="10"/>
      <c r="F633" s="6">
        <f t="array" ref="F633">SUMIF('補足'!$A$52:$A$96, XLOOKUP($C633, 'マスタ'!$D$2:$D$318, 'マスタ'!$D$2:$D$318, $C633), '補足'!$G$52:$G$96)</f>
        <v>0</v>
      </c>
    </row>
    <row r="634" ht="15.75" hidden="1" customHeight="1" outlineLevel="1">
      <c r="A634" s="10"/>
      <c r="B634" s="10"/>
      <c r="C634" s="18" t="s">
        <v>73</v>
      </c>
      <c r="D634" s="10"/>
      <c r="F634" s="6">
        <f t="array" ref="F634">SUMIF('補足'!$A$52:$A$96, XLOOKUP($C634, 'マスタ'!$D$2:$D$318, 'マスタ'!$D$2:$D$318, $C634), '補足'!$G$52:$G$96)</f>
        <v>0</v>
      </c>
    </row>
    <row r="635" ht="15.75" hidden="1" customHeight="1" outlineLevel="1">
      <c r="A635" s="10"/>
      <c r="B635" s="10"/>
      <c r="C635" s="18" t="s">
        <v>74</v>
      </c>
      <c r="D635" s="10"/>
      <c r="F635" s="6">
        <f t="array" ref="F635">SUMIF('補足'!$A$52:$A$96, XLOOKUP($C635, 'マスタ'!$D$2:$D$318, 'マスタ'!$D$2:$D$318, $C635), '補足'!$G$52:$G$96)</f>
        <v>0</v>
      </c>
    </row>
    <row r="636" ht="15.75" hidden="1" customHeight="1" outlineLevel="1">
      <c r="A636" s="10"/>
      <c r="B636" s="10"/>
      <c r="C636" s="18" t="s">
        <v>75</v>
      </c>
      <c r="D636" s="10"/>
      <c r="F636" s="6">
        <f t="array" ref="F636">SUMIF('補足'!$A$52:$A$96, XLOOKUP($C636, 'マスタ'!$D$2:$D$318, 'マスタ'!$D$2:$D$318, $C636), '補足'!$G$52:$G$96)</f>
        <v>0</v>
      </c>
    </row>
    <row r="637" ht="15.75" hidden="1" customHeight="1" outlineLevel="1">
      <c r="A637" s="10"/>
      <c r="B637" s="10"/>
      <c r="C637" s="18" t="s">
        <v>76</v>
      </c>
      <c r="D637" s="10"/>
      <c r="F637" s="6">
        <f t="array" ref="F637">SUMIF('補足'!$A$52:$A$96, XLOOKUP($C637, 'マスタ'!$D$2:$D$318, 'マスタ'!$D$2:$D$318, $C637), '補足'!$G$52:$G$96)</f>
        <v>0</v>
      </c>
    </row>
    <row r="638" ht="15.75" hidden="1" customHeight="1" outlineLevel="1">
      <c r="A638" s="10"/>
      <c r="B638" s="10"/>
      <c r="C638" s="18" t="s">
        <v>77</v>
      </c>
      <c r="D638" s="10"/>
      <c r="F638" s="6">
        <f t="array" ref="F638">SUMIF('補足'!$A$52:$A$96, XLOOKUP($C638, 'マスタ'!$D$2:$D$318, 'マスタ'!$D$2:$D$318, $C638), '補足'!$G$52:$G$96)</f>
        <v>0</v>
      </c>
    </row>
    <row r="639" ht="15.75" hidden="1" customHeight="1" outlineLevel="1">
      <c r="A639" s="10"/>
      <c r="B639" s="10"/>
      <c r="C639" s="18" t="s">
        <v>78</v>
      </c>
      <c r="D639" s="10"/>
      <c r="F639" s="6">
        <f t="array" ref="F639">SUMIF('補足'!$A$52:$A$96, XLOOKUP($C639, 'マスタ'!$D$2:$D$318, 'マスタ'!$D$2:$D$318, $C639), '補足'!$G$52:$G$96)</f>
        <v>0</v>
      </c>
    </row>
    <row r="640" ht="15.75" hidden="1" customHeight="1" outlineLevel="1">
      <c r="A640" s="10"/>
      <c r="B640" s="10"/>
      <c r="C640" s="18" t="s">
        <v>79</v>
      </c>
      <c r="D640" s="10"/>
      <c r="F640" s="6">
        <f t="array" ref="F640">SUMIF('補足'!$A$52:$A$96, XLOOKUP($C640, 'マスタ'!$D$2:$D$318, 'マスタ'!$D$2:$D$318, $C640), '補足'!$G$52:$G$96)</f>
        <v>0</v>
      </c>
    </row>
    <row r="641" ht="15.75" hidden="1" customHeight="1" outlineLevel="1">
      <c r="A641" s="10"/>
      <c r="B641" s="10"/>
      <c r="C641" s="18" t="s">
        <v>80</v>
      </c>
      <c r="D641" s="10"/>
      <c r="F641" s="6">
        <f t="array" ref="F641">SUMIF('補足'!$A$52:$A$96, XLOOKUP($C641, 'マスタ'!$D$2:$D$318, 'マスタ'!$D$2:$D$318, $C641), '補足'!$G$52:$G$96)</f>
        <v>0</v>
      </c>
    </row>
    <row r="642" ht="15.75" hidden="1" customHeight="1" outlineLevel="1">
      <c r="A642" s="10"/>
      <c r="B642" s="10"/>
      <c r="C642" s="18" t="s">
        <v>81</v>
      </c>
      <c r="D642" s="10"/>
      <c r="F642" s="6">
        <f t="array" ref="F642">SUMIF('補足'!$A$52:$A$96, XLOOKUP($C642, 'マスタ'!$D$2:$D$318, 'マスタ'!$D$2:$D$318, $C642), '補足'!$G$52:$G$96)</f>
        <v>0</v>
      </c>
    </row>
    <row r="643" ht="15.75" hidden="1" customHeight="1" outlineLevel="1">
      <c r="A643" s="10"/>
      <c r="B643" s="10"/>
      <c r="C643" s="18" t="s">
        <v>82</v>
      </c>
      <c r="D643" s="10"/>
      <c r="F643" s="6">
        <f t="array" ref="F643">SUMIF('補足'!$A$52:$A$96, XLOOKUP($C643, 'マスタ'!$D$2:$D$318, 'マスタ'!$D$2:$D$318, $C643), '補足'!$G$52:$G$96)</f>
        <v>0</v>
      </c>
    </row>
    <row r="644" ht="15.75" hidden="1" customHeight="1" outlineLevel="1">
      <c r="A644" s="10"/>
      <c r="B644" s="10"/>
      <c r="C644" s="18" t="s">
        <v>83</v>
      </c>
      <c r="D644" s="10"/>
      <c r="F644" s="6">
        <f t="array" ref="F644">SUMIF('補足'!$A$52:$A$96, XLOOKUP($C644, 'マスタ'!$D$2:$D$318, 'マスタ'!$D$2:$D$318, $C644), '補足'!$G$52:$G$96)</f>
        <v>0</v>
      </c>
    </row>
    <row r="645" ht="15.75" customHeight="1" collapsed="1">
      <c r="A645" s="10"/>
      <c r="B645" s="10"/>
      <c r="C645" s="18" t="s">
        <v>84</v>
      </c>
      <c r="D645" s="10"/>
      <c r="F645" s="6">
        <f t="array" ref="F645">SUMIF('補足'!$A$52:$A$96, XLOOKUP($C645, 'マスタ'!$D$2:$D$318, 'マスタ'!$D$2:$D$318, $C645), '補足'!$G$52:$G$96)</f>
        <v>2143</v>
      </c>
    </row>
    <row r="646" ht="15.75" hidden="1" customHeight="1" outlineLevel="1">
      <c r="A646" s="10"/>
      <c r="B646" s="10"/>
      <c r="C646" s="18" t="s">
        <v>85</v>
      </c>
      <c r="D646" s="10"/>
      <c r="F646" s="6">
        <f t="array" ref="F646">SUMIF('補足'!$A$52:$A$96, XLOOKUP($C646, 'マスタ'!$D$2:$D$318, 'マスタ'!$D$2:$D$318, $C646), '補足'!$G$52:$G$96)</f>
        <v>0</v>
      </c>
    </row>
    <row r="647" ht="15.75" hidden="1" customHeight="1" outlineLevel="1">
      <c r="A647" s="10"/>
      <c r="B647" s="10"/>
      <c r="C647" s="18" t="s">
        <v>86</v>
      </c>
      <c r="D647" s="10"/>
      <c r="F647" s="6">
        <f t="array" ref="F647">SUMIF('補足'!$A$52:$A$96, XLOOKUP($C647, 'マスタ'!$D$2:$D$318, 'マスタ'!$D$2:$D$318, $C647), '補足'!$G$52:$G$96)</f>
        <v>0</v>
      </c>
    </row>
    <row r="648" ht="15.75" hidden="1" customHeight="1" outlineLevel="1">
      <c r="A648" s="10"/>
      <c r="B648" s="10"/>
      <c r="C648" s="18" t="s">
        <v>87</v>
      </c>
      <c r="D648" s="10"/>
      <c r="F648" s="6">
        <f t="array" ref="F648">SUMIF('補足'!$A$52:$A$96, XLOOKUP($C648, 'マスタ'!$D$2:$D$318, 'マスタ'!$D$2:$D$318, $C648), '補足'!$G$52:$G$96)</f>
        <v>0</v>
      </c>
    </row>
    <row r="649" ht="15.75" hidden="1" customHeight="1" outlineLevel="1">
      <c r="A649" s="10"/>
      <c r="B649" s="10"/>
      <c r="C649" s="18" t="s">
        <v>88</v>
      </c>
      <c r="D649" s="10"/>
      <c r="F649" s="6">
        <f t="array" ref="F649">SUMIF('補足'!$A$52:$A$96, XLOOKUP($C649, 'マスタ'!$D$2:$D$318, 'マスタ'!$D$2:$D$318, $C649), '補足'!$G$52:$G$96)</f>
        <v>0</v>
      </c>
    </row>
    <row r="650" ht="15.75" hidden="1" customHeight="1" outlineLevel="1">
      <c r="A650" s="10"/>
      <c r="B650" s="10"/>
      <c r="C650" s="18" t="s">
        <v>89</v>
      </c>
      <c r="D650" s="10"/>
      <c r="F650" s="6">
        <f t="array" ref="F650">SUMIF('補足'!$A$52:$A$96, XLOOKUP($C650, 'マスタ'!$D$2:$D$318, 'マスタ'!$D$2:$D$318, $C650), '補足'!$G$52:$G$96)</f>
        <v>0</v>
      </c>
    </row>
    <row r="651" ht="15.75" hidden="1" customHeight="1" outlineLevel="1">
      <c r="A651" s="10"/>
      <c r="B651" s="10"/>
      <c r="C651" s="18" t="s">
        <v>90</v>
      </c>
      <c r="D651" s="10"/>
      <c r="F651" s="6">
        <f t="array" ref="F651">SUMIF('補足'!$A$52:$A$96, XLOOKUP($C651, 'マスタ'!$D$2:$D$318, 'マスタ'!$D$2:$D$318, $C651), '補足'!$G$52:$G$96)</f>
        <v>0</v>
      </c>
    </row>
    <row r="652" ht="15.75" hidden="1" customHeight="1" outlineLevel="1">
      <c r="A652" s="10"/>
      <c r="B652" s="10"/>
      <c r="C652" s="18" t="s">
        <v>91</v>
      </c>
      <c r="D652" s="10"/>
      <c r="F652" s="6">
        <f t="array" ref="F652">SUMIF('補足'!$A$52:$A$96, XLOOKUP($C652, 'マスタ'!$D$2:$D$318, 'マスタ'!$D$2:$D$318, $C652), '補足'!$G$52:$G$96)</f>
        <v>0</v>
      </c>
    </row>
    <row r="653" ht="15.75" customHeight="1" collapsed="1">
      <c r="A653" s="10"/>
      <c r="B653" s="10"/>
      <c r="C653" s="18" t="s">
        <v>92</v>
      </c>
      <c r="D653" s="10"/>
      <c r="F653" s="6">
        <f t="array" ref="F653">SUMIF('補足'!$A$52:$A$96, XLOOKUP($C653, 'マスタ'!$D$2:$D$318, 'マスタ'!$D$2:$D$318, $C653), '補足'!$G$52:$G$96)</f>
        <v>396</v>
      </c>
    </row>
    <row r="654" ht="15.75" hidden="1" customHeight="1" outlineLevel="1">
      <c r="A654" s="10"/>
      <c r="B654" s="10"/>
      <c r="C654" s="18" t="s">
        <v>93</v>
      </c>
      <c r="D654" s="10"/>
      <c r="F654" s="6">
        <f t="array" ref="F654">SUMIF('補足'!$A$52:$A$96, XLOOKUP($C654, 'マスタ'!$D$2:$D$318, 'マスタ'!$D$2:$D$318, $C654), '補足'!$G$52:$G$96)</f>
        <v>0</v>
      </c>
    </row>
    <row r="655" ht="15.75" hidden="1" customHeight="1" outlineLevel="1">
      <c r="A655" s="10"/>
      <c r="B655" s="10"/>
      <c r="C655" s="18" t="s">
        <v>94</v>
      </c>
      <c r="D655" s="10"/>
      <c r="F655" s="6">
        <f t="array" ref="F655">SUMIF('補足'!$A$52:$A$96, XLOOKUP($C655, 'マスタ'!$D$2:$D$318, 'マスタ'!$D$2:$D$318, $C655), '補足'!$G$52:$G$96)</f>
        <v>0</v>
      </c>
    </row>
    <row r="656" ht="15.75" hidden="1" customHeight="1" outlineLevel="1">
      <c r="A656" s="10"/>
      <c r="B656" s="10"/>
      <c r="C656" s="18" t="s">
        <v>95</v>
      </c>
      <c r="D656" s="10"/>
      <c r="F656" s="6">
        <f t="array" ref="F656">SUMIF('補足'!$A$52:$A$96, XLOOKUP($C656, 'マスタ'!$D$2:$D$318, 'マスタ'!$D$2:$D$318, $C656), '補足'!$G$52:$G$96)</f>
        <v>0</v>
      </c>
    </row>
    <row r="657" ht="15.75" hidden="1" customHeight="1" outlineLevel="1">
      <c r="A657" s="10"/>
      <c r="B657" s="10"/>
      <c r="C657" s="18" t="s">
        <v>96</v>
      </c>
      <c r="D657" s="10"/>
      <c r="F657" s="6">
        <f t="array" ref="F657">SUMIF('補足'!$A$52:$A$96, XLOOKUP($C657, 'マスタ'!$D$2:$D$318, 'マスタ'!$D$2:$D$318, $C657), '補足'!$G$52:$G$96)</f>
        <v>0</v>
      </c>
    </row>
    <row r="658" ht="15.75" hidden="1" customHeight="1" outlineLevel="1">
      <c r="A658" s="10"/>
      <c r="B658" s="10"/>
      <c r="C658" s="18" t="s">
        <v>97</v>
      </c>
      <c r="D658" s="10"/>
      <c r="F658" s="6">
        <f t="array" ref="F658">SUMIF('補足'!$A$52:$A$96, XLOOKUP($C658, 'マスタ'!$D$2:$D$318, 'マスタ'!$D$2:$D$318, $C658), '補足'!$G$52:$G$96)</f>
        <v>0</v>
      </c>
    </row>
    <row r="659" ht="15.75" hidden="1" customHeight="1" outlineLevel="1">
      <c r="A659" s="10"/>
      <c r="B659" s="10"/>
      <c r="C659" s="18" t="s">
        <v>98</v>
      </c>
      <c r="D659" s="10"/>
      <c r="F659" s="6">
        <f t="array" ref="F659">SUMIF('補足'!$A$52:$A$96, XLOOKUP($C659, 'マスタ'!$D$2:$D$318, 'マスタ'!$D$2:$D$318, $C659), '補足'!$G$52:$G$96)</f>
        <v>0</v>
      </c>
    </row>
    <row r="660" ht="15.75" hidden="1" customHeight="1" outlineLevel="1">
      <c r="A660" s="10"/>
      <c r="B660" s="10"/>
      <c r="C660" s="18" t="s">
        <v>99</v>
      </c>
      <c r="D660" s="10"/>
      <c r="F660" s="6">
        <f t="array" ref="F660">SUMIF('補足'!$A$52:$A$96, XLOOKUP($C660, 'マスタ'!$D$2:$D$318, 'マスタ'!$D$2:$D$318, $C660), '補足'!$G$52:$G$96)</f>
        <v>0</v>
      </c>
    </row>
    <row r="661" ht="15.75" hidden="1" customHeight="1" outlineLevel="1">
      <c r="A661" s="10"/>
      <c r="B661" s="10"/>
      <c r="C661" s="18" t="s">
        <v>100</v>
      </c>
      <c r="D661" s="10"/>
      <c r="F661" s="6">
        <f t="array" ref="F661">SUMIF('補足'!$A$52:$A$96, XLOOKUP($C661, 'マスタ'!$D$2:$D$318, 'マスタ'!$D$2:$D$318, $C661), '補足'!$G$52:$G$96)</f>
        <v>0</v>
      </c>
    </row>
    <row r="662" ht="15.75" hidden="1" customHeight="1" outlineLevel="1">
      <c r="A662" s="10"/>
      <c r="B662" s="10"/>
      <c r="C662" s="18" t="s">
        <v>101</v>
      </c>
      <c r="D662" s="10"/>
      <c r="F662" s="6">
        <f t="array" ref="F662">SUMIF('補足'!$A$52:$A$96, XLOOKUP($C662, 'マスタ'!$D$2:$D$318, 'マスタ'!$D$2:$D$318, $C662), '補足'!$G$52:$G$96)</f>
        <v>0</v>
      </c>
    </row>
    <row r="663" ht="15.75" customHeight="1">
      <c r="A663" s="18"/>
      <c r="B663" s="18" t="s">
        <v>102</v>
      </c>
      <c r="C663" s="10"/>
      <c r="D663" s="10"/>
      <c r="F663" s="6">
        <f>SUM(F633:F662)</f>
        <v>2539</v>
      </c>
    </row>
    <row r="664" ht="15.75" customHeight="1">
      <c r="A664" s="18"/>
      <c r="B664" s="18" t="s">
        <v>31</v>
      </c>
      <c r="C664" s="10"/>
      <c r="D664" s="10"/>
      <c r="F664" s="6">
        <f>F631-F663</f>
        <v>-2539</v>
      </c>
    </row>
    <row r="665" ht="15.75" customHeight="1">
      <c r="A665" s="18"/>
      <c r="B665" s="18"/>
      <c r="C665" s="10"/>
      <c r="D665" s="10"/>
      <c r="F665" s="6"/>
    </row>
    <row r="666" ht="15.75" customHeight="1">
      <c r="A666" s="4"/>
      <c r="B666" s="4" t="s">
        <v>50</v>
      </c>
      <c r="C666" s="10"/>
      <c r="D666" s="4" t="s">
        <v>27</v>
      </c>
      <c r="F666" s="6"/>
    </row>
    <row r="667" ht="15.75" customHeight="1">
      <c r="A667" s="10"/>
      <c r="B667" s="10"/>
      <c r="C667" s="4" t="s">
        <v>127</v>
      </c>
      <c r="D667" s="10"/>
      <c r="F667" s="6"/>
    </row>
    <row r="668" ht="15.75" customHeight="1">
      <c r="A668" s="18"/>
      <c r="B668" s="18" t="s">
        <v>1</v>
      </c>
      <c r="C668" s="10"/>
      <c r="D668" s="10"/>
      <c r="F668" s="6">
        <v>-263457.0</v>
      </c>
    </row>
    <row r="669" ht="15.75" customHeight="1">
      <c r="A669" s="18"/>
      <c r="B669" s="18" t="s">
        <v>67</v>
      </c>
      <c r="C669" s="10"/>
      <c r="D669" s="10"/>
      <c r="F669" s="6">
        <v>-263457.0</v>
      </c>
    </row>
    <row r="670" ht="15.75" customHeight="1">
      <c r="A670" s="18"/>
      <c r="B670" s="18" t="s">
        <v>28</v>
      </c>
      <c r="C670" s="10"/>
      <c r="D670" s="10"/>
      <c r="F670" s="6">
        <f t="array" ref="F670">SUMIF('補足'!$A$100:$A$144, XLOOKUP($B670, 'マスタ'!$D$2:$D$318, 'マスタ'!$D$2:$D$318, $B670), '補足'!$G$100:$G$144)</f>
        <v>0</v>
      </c>
    </row>
    <row r="671" ht="15.75" customHeight="1">
      <c r="A671" s="10"/>
      <c r="B671" s="10"/>
      <c r="C671" s="18" t="s">
        <v>68</v>
      </c>
      <c r="D671" s="10"/>
      <c r="F671" s="6">
        <f t="array" ref="F671">SUMIF('補足'!$A$100:$A$144, XLOOKUP($C671, 'マスタ'!$D$2:$D$318, 'マスタ'!$D$2:$D$318, $C671), '補足'!$G$100:$G$144)</f>
        <v>0</v>
      </c>
    </row>
    <row r="672" ht="15.75" customHeight="1">
      <c r="A672" s="10"/>
      <c r="B672" s="10"/>
      <c r="C672" s="18" t="s">
        <v>69</v>
      </c>
      <c r="D672" s="10"/>
      <c r="F672" s="6">
        <f t="array" ref="F672">SUMIF('補足'!$A$100:$A$144, XLOOKUP($C672, 'マスタ'!$D$2:$D$318, 'マスタ'!$D$2:$D$318, $C672), '補足'!$G$100:$G$144)</f>
        <v>0</v>
      </c>
    </row>
    <row r="673" ht="15.75" customHeight="1">
      <c r="A673" s="10"/>
      <c r="B673" s="10"/>
      <c r="C673" s="27" t="s">
        <v>70</v>
      </c>
      <c r="D673" s="10"/>
      <c r="F673" s="6">
        <f t="array" ref="F673">SUMIF('補足'!$A$100:$A$144, XLOOKUP($C673, 'マスタ'!$D$2:$D$318, 'マスタ'!$D$2:$D$318, $C673), '補足'!$G$100:$G$144)</f>
        <v>0</v>
      </c>
    </row>
    <row r="674" ht="15.75" customHeight="1">
      <c r="A674" s="10"/>
      <c r="B674" s="10"/>
      <c r="C674" s="18" t="s">
        <v>71</v>
      </c>
      <c r="D674" s="10"/>
      <c r="F674" s="6">
        <f t="array" ref="F674">SUMIF('補足'!$A$100:$A$144, XLOOKUP($C674, 'マスタ'!$D$2:$D$318, 'マスタ'!$D$2:$D$318, $C674), '補足'!$G$100:$G$144)</f>
        <v>1171105</v>
      </c>
    </row>
    <row r="675" ht="15.75" customHeight="1">
      <c r="A675" s="18"/>
      <c r="B675" s="18" t="s">
        <v>28</v>
      </c>
      <c r="C675" s="10"/>
      <c r="D675" s="10"/>
      <c r="F675" s="6">
        <f>F671+F672-F674</f>
        <v>-1171105</v>
      </c>
    </row>
    <row r="676" ht="15.75" customHeight="1">
      <c r="A676" s="18"/>
      <c r="B676" s="18" t="s">
        <v>5</v>
      </c>
      <c r="C676" s="10"/>
      <c r="D676" s="10"/>
      <c r="F676" s="6">
        <f>F669-F674</f>
        <v>-1434562</v>
      </c>
    </row>
    <row r="677" ht="15.75" customHeight="1" collapsed="1">
      <c r="A677" s="18"/>
      <c r="B677" s="18" t="s">
        <v>29</v>
      </c>
      <c r="C677" s="10"/>
      <c r="D677" s="10"/>
      <c r="F677" s="6"/>
    </row>
    <row r="678" ht="15.75" hidden="1" customHeight="1" outlineLevel="1">
      <c r="A678" s="10"/>
      <c r="B678" s="10"/>
      <c r="C678" s="18" t="s">
        <v>72</v>
      </c>
      <c r="D678" s="10"/>
      <c r="F678" s="6">
        <f t="array" ref="F678">SUMIF('補足'!$A$100:$A$144, XLOOKUP($C678, 'マスタ'!$D$2:$D$318, 'マスタ'!$D$2:$D$318, $C678), '補足'!$G$100:$G$144)</f>
        <v>0</v>
      </c>
    </row>
    <row r="679" ht="15.75" hidden="1" customHeight="1" outlineLevel="1">
      <c r="A679" s="10"/>
      <c r="B679" s="10"/>
      <c r="C679" s="18" t="s">
        <v>73</v>
      </c>
      <c r="D679" s="10"/>
      <c r="F679" s="6">
        <f t="array" ref="F679">SUMIF('補足'!$A$100:$A$144, XLOOKUP($C679, 'マスタ'!$D$2:$D$318, 'マスタ'!$D$2:$D$318, $C679), '補足'!$G$100:$G$144)</f>
        <v>0</v>
      </c>
    </row>
    <row r="680" ht="15.75" hidden="1" customHeight="1" outlineLevel="1">
      <c r="A680" s="10"/>
      <c r="B680" s="10"/>
      <c r="C680" s="18" t="s">
        <v>74</v>
      </c>
      <c r="D680" s="10"/>
      <c r="F680" s="6">
        <f t="array" ref="F680">SUMIF('補足'!$A$100:$A$144, XLOOKUP($C680, 'マスタ'!$D$2:$D$318, 'マスタ'!$D$2:$D$318, $C680), '補足'!$G$100:$G$144)</f>
        <v>0</v>
      </c>
    </row>
    <row r="681" ht="15.75" hidden="1" customHeight="1" outlineLevel="1">
      <c r="A681" s="10"/>
      <c r="B681" s="10"/>
      <c r="C681" s="18" t="s">
        <v>75</v>
      </c>
      <c r="D681" s="10"/>
      <c r="F681" s="6">
        <f t="array" ref="F681">SUMIF('補足'!$A$100:$A$144, XLOOKUP($C681, 'マスタ'!$D$2:$D$318, 'マスタ'!$D$2:$D$318, $C681), '補足'!$G$100:$G$144)</f>
        <v>0</v>
      </c>
    </row>
    <row r="682" ht="15.75" hidden="1" customHeight="1" outlineLevel="1">
      <c r="A682" s="10"/>
      <c r="B682" s="10"/>
      <c r="C682" s="18" t="s">
        <v>76</v>
      </c>
      <c r="D682" s="10"/>
      <c r="F682" s="6">
        <f t="array" ref="F682">SUMIF('補足'!$A$100:$A$144, XLOOKUP($C682, 'マスタ'!$D$2:$D$318, 'マスタ'!$D$2:$D$318, $C682), '補足'!$G$100:$G$144)</f>
        <v>0</v>
      </c>
    </row>
    <row r="683" ht="15.75" hidden="1" customHeight="1" outlineLevel="1">
      <c r="A683" s="10"/>
      <c r="B683" s="10"/>
      <c r="C683" s="18" t="s">
        <v>77</v>
      </c>
      <c r="D683" s="10"/>
      <c r="F683" s="6">
        <f t="array" ref="F683">SUMIF('補足'!$A$100:$A$144, XLOOKUP($C683, 'マスタ'!$D$2:$D$318, 'マスタ'!$D$2:$D$318, $C683), '補足'!$G$100:$G$144)</f>
        <v>0</v>
      </c>
    </row>
    <row r="684" ht="15.75" customHeight="1">
      <c r="A684" s="10"/>
      <c r="B684" s="10"/>
      <c r="C684" s="18" t="s">
        <v>78</v>
      </c>
      <c r="D684" s="10"/>
      <c r="F684" s="6">
        <f t="array" ref="F684">SUMIF('補足'!$A$100:$A$144, XLOOKUP($C684, 'マスタ'!$D$2:$D$318, 'マスタ'!$D$2:$D$318, $C684), '補足'!$G$100:$G$144)</f>
        <v>269139</v>
      </c>
    </row>
    <row r="685" ht="15.75" customHeight="1" collapsed="1">
      <c r="A685" s="10"/>
      <c r="B685" s="10"/>
      <c r="C685" s="18" t="s">
        <v>79</v>
      </c>
      <c r="D685" s="10"/>
      <c r="F685" s="6">
        <f t="array" ref="F685">SUMIF('補足'!$A$100:$A$144, XLOOKUP($C685, 'マスタ'!$D$2:$D$318, 'マスタ'!$D$2:$D$318, $C685), '補足'!$G$100:$G$144)</f>
        <v>323000</v>
      </c>
    </row>
    <row r="686" ht="15.75" hidden="1" customHeight="1" outlineLevel="1">
      <c r="A686" s="10"/>
      <c r="B686" s="10"/>
      <c r="C686" s="18" t="s">
        <v>80</v>
      </c>
      <c r="D686" s="10"/>
      <c r="F686" s="6">
        <f t="array" ref="F686">SUMIF('補足'!$A$100:$A$144, XLOOKUP($C686, 'マスタ'!$D$2:$D$318, 'マスタ'!$D$2:$D$318, $C686), '補足'!$G$100:$G$144)</f>
        <v>0</v>
      </c>
    </row>
    <row r="687" ht="15.75" hidden="1" customHeight="1" outlineLevel="1">
      <c r="A687" s="10"/>
      <c r="B687" s="10"/>
      <c r="C687" s="18" t="s">
        <v>81</v>
      </c>
      <c r="D687" s="10"/>
      <c r="F687" s="6">
        <f t="array" ref="F687">SUMIF('補足'!$A$100:$A$144, XLOOKUP($C687, 'マスタ'!$D$2:$D$318, 'マスタ'!$D$2:$D$318, $C687), '補足'!$G$100:$G$144)</f>
        <v>0</v>
      </c>
    </row>
    <row r="688" ht="15.75" hidden="1" customHeight="1" outlineLevel="1">
      <c r="A688" s="10"/>
      <c r="B688" s="10"/>
      <c r="C688" s="18" t="s">
        <v>82</v>
      </c>
      <c r="D688" s="10"/>
      <c r="F688" s="6">
        <f t="array" ref="F688">SUMIF('補足'!$A$100:$A$144, XLOOKUP($C688, 'マスタ'!$D$2:$D$318, 'マスタ'!$D$2:$D$318, $C688), '補足'!$G$100:$G$144)</f>
        <v>0</v>
      </c>
    </row>
    <row r="689" ht="15.75" hidden="1" customHeight="1" outlineLevel="1">
      <c r="A689" s="10"/>
      <c r="B689" s="10"/>
      <c r="C689" s="18" t="s">
        <v>83</v>
      </c>
      <c r="D689" s="10"/>
      <c r="F689" s="6">
        <f t="array" ref="F689">SUMIF('補足'!$A$100:$A$144, XLOOKUP($C689, 'マスタ'!$D$2:$D$318, 'マスタ'!$D$2:$D$318, $C689), '補足'!$G$100:$G$144)</f>
        <v>0</v>
      </c>
    </row>
    <row r="690" ht="15.75" hidden="1" customHeight="1" outlineLevel="1">
      <c r="A690" s="10"/>
      <c r="B690" s="10"/>
      <c r="C690" s="18" t="s">
        <v>84</v>
      </c>
      <c r="D690" s="10"/>
      <c r="F690" s="6">
        <f t="array" ref="F690">SUMIF('補足'!$A$100:$A$144, XLOOKUP($C690, 'マスタ'!$D$2:$D$318, 'マスタ'!$D$2:$D$318, $C690), '補足'!$G$100:$G$144)</f>
        <v>0</v>
      </c>
    </row>
    <row r="691" ht="15.75" hidden="1" customHeight="1" outlineLevel="1">
      <c r="A691" s="10"/>
      <c r="B691" s="10"/>
      <c r="C691" s="18" t="s">
        <v>85</v>
      </c>
      <c r="D691" s="10"/>
      <c r="F691" s="6">
        <f t="array" ref="F691">SUMIF('補足'!$A$100:$A$144, XLOOKUP($C691, 'マスタ'!$D$2:$D$318, 'マスタ'!$D$2:$D$318, $C691), '補足'!$G$100:$G$144)</f>
        <v>0</v>
      </c>
    </row>
    <row r="692" ht="15.75" customHeight="1" collapsed="1">
      <c r="A692" s="10"/>
      <c r="B692" s="10"/>
      <c r="C692" s="18" t="s">
        <v>86</v>
      </c>
      <c r="D692" s="10"/>
      <c r="F692" s="6">
        <f t="array" ref="F692">SUMIF('補足'!$A$100:$A$144, XLOOKUP($C692, 'マスタ'!$D$2:$D$318, 'マスタ'!$D$2:$D$318, $C692), '補足'!$G$100:$G$144)</f>
        <v>200</v>
      </c>
    </row>
    <row r="693" ht="15.75" hidden="1" customHeight="1" outlineLevel="1">
      <c r="A693" s="10"/>
      <c r="B693" s="10"/>
      <c r="C693" s="18" t="s">
        <v>87</v>
      </c>
      <c r="D693" s="10"/>
      <c r="F693" s="6">
        <f t="array" ref="F693">SUMIF('補足'!$A$100:$A$144, XLOOKUP($C693, 'マスタ'!$D$2:$D$318, 'マスタ'!$D$2:$D$318, $C693), '補足'!$G$100:$G$144)</f>
        <v>0</v>
      </c>
    </row>
    <row r="694" ht="15.75" hidden="1" customHeight="1" outlineLevel="1">
      <c r="A694" s="10"/>
      <c r="B694" s="10"/>
      <c r="C694" s="18" t="s">
        <v>88</v>
      </c>
      <c r="D694" s="10"/>
      <c r="F694" s="6">
        <f t="array" ref="F694">SUMIF('補足'!$A$100:$A$144, XLOOKUP($C694, 'マスタ'!$D$2:$D$318, 'マスタ'!$D$2:$D$318, $C694), '補足'!$G$100:$G$144)</f>
        <v>0</v>
      </c>
    </row>
    <row r="695" ht="15.75" hidden="1" customHeight="1" outlineLevel="1">
      <c r="A695" s="10"/>
      <c r="B695" s="10"/>
      <c r="C695" s="18" t="s">
        <v>89</v>
      </c>
      <c r="D695" s="10"/>
      <c r="F695" s="6">
        <f t="array" ref="F695">SUMIF('補足'!$A$100:$A$144, XLOOKUP($C695, 'マスタ'!$D$2:$D$318, 'マスタ'!$D$2:$D$318, $C695), '補足'!$G$100:$G$144)</f>
        <v>0</v>
      </c>
    </row>
    <row r="696" ht="15.75" hidden="1" customHeight="1" outlineLevel="1">
      <c r="A696" s="10"/>
      <c r="B696" s="10"/>
      <c r="C696" s="18" t="s">
        <v>90</v>
      </c>
      <c r="D696" s="10"/>
      <c r="F696" s="6">
        <f t="array" ref="F696">SUMIF('補足'!$A$100:$A$144, XLOOKUP($C696, 'マスタ'!$D$2:$D$318, 'マスタ'!$D$2:$D$318, $C696), '補足'!$G$100:$G$144)</f>
        <v>0</v>
      </c>
    </row>
    <row r="697" ht="15.75" hidden="1" customHeight="1" outlineLevel="1">
      <c r="A697" s="10"/>
      <c r="B697" s="10"/>
      <c r="C697" s="18" t="s">
        <v>91</v>
      </c>
      <c r="D697" s="10"/>
      <c r="F697" s="6">
        <f t="array" ref="F697">SUMIF('補足'!$A$100:$A$144, XLOOKUP($C697, 'マスタ'!$D$2:$D$318, 'マスタ'!$D$2:$D$318, $C697), '補足'!$G$100:$G$144)</f>
        <v>0</v>
      </c>
    </row>
    <row r="698" ht="15.75" customHeight="1" collapsed="1">
      <c r="A698" s="10"/>
      <c r="B698" s="10"/>
      <c r="C698" s="18" t="s">
        <v>92</v>
      </c>
      <c r="D698" s="10"/>
      <c r="F698" s="6">
        <f t="array" ref="F698">SUMIF('補足'!$A$100:$A$144, XLOOKUP($C698, 'マスタ'!$D$2:$D$318, 'マスタ'!$D$2:$D$318, $C698), '補足'!$G$100:$G$144)</f>
        <v>1540</v>
      </c>
    </row>
    <row r="699" ht="15.75" hidden="1" customHeight="1" outlineLevel="1">
      <c r="A699" s="10"/>
      <c r="B699" s="10"/>
      <c r="C699" s="18" t="s">
        <v>93</v>
      </c>
      <c r="D699" s="10"/>
      <c r="F699" s="6">
        <f t="array" ref="F699">SUMIF('補足'!$A$100:$A$144, XLOOKUP($C699, 'マスタ'!$D$2:$D$318, 'マスタ'!$D$2:$D$318, $C699), '補足'!$G$100:$G$144)</f>
        <v>0</v>
      </c>
    </row>
    <row r="700" ht="15.75" hidden="1" customHeight="1" outlineLevel="1">
      <c r="A700" s="10"/>
      <c r="B700" s="10"/>
      <c r="C700" s="18" t="s">
        <v>94</v>
      </c>
      <c r="D700" s="10"/>
      <c r="F700" s="6">
        <f t="array" ref="F700">SUMIF('補足'!$A$100:$A$144, XLOOKUP($C700, 'マスタ'!$D$2:$D$318, 'マスタ'!$D$2:$D$318, $C700), '補足'!$G$100:$G$144)</f>
        <v>0</v>
      </c>
    </row>
    <row r="701" ht="15.75" hidden="1" customHeight="1" outlineLevel="1">
      <c r="A701" s="10"/>
      <c r="B701" s="10"/>
      <c r="C701" s="18" t="s">
        <v>95</v>
      </c>
      <c r="D701" s="10"/>
      <c r="F701" s="6">
        <f t="array" ref="F701">SUMIF('補足'!$A$100:$A$144, XLOOKUP($C701, 'マスタ'!$D$2:$D$318, 'マスタ'!$D$2:$D$318, $C701), '補足'!$G$100:$G$144)</f>
        <v>0</v>
      </c>
    </row>
    <row r="702" ht="15.75" hidden="1" customHeight="1" outlineLevel="1">
      <c r="A702" s="10"/>
      <c r="B702" s="10"/>
      <c r="C702" s="18" t="s">
        <v>96</v>
      </c>
      <c r="D702" s="10"/>
      <c r="F702" s="6">
        <f t="array" ref="F702">SUMIF('補足'!$A$100:$A$144, XLOOKUP($C702, 'マスタ'!$D$2:$D$318, 'マスタ'!$D$2:$D$318, $C702), '補足'!$G$100:$G$144)</f>
        <v>0</v>
      </c>
    </row>
    <row r="703" ht="15.75" hidden="1" customHeight="1" outlineLevel="1">
      <c r="A703" s="10"/>
      <c r="B703" s="10"/>
      <c r="C703" s="18" t="s">
        <v>97</v>
      </c>
      <c r="D703" s="10"/>
      <c r="F703" s="6">
        <f t="array" ref="F703">SUMIF('補足'!$A$100:$A$144, XLOOKUP($C703, 'マスタ'!$D$2:$D$318, 'マスタ'!$D$2:$D$318, $C703), '補足'!$G$100:$G$144)</f>
        <v>0</v>
      </c>
    </row>
    <row r="704" ht="15.75" hidden="1" customHeight="1" outlineLevel="1">
      <c r="A704" s="10"/>
      <c r="B704" s="10"/>
      <c r="C704" s="18" t="s">
        <v>98</v>
      </c>
      <c r="D704" s="10"/>
      <c r="F704" s="6">
        <f t="array" ref="F704">SUMIF('補足'!$A$100:$A$144, XLOOKUP($C704, 'マスタ'!$D$2:$D$318, 'マスタ'!$D$2:$D$318, $C704), '補足'!$G$100:$G$144)</f>
        <v>0</v>
      </c>
    </row>
    <row r="705" ht="15.75" customHeight="1" collapsed="1">
      <c r="A705" s="10"/>
      <c r="B705" s="10"/>
      <c r="C705" s="18" t="s">
        <v>99</v>
      </c>
      <c r="D705" s="10"/>
      <c r="F705" s="6">
        <f t="array" ref="F705">SUMIF('補足'!$A$100:$A$144, XLOOKUP($C705, 'マスタ'!$D$2:$D$318, 'マスタ'!$D$2:$D$318, $C705), '補足'!$G$100:$G$144)</f>
        <v>3977216</v>
      </c>
    </row>
    <row r="706" ht="15.75" hidden="1" customHeight="1" outlineLevel="1">
      <c r="A706" s="10"/>
      <c r="B706" s="10"/>
      <c r="C706" s="18" t="s">
        <v>100</v>
      </c>
      <c r="D706" s="10"/>
      <c r="F706" s="6">
        <f t="array" ref="F706">SUMIF('補足'!$A$100:$A$144, XLOOKUP($C706, 'マスタ'!$D$2:$D$318, 'マスタ'!$D$2:$D$318, $C706), '補足'!$G$100:$G$144)</f>
        <v>0</v>
      </c>
    </row>
    <row r="707" ht="15.75" hidden="1" customHeight="1" outlineLevel="1">
      <c r="A707" s="10"/>
      <c r="B707" s="10"/>
      <c r="C707" s="18" t="s">
        <v>101</v>
      </c>
      <c r="D707" s="10"/>
      <c r="F707" s="6">
        <f t="array" ref="F707">SUMIF('補足'!$A$100:$A$144, XLOOKUP($C707, 'マスタ'!$D$2:$D$318, 'マスタ'!$D$2:$D$318, $C707), '補足'!$G$100:$G$144)</f>
        <v>0</v>
      </c>
    </row>
    <row r="708" ht="15.75" customHeight="1">
      <c r="A708" s="18"/>
      <c r="B708" s="18" t="s">
        <v>102</v>
      </c>
      <c r="C708" s="10"/>
      <c r="D708" s="10"/>
      <c r="F708" s="6">
        <f>SUM(F678:F707)</f>
        <v>4571095</v>
      </c>
    </row>
    <row r="709" ht="15.75" customHeight="1">
      <c r="A709" s="18"/>
      <c r="B709" s="18" t="s">
        <v>31</v>
      </c>
      <c r="C709" s="10"/>
      <c r="D709" s="10"/>
      <c r="F709" s="6">
        <f>F676-F708</f>
        <v>-6005657</v>
      </c>
    </row>
    <row r="710" ht="15.75" customHeight="1">
      <c r="A710" s="18"/>
      <c r="B710" s="18"/>
      <c r="C710" s="10"/>
      <c r="D710" s="10"/>
      <c r="F710" s="6">
        <f t="array" ref="F710">SUMIF('補足'!$A$2:$A$48, XLOOKUP($C710, 'マスタ'!$D$2:$D$318, 'マスタ'!$D$2:$D$318, $C710), '補足'!$G$2:$G$48)</f>
        <v>0</v>
      </c>
    </row>
    <row r="711" ht="15.75" customHeight="1">
      <c r="A711" s="4"/>
      <c r="B711" s="4" t="s">
        <v>50</v>
      </c>
      <c r="C711" s="10"/>
      <c r="D711" s="4" t="s">
        <v>27</v>
      </c>
      <c r="F711" s="6"/>
    </row>
    <row r="712" ht="15.75" customHeight="1">
      <c r="A712" s="10"/>
      <c r="B712" s="10"/>
      <c r="C712" s="4" t="s">
        <v>128</v>
      </c>
      <c r="D712" s="10"/>
      <c r="F712" s="6"/>
    </row>
    <row r="713" ht="15.75" customHeight="1">
      <c r="A713" s="18"/>
      <c r="B713" s="18" t="s">
        <v>1</v>
      </c>
      <c r="C713" s="10"/>
      <c r="D713" s="10"/>
      <c r="F713" s="6">
        <f t="array" ref="F713">SUMIF('補足'!$A$2:$A$48, XLOOKUP($C713, 'マスタ'!$D$2:$D$318, 'マスタ'!$D$2:$D$318, $C713), '補足'!$G$2:$G$48)</f>
        <v>0</v>
      </c>
    </row>
    <row r="714" ht="15.75" customHeight="1" collapsed="1">
      <c r="A714" s="18"/>
      <c r="B714" s="18" t="s">
        <v>67</v>
      </c>
      <c r="C714" s="10"/>
      <c r="D714" s="10"/>
      <c r="F714" s="6">
        <v>4.338E7</v>
      </c>
    </row>
    <row r="715" ht="15.75" hidden="1" customHeight="1" outlineLevel="1">
      <c r="A715" s="18"/>
      <c r="B715" s="18" t="s">
        <v>28</v>
      </c>
      <c r="C715" s="10"/>
      <c r="D715" s="10"/>
      <c r="F715" s="6">
        <f t="array" ref="F715">SUMIF('補足'!$A$2:$A$48, XLOOKUP($C715, 'マスタ'!$D$2:$D$318, 'マスタ'!$D$2:$D$318, $C715), '補足'!$G$2:$G$48)</f>
        <v>0</v>
      </c>
    </row>
    <row r="716" ht="15.75" hidden="1" customHeight="1" outlineLevel="1">
      <c r="A716" s="10"/>
      <c r="B716" s="10"/>
      <c r="C716" s="18" t="s">
        <v>68</v>
      </c>
      <c r="D716" s="10"/>
      <c r="F716" s="6">
        <f t="array" ref="F716">SUMIF('補足'!$A$2:$A$48, XLOOKUP($C716, 'マスタ'!$D$2:$D$318, 'マスタ'!$D$2:$D$318, $C716), '補足'!$G$2:$G$48)</f>
        <v>0</v>
      </c>
    </row>
    <row r="717" ht="15.75" hidden="1" customHeight="1" outlineLevel="1">
      <c r="A717" s="10"/>
      <c r="B717" s="10"/>
      <c r="C717" s="18" t="s">
        <v>69</v>
      </c>
      <c r="D717" s="10"/>
      <c r="F717" s="6">
        <f t="array" ref="F717">SUMIF('補足'!$A$2:$A$48, XLOOKUP($C717, 'マスタ'!$D$2:$D$318, 'マスタ'!$D$2:$D$318, $C717), '補足'!$G$2:$G$48)</f>
        <v>0</v>
      </c>
    </row>
    <row r="718" ht="15.75" hidden="1" customHeight="1" outlineLevel="1">
      <c r="A718" s="10"/>
      <c r="B718" s="10"/>
      <c r="C718" s="27" t="s">
        <v>70</v>
      </c>
      <c r="D718" s="10"/>
      <c r="F718" s="6">
        <f t="array" ref="F718">SUMIF('補足'!$A$2:$A$48, XLOOKUP($C718, 'マスタ'!$D$2:$D$318, 'マスタ'!$D$2:$D$318, $C718), '補足'!$G$2:$G$48)</f>
        <v>0</v>
      </c>
    </row>
    <row r="719" ht="15.75" hidden="1" customHeight="1" outlineLevel="1">
      <c r="A719" s="10"/>
      <c r="B719" s="10"/>
      <c r="C719" s="18" t="s">
        <v>71</v>
      </c>
      <c r="D719" s="10"/>
      <c r="F719" s="6">
        <f t="array" ref="F719">SUMIF('補足'!$A$2:$A$48, XLOOKUP($C719, 'マスタ'!$D$2:$D$318, 'マスタ'!$D$2:$D$318, $C719), '補足'!$G$2:$G$48)</f>
        <v>0</v>
      </c>
    </row>
    <row r="720" ht="15.75" customHeight="1">
      <c r="A720" s="18"/>
      <c r="B720" s="18" t="s">
        <v>28</v>
      </c>
      <c r="C720" s="10"/>
      <c r="D720" s="10"/>
      <c r="F720" s="6">
        <f t="array" ref="F720">SUMIF('補足'!$A$2:$A$48, XLOOKUP($C720, 'マスタ'!$D$2:$D$318, 'マスタ'!$D$2:$D$318, $C720), '補足'!$G$2:$G$48)</f>
        <v>0</v>
      </c>
    </row>
    <row r="721" ht="15.75" customHeight="1">
      <c r="A721" s="18"/>
      <c r="B721" s="18" t="s">
        <v>5</v>
      </c>
      <c r="C721" s="10"/>
      <c r="D721" s="10"/>
      <c r="F721" s="6">
        <f>F714-F720</f>
        <v>43380000</v>
      </c>
    </row>
    <row r="722" ht="15.75" customHeight="1">
      <c r="A722" s="18"/>
      <c r="B722" s="18" t="s">
        <v>29</v>
      </c>
      <c r="C722" s="10"/>
      <c r="D722" s="10"/>
      <c r="F722" s="6">
        <f t="array" ref="F722">SUMIF('補足'!$A$2:$A$48, XLOOKUP($C722, 'マスタ'!$D$2:$D$318, 'マスタ'!$D$2:$D$318, $C722), '補足'!$G$2:$G$48)</f>
        <v>0</v>
      </c>
    </row>
    <row r="723" ht="15.75" customHeight="1">
      <c r="A723" s="10"/>
      <c r="B723" s="10"/>
      <c r="C723" s="18" t="s">
        <v>72</v>
      </c>
      <c r="D723" s="10"/>
      <c r="F723" s="6">
        <f t="array" ref="F723">SUMIF('補足'!$A$148:$A$193, XLOOKUP($C723, 'マスタ'!$D$2:$D$318, 'マスタ'!$D$2:$D$318, $C723), '補足'!$G$148:$G$193)</f>
        <v>3650000</v>
      </c>
    </row>
    <row r="724" ht="15.75" customHeight="1">
      <c r="A724" s="10"/>
      <c r="B724" s="10"/>
      <c r="C724" s="18" t="s">
        <v>73</v>
      </c>
      <c r="D724" s="10"/>
      <c r="F724" s="6">
        <f t="array" ref="F724">SUMIF('補足'!$A$148:$A$193, XLOOKUP($C724, 'マスタ'!$D$2:$D$318, 'マスタ'!$D$2:$D$318, $C724), '補足'!$G$148:$G$193)</f>
        <v>5572928</v>
      </c>
    </row>
    <row r="725" ht="15.75" customHeight="1">
      <c r="A725" s="10"/>
      <c r="B725" s="10"/>
      <c r="C725" s="18" t="s">
        <v>74</v>
      </c>
      <c r="D725" s="10"/>
      <c r="F725" s="6">
        <f t="array" ref="F725">SUMIF('補足'!$A$148:$A$193, XLOOKUP($C725, 'マスタ'!$D$2:$D$318, 'マスタ'!$D$2:$D$318, $C725), '補足'!$G$148:$G$193)</f>
        <v>1263331</v>
      </c>
    </row>
    <row r="726" ht="15.75" customHeight="1">
      <c r="A726" s="10"/>
      <c r="B726" s="10"/>
      <c r="C726" s="18" t="s">
        <v>75</v>
      </c>
      <c r="D726" s="10"/>
      <c r="F726" s="6">
        <f t="array" ref="F726">SUMIF('補足'!$A$148:$A$193, XLOOKUP($C726, 'マスタ'!$D$2:$D$318, 'マスタ'!$D$2:$D$318, $C726), '補足'!$G$148:$G$193)</f>
        <v>0</v>
      </c>
    </row>
    <row r="727" ht="15.75" customHeight="1">
      <c r="A727" s="10"/>
      <c r="B727" s="10"/>
      <c r="C727" s="18" t="s">
        <v>76</v>
      </c>
      <c r="D727" s="10"/>
      <c r="F727" s="6">
        <f t="array" ref="F727">SUMIF('補足'!$A$148:$A$193, XLOOKUP($C727, 'マスタ'!$D$2:$D$318, 'マスタ'!$D$2:$D$318, $C727), '補足'!$G$148:$G$193)</f>
        <v>17395635</v>
      </c>
    </row>
    <row r="728" ht="15.75" customHeight="1">
      <c r="A728" s="10"/>
      <c r="B728" s="10"/>
      <c r="C728" s="18" t="s">
        <v>77</v>
      </c>
      <c r="D728" s="10"/>
      <c r="F728" s="6">
        <f t="array" ref="F728">SUMIF('補足'!$A$148:$A$193, XLOOKUP($C728, 'マスタ'!$D$2:$D$318, 'マスタ'!$D$2:$D$318, $C728), '補足'!$G$148:$G$193)</f>
        <v>1155634</v>
      </c>
    </row>
    <row r="729" ht="15.75" customHeight="1">
      <c r="A729" s="10"/>
      <c r="B729" s="10"/>
      <c r="C729" s="18" t="s">
        <v>78</v>
      </c>
      <c r="D729" s="10"/>
      <c r="F729" s="6">
        <f t="array" ref="F729">SUMIF('補足'!$A$148:$A$193, XLOOKUP($C729, 'マスタ'!$D$2:$D$318, 'マスタ'!$D$2:$D$318, $C729), '補足'!$G$148:$G$193)</f>
        <v>2015176</v>
      </c>
    </row>
    <row r="730" ht="15.75" customHeight="1">
      <c r="A730" s="10"/>
      <c r="B730" s="10"/>
      <c r="C730" s="18" t="s">
        <v>79</v>
      </c>
      <c r="D730" s="10"/>
      <c r="F730" s="6">
        <f t="array" ref="F730">SUMIF('補足'!$A$148:$A$193, XLOOKUP($C730, 'マスタ'!$D$2:$D$318, 'マスタ'!$D$2:$D$318, $C730), '補足'!$G$148:$G$193)</f>
        <v>0</v>
      </c>
    </row>
    <row r="731" ht="15.75" customHeight="1">
      <c r="A731" s="10"/>
      <c r="B731" s="10"/>
      <c r="C731" s="18" t="s">
        <v>80</v>
      </c>
      <c r="D731" s="10"/>
      <c r="F731" s="6">
        <f t="array" ref="F731">SUMIF('補足'!$A$148:$A$193, XLOOKUP($C731, 'マスタ'!$D$2:$D$318, 'マスタ'!$D$2:$D$318, $C731), '補足'!$G$148:$G$193)</f>
        <v>19340</v>
      </c>
    </row>
    <row r="732" ht="15.75" customHeight="1">
      <c r="A732" s="10"/>
      <c r="B732" s="10"/>
      <c r="C732" s="18" t="s">
        <v>81</v>
      </c>
      <c r="D732" s="10"/>
      <c r="F732" s="6">
        <f t="array" ref="F732">SUMIF('補足'!$A$148:$A$193, XLOOKUP($C732, 'マスタ'!$D$2:$D$318, 'マスタ'!$D$2:$D$318, $C732), '補足'!$G$148:$G$193)</f>
        <v>0</v>
      </c>
    </row>
    <row r="733" ht="15.75" customHeight="1">
      <c r="A733" s="10"/>
      <c r="B733" s="10"/>
      <c r="C733" s="18" t="s">
        <v>82</v>
      </c>
      <c r="D733" s="10"/>
      <c r="F733" s="6">
        <f t="array" ref="F733">SUMIF('補足'!$A$148:$A$193, XLOOKUP($C733, 'マスタ'!$D$2:$D$318, 'マスタ'!$D$2:$D$318, $C733), '補足'!$G$148:$G$193)</f>
        <v>116332</v>
      </c>
    </row>
    <row r="734" ht="15.75" customHeight="1">
      <c r="A734" s="10"/>
      <c r="B734" s="10"/>
      <c r="C734" s="18" t="s">
        <v>83</v>
      </c>
      <c r="D734" s="10"/>
      <c r="F734" s="6">
        <f t="array" ref="F734">SUMIF('補足'!$A$148:$A$193, XLOOKUP($C734, 'マスタ'!$D$2:$D$318, 'マスタ'!$D$2:$D$318, $C734), '補足'!$G$148:$G$193)</f>
        <v>1111766</v>
      </c>
    </row>
    <row r="735" ht="15.75" customHeight="1">
      <c r="A735" s="10"/>
      <c r="B735" s="10"/>
      <c r="C735" s="18" t="s">
        <v>84</v>
      </c>
      <c r="D735" s="10"/>
      <c r="F735" s="6">
        <f t="array" ref="F735">SUMIF('補足'!$A$148:$A$193, XLOOKUP($C735, 'マスタ'!$D$2:$D$318, 'マスタ'!$D$2:$D$318, $C735), '補足'!$G$148:$G$193)</f>
        <v>392054</v>
      </c>
    </row>
    <row r="736" ht="15.75" customHeight="1">
      <c r="A736" s="10"/>
      <c r="B736" s="10"/>
      <c r="C736" s="18" t="s">
        <v>85</v>
      </c>
      <c r="D736" s="10"/>
      <c r="F736" s="6">
        <f t="array" ref="F736">SUMIF('補足'!$A$148:$A$193, XLOOKUP($C736, 'マスタ'!$D$2:$D$318, 'マスタ'!$D$2:$D$318, $C736), '補足'!$G$148:$G$193)</f>
        <v>0</v>
      </c>
    </row>
    <row r="737" ht="15.75" customHeight="1">
      <c r="A737" s="10"/>
      <c r="B737" s="10"/>
      <c r="C737" s="18" t="s">
        <v>86</v>
      </c>
      <c r="D737" s="10"/>
      <c r="F737" s="6">
        <f t="array" ref="F737">SUMIF('補足'!$A$148:$A$193, XLOOKUP($C737, 'マスタ'!$D$2:$D$318, 'マスタ'!$D$2:$D$318, $C737), '補足'!$G$148:$G$193)</f>
        <v>78736</v>
      </c>
    </row>
    <row r="738" ht="15.75" customHeight="1">
      <c r="A738" s="10"/>
      <c r="B738" s="10"/>
      <c r="C738" s="18" t="s">
        <v>87</v>
      </c>
      <c r="D738" s="10"/>
      <c r="F738" s="6">
        <f t="array" ref="F738">SUMIF('補足'!$A$148:$A$193, XLOOKUP($C738, 'マスタ'!$D$2:$D$318, 'マスタ'!$D$2:$D$318, $C738), '補足'!$G$148:$G$193)</f>
        <v>625659</v>
      </c>
    </row>
    <row r="739" ht="15.75" customHeight="1">
      <c r="A739" s="10"/>
      <c r="B739" s="10"/>
      <c r="C739" s="18" t="s">
        <v>88</v>
      </c>
      <c r="D739" s="10"/>
      <c r="F739" s="6">
        <f t="array" ref="F739">SUMIF('補足'!$A$148:$A$193, XLOOKUP($C739, 'マスタ'!$D$2:$D$318, 'マスタ'!$D$2:$D$318, $C739), '補足'!$G$148:$G$193)</f>
        <v>30400</v>
      </c>
    </row>
    <row r="740" ht="15.75" customHeight="1">
      <c r="A740" s="10"/>
      <c r="B740" s="10"/>
      <c r="C740" s="18" t="s">
        <v>89</v>
      </c>
      <c r="D740" s="10"/>
      <c r="F740" s="6">
        <f t="array" ref="F740">SUMIF('補足'!$A$148:$A$193, XLOOKUP($C740, 'マスタ'!$D$2:$D$318, 'マスタ'!$D$2:$D$318, $C740), '補足'!$G$148:$G$193)</f>
        <v>0</v>
      </c>
    </row>
    <row r="741" ht="15.75" customHeight="1">
      <c r="A741" s="10"/>
      <c r="B741" s="10"/>
      <c r="C741" s="18" t="s">
        <v>90</v>
      </c>
      <c r="D741" s="10"/>
      <c r="F741" s="6">
        <f t="array" ref="F741">SUMIF('補足'!$A$148:$A$193, XLOOKUP($C741, 'マスタ'!$D$2:$D$318, 'マスタ'!$D$2:$D$318, $C741), '補足'!$G$148:$G$193)</f>
        <v>0</v>
      </c>
    </row>
    <row r="742" ht="15.75" customHeight="1">
      <c r="A742" s="10"/>
      <c r="B742" s="10"/>
      <c r="C742" s="18" t="s">
        <v>91</v>
      </c>
      <c r="D742" s="10"/>
      <c r="F742" s="6">
        <f t="array" ref="F742">SUMIF('補足'!$A$148:$A$193, XLOOKUP($C742, 'マスタ'!$D$2:$D$318, 'マスタ'!$D$2:$D$318, $C742), '補足'!$G$148:$G$193)</f>
        <v>2805759</v>
      </c>
    </row>
    <row r="743" ht="15.75" customHeight="1">
      <c r="A743" s="10"/>
      <c r="B743" s="10"/>
      <c r="C743" s="18" t="s">
        <v>92</v>
      </c>
      <c r="D743" s="10"/>
      <c r="F743" s="6">
        <f t="array" ref="F743">SUMIF('補足'!$A$148:$A$193, XLOOKUP($C743, 'マスタ'!$D$2:$D$318, 'マスタ'!$D$2:$D$318, $C743), '補足'!$G$148:$G$193)</f>
        <v>25232</v>
      </c>
    </row>
    <row r="744" ht="15.75" customHeight="1">
      <c r="A744" s="10"/>
      <c r="B744" s="10"/>
      <c r="C744" s="18" t="s">
        <v>129</v>
      </c>
      <c r="D744" s="10"/>
      <c r="F744" s="6">
        <f t="array" ref="F744">SUMIF('補足'!$A$148:$A$193, XLOOKUP($C744, 'マスタ'!$D$2:$D$318, 'マスタ'!$D$2:$D$318, $C744), '補足'!$G$148:$G$193)</f>
        <v>2275000</v>
      </c>
    </row>
    <row r="745" ht="15.75" customHeight="1">
      <c r="A745" s="10"/>
      <c r="B745" s="10"/>
      <c r="C745" s="18" t="s">
        <v>94</v>
      </c>
      <c r="D745" s="10"/>
      <c r="F745" s="6">
        <f t="array" ref="F745">SUMIF('補足'!$A$148:$A$193, XLOOKUP($C745, 'マスタ'!$D$2:$D$318, 'マスタ'!$D$2:$D$318, $C745), '補足'!$G$148:$G$193)</f>
        <v>0</v>
      </c>
    </row>
    <row r="746" ht="15.75" customHeight="1">
      <c r="A746" s="10"/>
      <c r="B746" s="10"/>
      <c r="C746" s="18" t="s">
        <v>95</v>
      </c>
      <c r="D746" s="10"/>
      <c r="F746" s="6">
        <f t="array" ref="F746">SUMIF('補足'!$A$148:$A$193, XLOOKUP($C746, 'マスタ'!$D$2:$D$318, 'マスタ'!$D$2:$D$318, $C746), '補足'!$G$148:$G$193)</f>
        <v>254649</v>
      </c>
    </row>
    <row r="747" ht="15.75" customHeight="1">
      <c r="A747" s="10"/>
      <c r="B747" s="10"/>
      <c r="C747" s="18" t="s">
        <v>96</v>
      </c>
      <c r="D747" s="10"/>
      <c r="F747" s="6">
        <f t="array" ref="F747">SUMIF('補足'!$A$148:$A$193, XLOOKUP($C747, 'マスタ'!$D$2:$D$318, 'マスタ'!$D$2:$D$318, $C747), '補足'!$G$148:$G$193)</f>
        <v>0</v>
      </c>
    </row>
    <row r="748" ht="15.75" customHeight="1">
      <c r="A748" s="10"/>
      <c r="B748" s="10"/>
      <c r="C748" s="18" t="s">
        <v>97</v>
      </c>
      <c r="D748" s="10"/>
      <c r="F748" s="6">
        <f t="array" ref="F748">SUMIF('補足'!$A$148:$A$193, XLOOKUP($C748, 'マスタ'!$D$2:$D$318, 'マスタ'!$D$2:$D$318, $C748), '補足'!$G$148:$G$193)</f>
        <v>0</v>
      </c>
    </row>
    <row r="749" ht="15.75" customHeight="1">
      <c r="A749" s="10"/>
      <c r="B749" s="10"/>
      <c r="C749" s="18" t="s">
        <v>98</v>
      </c>
      <c r="D749" s="10"/>
      <c r="F749" s="6">
        <f t="array" ref="F749">SUMIF('補足'!$A$148:$A$193, XLOOKUP($C749, 'マスタ'!$D$2:$D$318, 'マスタ'!$D$2:$D$318, $C749), '補足'!$G$148:$G$193)</f>
        <v>0</v>
      </c>
    </row>
    <row r="750" ht="15.75" customHeight="1">
      <c r="A750" s="10"/>
      <c r="B750" s="10"/>
      <c r="C750" s="18" t="s">
        <v>99</v>
      </c>
      <c r="D750" s="10"/>
      <c r="F750" s="6">
        <f t="array" ref="F750">SUMIF('補足'!$A$148:$A$193, XLOOKUP($C750, 'マスタ'!$D$2:$D$318, 'マスタ'!$D$2:$D$318, $C750), '補足'!$G$148:$G$193)</f>
        <v>-21391996</v>
      </c>
    </row>
    <row r="751" ht="15.75" customHeight="1">
      <c r="A751" s="10"/>
      <c r="B751" s="10"/>
      <c r="C751" s="18" t="s">
        <v>100</v>
      </c>
      <c r="D751" s="10"/>
      <c r="F751" s="6">
        <f t="array" ref="F751">SUMIF('補足'!$A$148:$A$193, XLOOKUP($C751, 'マスタ'!$D$2:$D$318, 'マスタ'!$D$2:$D$318, $C751), '補足'!$G$148:$G$193)</f>
        <v>0</v>
      </c>
    </row>
    <row r="752" ht="15.75" customHeight="1">
      <c r="A752" s="10"/>
      <c r="B752" s="10"/>
      <c r="C752" s="18" t="s">
        <v>101</v>
      </c>
      <c r="D752" s="10"/>
      <c r="F752" s="6">
        <f t="array" ref="F752">SUMIF('補足'!$A$148:$A$193, XLOOKUP($C752, 'マスタ'!$D$2:$D$318, 'マスタ'!$D$2:$D$318, $C752), '補足'!$G$148:$G$193)</f>
        <v>0</v>
      </c>
    </row>
    <row r="753" ht="15.75" customHeight="1">
      <c r="A753" s="18"/>
      <c r="B753" s="18" t="s">
        <v>102</v>
      </c>
      <c r="C753" s="10"/>
      <c r="D753" s="10"/>
      <c r="F753" s="6">
        <f>SUM(F723:F750)</f>
        <v>17395635</v>
      </c>
    </row>
    <row r="754" ht="15.75" customHeight="1">
      <c r="A754" s="18"/>
      <c r="B754" s="18" t="s">
        <v>31</v>
      </c>
      <c r="C754" s="10"/>
      <c r="D754" s="10"/>
      <c r="F754" s="31">
        <f>F721-F753</f>
        <v>25984365</v>
      </c>
    </row>
    <row r="755" ht="15.75" customHeight="1" collapsed="1">
      <c r="A755" s="18"/>
      <c r="B755" s="18"/>
      <c r="C755" s="10"/>
      <c r="D755" s="10"/>
      <c r="F755" s="6"/>
    </row>
    <row r="756" ht="15.75" hidden="1" customHeight="1" outlineLevel="1">
      <c r="A756" s="18"/>
      <c r="B756" s="18"/>
      <c r="C756" s="10"/>
      <c r="D756" s="10"/>
      <c r="F756" s="6"/>
    </row>
    <row r="757" ht="15.75" hidden="1" customHeight="1" outlineLevel="1">
      <c r="A757" s="10"/>
      <c r="B757" s="10"/>
      <c r="C757" s="4" t="s">
        <v>120</v>
      </c>
      <c r="D757" s="10"/>
      <c r="F757" s="17"/>
    </row>
    <row r="758" ht="15.75" hidden="1" customHeight="1" outlineLevel="1">
      <c r="A758" s="18"/>
      <c r="B758" s="18" t="s">
        <v>1</v>
      </c>
      <c r="C758" s="10"/>
      <c r="D758" s="18" t="s">
        <v>2</v>
      </c>
      <c r="F758" s="10"/>
    </row>
    <row r="759" ht="15.75" hidden="1" customHeight="1" outlineLevel="1">
      <c r="A759" s="10"/>
      <c r="B759" s="10"/>
      <c r="C759" s="18" t="s">
        <v>130</v>
      </c>
      <c r="D759" s="10"/>
      <c r="F759" s="5"/>
    </row>
    <row r="760" ht="15.75" hidden="1" customHeight="1" outlineLevel="1">
      <c r="A760" s="10"/>
      <c r="B760" s="10"/>
      <c r="C760" s="18" t="s">
        <v>131</v>
      </c>
      <c r="D760" s="10"/>
      <c r="F760" s="5"/>
    </row>
    <row r="761" ht="15.75" hidden="1" customHeight="1" outlineLevel="1">
      <c r="A761" s="10"/>
      <c r="B761" s="10"/>
      <c r="C761" s="18" t="s">
        <v>132</v>
      </c>
      <c r="D761" s="10"/>
      <c r="F761" s="10"/>
    </row>
    <row r="762" ht="15.75" hidden="1" customHeight="1" outlineLevel="1">
      <c r="A762" s="10"/>
      <c r="B762" s="10"/>
      <c r="C762" s="18" t="s">
        <v>133</v>
      </c>
      <c r="D762" s="10"/>
      <c r="F762" s="10"/>
    </row>
    <row r="763" ht="15.75" hidden="1" customHeight="1" outlineLevel="1">
      <c r="A763" s="10"/>
      <c r="B763" s="10"/>
      <c r="C763" s="18" t="s">
        <v>134</v>
      </c>
      <c r="D763" s="10"/>
      <c r="F763" s="10"/>
    </row>
    <row r="764" ht="15.75" hidden="1" customHeight="1" outlineLevel="1">
      <c r="A764" s="10"/>
      <c r="B764" s="10"/>
      <c r="C764" s="18" t="s">
        <v>135</v>
      </c>
      <c r="D764" s="10"/>
      <c r="F764" s="10"/>
    </row>
    <row r="765" ht="15.75" hidden="1" customHeight="1" outlineLevel="1">
      <c r="A765" s="10"/>
      <c r="B765" s="10"/>
      <c r="C765" s="18" t="s">
        <v>136</v>
      </c>
      <c r="D765" s="10"/>
      <c r="F765" s="10"/>
    </row>
    <row r="766" ht="15.75" hidden="1" customHeight="1" outlineLevel="1">
      <c r="A766" s="18"/>
      <c r="B766" s="18" t="s">
        <v>67</v>
      </c>
      <c r="C766" s="10"/>
      <c r="D766" s="18" t="s">
        <v>137</v>
      </c>
      <c r="F766" s="6"/>
    </row>
    <row r="767" ht="15.75" hidden="1" customHeight="1" outlineLevel="1">
      <c r="A767" s="18"/>
      <c r="B767" s="18" t="s">
        <v>28</v>
      </c>
      <c r="C767" s="10"/>
      <c r="D767" s="18" t="s">
        <v>4</v>
      </c>
      <c r="F767" s="10"/>
    </row>
    <row r="768" ht="15.75" hidden="1" customHeight="1" outlineLevel="1">
      <c r="A768" s="10"/>
      <c r="B768" s="10"/>
      <c r="C768" s="18" t="s">
        <v>138</v>
      </c>
      <c r="D768" s="10"/>
      <c r="F768" s="20"/>
    </row>
    <row r="769" ht="15.75" hidden="1" customHeight="1" outlineLevel="1">
      <c r="A769" s="10"/>
      <c r="B769" s="10"/>
      <c r="C769" s="18" t="s">
        <v>70</v>
      </c>
      <c r="D769" s="10"/>
      <c r="F769" s="6"/>
    </row>
    <row r="770" ht="15.75" hidden="1" customHeight="1" outlineLevel="1">
      <c r="A770" s="10"/>
      <c r="B770" s="10"/>
      <c r="C770" s="18" t="s">
        <v>71</v>
      </c>
      <c r="D770" s="10"/>
      <c r="F770" s="20"/>
    </row>
    <row r="771" ht="15.75" hidden="1" customHeight="1" outlineLevel="1">
      <c r="A771" s="18"/>
      <c r="B771" s="18" t="s">
        <v>28</v>
      </c>
      <c r="C771" s="10"/>
      <c r="D771" s="18" t="s">
        <v>4</v>
      </c>
      <c r="F771" s="6"/>
    </row>
    <row r="772" ht="15.75" hidden="1" customHeight="1" outlineLevel="1">
      <c r="A772" s="18"/>
      <c r="B772" s="18" t="s">
        <v>5</v>
      </c>
      <c r="C772" s="10"/>
      <c r="D772" s="18" t="s">
        <v>6</v>
      </c>
      <c r="F772" s="6"/>
    </row>
    <row r="773" ht="15.75" hidden="1" customHeight="1" outlineLevel="1">
      <c r="A773" s="18"/>
      <c r="B773" s="18" t="s">
        <v>29</v>
      </c>
      <c r="C773" s="10"/>
      <c r="D773" s="18" t="s">
        <v>30</v>
      </c>
      <c r="F773" s="10"/>
    </row>
    <row r="774" ht="15.75" hidden="1" customHeight="1" outlineLevel="1">
      <c r="A774" s="10"/>
      <c r="B774" s="10"/>
      <c r="C774" s="18" t="s">
        <v>72</v>
      </c>
      <c r="D774" s="10"/>
      <c r="F774" s="6"/>
    </row>
    <row r="775" ht="15.75" hidden="1" customHeight="1" outlineLevel="1">
      <c r="A775" s="10"/>
      <c r="B775" s="10"/>
      <c r="C775" s="18" t="s">
        <v>139</v>
      </c>
      <c r="D775" s="10"/>
      <c r="F775" s="6"/>
    </row>
    <row r="776" ht="15.75" hidden="1" customHeight="1" outlineLevel="1">
      <c r="A776" s="10"/>
      <c r="B776" s="10"/>
      <c r="C776" s="18" t="s">
        <v>74</v>
      </c>
      <c r="D776" s="10"/>
      <c r="F776" s="6"/>
    </row>
    <row r="777" ht="15.75" hidden="1" customHeight="1" outlineLevel="1">
      <c r="A777" s="10"/>
      <c r="B777" s="10"/>
      <c r="C777" s="18" t="s">
        <v>76</v>
      </c>
      <c r="D777" s="10"/>
      <c r="F777" s="20"/>
    </row>
    <row r="778" ht="15.75" hidden="1" customHeight="1" outlineLevel="1">
      <c r="A778" s="10"/>
      <c r="B778" s="10"/>
      <c r="C778" s="18" t="s">
        <v>75</v>
      </c>
      <c r="D778" s="10"/>
      <c r="F778" s="20"/>
    </row>
    <row r="779" ht="15.75" hidden="1" customHeight="1" outlineLevel="1">
      <c r="A779" s="10"/>
      <c r="B779" s="10"/>
      <c r="C779" s="18" t="s">
        <v>140</v>
      </c>
      <c r="D779" s="10"/>
      <c r="F779" s="6"/>
    </row>
    <row r="780" ht="15.75" hidden="1" customHeight="1" outlineLevel="1">
      <c r="A780" s="10"/>
      <c r="B780" s="10"/>
      <c r="C780" s="18" t="s">
        <v>141</v>
      </c>
      <c r="D780" s="10"/>
      <c r="F780" s="6"/>
    </row>
    <row r="781" ht="15.75" hidden="1" customHeight="1" outlineLevel="1">
      <c r="A781" s="10"/>
      <c r="B781" s="10"/>
      <c r="C781" s="18" t="s">
        <v>79</v>
      </c>
      <c r="D781" s="10"/>
      <c r="F781" s="6"/>
    </row>
    <row r="782" ht="15.75" hidden="1" customHeight="1" outlineLevel="1">
      <c r="A782" s="10"/>
      <c r="B782" s="10"/>
      <c r="C782" s="18" t="s">
        <v>80</v>
      </c>
      <c r="D782" s="10"/>
      <c r="F782" s="6"/>
    </row>
    <row r="783" ht="15.75" hidden="1" customHeight="1" outlineLevel="1">
      <c r="A783" s="10"/>
      <c r="B783" s="10"/>
      <c r="C783" s="18" t="s">
        <v>81</v>
      </c>
      <c r="D783" s="10"/>
      <c r="F783" s="6"/>
    </row>
    <row r="784" ht="15.75" hidden="1" customHeight="1" outlineLevel="1">
      <c r="A784" s="10"/>
      <c r="B784" s="10"/>
      <c r="C784" s="18" t="s">
        <v>82</v>
      </c>
      <c r="D784" s="10"/>
      <c r="F784" s="6"/>
    </row>
    <row r="785" ht="15.75" hidden="1" customHeight="1" outlineLevel="1">
      <c r="A785" s="10"/>
      <c r="B785" s="10"/>
      <c r="C785" s="18" t="s">
        <v>83</v>
      </c>
      <c r="D785" s="10"/>
      <c r="F785" s="6"/>
    </row>
    <row r="786" ht="15.75" hidden="1" customHeight="1" outlineLevel="1">
      <c r="A786" s="10"/>
      <c r="B786" s="10"/>
      <c r="C786" s="18" t="s">
        <v>84</v>
      </c>
      <c r="D786" s="10"/>
      <c r="F786" s="6"/>
    </row>
    <row r="787" ht="15.75" hidden="1" customHeight="1" outlineLevel="1">
      <c r="A787" s="10"/>
      <c r="B787" s="10"/>
      <c r="C787" s="18" t="s">
        <v>85</v>
      </c>
      <c r="D787" s="10"/>
      <c r="F787" s="20"/>
    </row>
    <row r="788" ht="15.75" hidden="1" customHeight="1" outlineLevel="1">
      <c r="A788" s="10"/>
      <c r="B788" s="10"/>
      <c r="C788" s="18" t="s">
        <v>142</v>
      </c>
      <c r="D788" s="10"/>
      <c r="F788" s="6"/>
    </row>
    <row r="789" ht="15.75" hidden="1" customHeight="1" outlineLevel="1">
      <c r="A789" s="10"/>
      <c r="B789" s="10"/>
      <c r="C789" s="18" t="s">
        <v>89</v>
      </c>
      <c r="D789" s="10"/>
      <c r="F789" s="6"/>
    </row>
    <row r="790" ht="15.75" hidden="1" customHeight="1" outlineLevel="1">
      <c r="A790" s="10"/>
      <c r="B790" s="10"/>
      <c r="C790" s="18" t="s">
        <v>87</v>
      </c>
      <c r="D790" s="10"/>
      <c r="F790" s="6"/>
    </row>
    <row r="791" ht="15.75" hidden="1" customHeight="1" outlineLevel="1">
      <c r="A791" s="10"/>
      <c r="B791" s="10"/>
      <c r="C791" s="18" t="s">
        <v>88</v>
      </c>
      <c r="D791" s="10"/>
      <c r="F791" s="20"/>
    </row>
    <row r="792" ht="15.75" hidden="1" customHeight="1" outlineLevel="1">
      <c r="A792" s="10"/>
      <c r="B792" s="10"/>
      <c r="C792" s="18" t="s">
        <v>90</v>
      </c>
      <c r="D792" s="10"/>
      <c r="F792" s="20"/>
    </row>
    <row r="793" ht="15.75" hidden="1" customHeight="1" outlineLevel="1">
      <c r="A793" s="10"/>
      <c r="B793" s="10"/>
      <c r="C793" s="18" t="s">
        <v>91</v>
      </c>
      <c r="D793" s="10"/>
      <c r="F793" s="20"/>
    </row>
    <row r="794" ht="15.75" hidden="1" customHeight="1" outlineLevel="1">
      <c r="A794" s="10"/>
      <c r="B794" s="10"/>
      <c r="C794" s="18" t="s">
        <v>92</v>
      </c>
      <c r="D794" s="10"/>
      <c r="F794" s="20"/>
    </row>
    <row r="795" ht="15.75" hidden="1" customHeight="1" outlineLevel="1">
      <c r="A795" s="10"/>
      <c r="B795" s="10"/>
      <c r="C795" s="18" t="s">
        <v>93</v>
      </c>
      <c r="D795" s="10"/>
      <c r="F795" s="20"/>
    </row>
    <row r="796" ht="15.75" hidden="1" customHeight="1" outlineLevel="1">
      <c r="A796" s="10"/>
      <c r="B796" s="10"/>
      <c r="C796" s="18" t="s">
        <v>94</v>
      </c>
      <c r="D796" s="10"/>
      <c r="F796" s="20"/>
    </row>
    <row r="797" ht="15.75" hidden="1" customHeight="1" outlineLevel="1">
      <c r="A797" s="10"/>
      <c r="B797" s="10"/>
      <c r="C797" s="18" t="s">
        <v>95</v>
      </c>
      <c r="D797" s="10"/>
      <c r="F797" s="20"/>
    </row>
    <row r="798" ht="15.75" hidden="1" customHeight="1" outlineLevel="1">
      <c r="A798" s="10"/>
      <c r="B798" s="10"/>
      <c r="C798" s="18" t="s">
        <v>100</v>
      </c>
      <c r="D798" s="10"/>
      <c r="F798" s="20"/>
    </row>
    <row r="799" ht="15.75" hidden="1" customHeight="1" outlineLevel="1">
      <c r="A799" s="10"/>
      <c r="B799" s="10"/>
      <c r="C799" s="18" t="s">
        <v>97</v>
      </c>
      <c r="D799" s="10"/>
      <c r="F799" s="20"/>
    </row>
    <row r="800" ht="15.75" hidden="1" customHeight="1" outlineLevel="1">
      <c r="A800" s="10"/>
      <c r="B800" s="10"/>
      <c r="C800" s="18" t="s">
        <v>98</v>
      </c>
      <c r="D800" s="10"/>
      <c r="F800" s="20"/>
    </row>
    <row r="801" ht="15.75" hidden="1" customHeight="1" outlineLevel="1">
      <c r="A801" s="10"/>
      <c r="B801" s="10"/>
      <c r="C801" s="18" t="s">
        <v>99</v>
      </c>
      <c r="D801" s="10"/>
      <c r="F801" s="6"/>
    </row>
    <row r="802" ht="15.75" hidden="1" customHeight="1" outlineLevel="1">
      <c r="A802" s="18"/>
      <c r="B802" s="18" t="s">
        <v>102</v>
      </c>
      <c r="C802" s="10"/>
      <c r="D802" s="18" t="s">
        <v>143</v>
      </c>
      <c r="F802" s="6"/>
    </row>
    <row r="803" ht="15.75" hidden="1" customHeight="1" outlineLevel="1">
      <c r="A803" s="18"/>
      <c r="B803" s="18" t="s">
        <v>31</v>
      </c>
      <c r="C803" s="10"/>
      <c r="D803" s="18" t="s">
        <v>9</v>
      </c>
      <c r="F803" s="6"/>
    </row>
    <row r="804" ht="15.75" hidden="1" customHeight="1" outlineLevel="1">
      <c r="A804" s="10"/>
      <c r="B804" s="10"/>
      <c r="C804" s="10"/>
      <c r="D804" s="10"/>
      <c r="F804" s="10"/>
    </row>
    <row r="805" ht="15.75" hidden="1" customHeight="1" outlineLevel="1">
      <c r="A805" s="10"/>
      <c r="B805" s="10"/>
      <c r="C805" s="10"/>
      <c r="D805" s="10"/>
      <c r="F805" s="10"/>
    </row>
    <row r="806" ht="15.75" hidden="1" customHeight="1" outlineLevel="1">
      <c r="A806" s="12"/>
      <c r="B806" s="12"/>
      <c r="C806" s="17" t="s">
        <v>121</v>
      </c>
      <c r="D806" s="12"/>
      <c r="F806" s="17"/>
    </row>
    <row r="807" ht="15.75" hidden="1" customHeight="1" outlineLevel="1">
      <c r="A807" s="18"/>
      <c r="B807" s="18" t="s">
        <v>1</v>
      </c>
      <c r="C807" s="10"/>
      <c r="D807" s="18" t="s">
        <v>2</v>
      </c>
      <c r="F807" s="10"/>
    </row>
    <row r="808" ht="15.75" hidden="1" customHeight="1" outlineLevel="1">
      <c r="A808" s="10"/>
      <c r="B808" s="10"/>
      <c r="C808" s="18" t="s">
        <v>130</v>
      </c>
      <c r="D808" s="10"/>
      <c r="F808" s="5"/>
    </row>
    <row r="809" ht="15.75" hidden="1" customHeight="1" outlineLevel="1">
      <c r="A809" s="10"/>
      <c r="B809" s="10"/>
      <c r="C809" s="18" t="s">
        <v>131</v>
      </c>
      <c r="D809" s="10"/>
      <c r="F809" s="5"/>
    </row>
    <row r="810" ht="15.75" hidden="1" customHeight="1" outlineLevel="1">
      <c r="A810" s="10"/>
      <c r="B810" s="10"/>
      <c r="C810" s="18" t="s">
        <v>132</v>
      </c>
      <c r="D810" s="10"/>
      <c r="F810" s="10"/>
    </row>
    <row r="811" ht="15.75" hidden="1" customHeight="1" outlineLevel="1">
      <c r="A811" s="10"/>
      <c r="B811" s="10"/>
      <c r="C811" s="18" t="s">
        <v>133</v>
      </c>
      <c r="D811" s="10"/>
      <c r="F811" s="5"/>
    </row>
    <row r="812" ht="15.75" hidden="1" customHeight="1" outlineLevel="1">
      <c r="A812" s="10"/>
      <c r="B812" s="10"/>
      <c r="C812" s="18" t="s">
        <v>134</v>
      </c>
      <c r="D812" s="10"/>
      <c r="F812" s="10"/>
    </row>
    <row r="813" ht="15.75" hidden="1" customHeight="1" outlineLevel="1">
      <c r="A813" s="10"/>
      <c r="B813" s="10"/>
      <c r="C813" s="18" t="s">
        <v>135</v>
      </c>
      <c r="D813" s="10"/>
      <c r="F813" s="5"/>
    </row>
    <row r="814" ht="15.75" hidden="1" customHeight="1" outlineLevel="1">
      <c r="A814" s="10"/>
      <c r="B814" s="10"/>
      <c r="C814" s="18" t="s">
        <v>136</v>
      </c>
      <c r="D814" s="10"/>
      <c r="F814" s="10"/>
    </row>
    <row r="815" ht="15.75" hidden="1" customHeight="1" outlineLevel="1">
      <c r="A815" s="18"/>
      <c r="B815" s="18" t="s">
        <v>67</v>
      </c>
      <c r="C815" s="10"/>
      <c r="D815" s="18" t="s">
        <v>137</v>
      </c>
      <c r="F815" s="6"/>
    </row>
    <row r="816" ht="15.75" hidden="1" customHeight="1" outlineLevel="1">
      <c r="A816" s="18"/>
      <c r="B816" s="18" t="s">
        <v>28</v>
      </c>
      <c r="C816" s="10"/>
      <c r="D816" s="18" t="s">
        <v>4</v>
      </c>
      <c r="F816" s="10"/>
    </row>
    <row r="817" ht="15.75" hidden="1" customHeight="1" outlineLevel="1">
      <c r="A817" s="10"/>
      <c r="B817" s="10"/>
      <c r="C817" s="18" t="s">
        <v>138</v>
      </c>
      <c r="D817" s="10"/>
      <c r="F817" s="20"/>
    </row>
    <row r="818" ht="15.75" hidden="1" customHeight="1" outlineLevel="1">
      <c r="A818" s="10"/>
      <c r="B818" s="10"/>
      <c r="C818" s="18" t="s">
        <v>70</v>
      </c>
      <c r="D818" s="10"/>
      <c r="F818" s="6"/>
    </row>
    <row r="819" ht="15.75" hidden="1" customHeight="1" outlineLevel="1">
      <c r="A819" s="10"/>
      <c r="B819" s="10"/>
      <c r="C819" s="18" t="s">
        <v>71</v>
      </c>
      <c r="D819" s="10"/>
      <c r="F819" s="20"/>
    </row>
    <row r="820" ht="15.75" hidden="1" customHeight="1" outlineLevel="1">
      <c r="A820" s="18"/>
      <c r="B820" s="18" t="s">
        <v>28</v>
      </c>
      <c r="C820" s="10"/>
      <c r="D820" s="18" t="s">
        <v>4</v>
      </c>
      <c r="F820" s="6"/>
    </row>
    <row r="821" ht="15.75" hidden="1" customHeight="1" outlineLevel="1">
      <c r="A821" s="18"/>
      <c r="B821" s="18" t="s">
        <v>5</v>
      </c>
      <c r="C821" s="10"/>
      <c r="D821" s="18" t="s">
        <v>6</v>
      </c>
      <c r="F821" s="6"/>
    </row>
    <row r="822" ht="15.75" hidden="1" customHeight="1" outlineLevel="1">
      <c r="A822" s="18"/>
      <c r="B822" s="18" t="s">
        <v>29</v>
      </c>
      <c r="C822" s="10"/>
      <c r="D822" s="18" t="s">
        <v>30</v>
      </c>
      <c r="F822" s="10"/>
    </row>
    <row r="823" ht="15.75" hidden="1" customHeight="1" outlineLevel="1">
      <c r="A823" s="10"/>
      <c r="B823" s="10"/>
      <c r="C823" s="18" t="s">
        <v>72</v>
      </c>
      <c r="D823" s="10"/>
      <c r="F823" s="6"/>
    </row>
    <row r="824" ht="15.75" hidden="1" customHeight="1" outlineLevel="1">
      <c r="A824" s="10"/>
      <c r="B824" s="10"/>
      <c r="C824" s="18" t="s">
        <v>139</v>
      </c>
      <c r="D824" s="10"/>
      <c r="F824" s="6"/>
    </row>
    <row r="825" ht="15.75" hidden="1" customHeight="1" outlineLevel="1">
      <c r="A825" s="10"/>
      <c r="B825" s="10"/>
      <c r="C825" s="18" t="s">
        <v>74</v>
      </c>
      <c r="D825" s="10"/>
      <c r="F825" s="6"/>
    </row>
    <row r="826" ht="15.75" hidden="1" customHeight="1" outlineLevel="1">
      <c r="A826" s="10"/>
      <c r="B826" s="10"/>
      <c r="C826" s="18" t="s">
        <v>76</v>
      </c>
      <c r="D826" s="10"/>
      <c r="F826" s="20"/>
    </row>
    <row r="827" ht="15.75" hidden="1" customHeight="1" outlineLevel="1">
      <c r="A827" s="10"/>
      <c r="B827" s="10"/>
      <c r="C827" s="18" t="s">
        <v>75</v>
      </c>
      <c r="D827" s="10"/>
      <c r="F827" s="20"/>
    </row>
    <row r="828" ht="15.75" hidden="1" customHeight="1" outlineLevel="1">
      <c r="A828" s="10"/>
      <c r="B828" s="10"/>
      <c r="C828" s="18" t="s">
        <v>140</v>
      </c>
      <c r="D828" s="10"/>
      <c r="F828" s="6"/>
    </row>
    <row r="829" ht="15.75" hidden="1" customHeight="1" outlineLevel="1">
      <c r="A829" s="10"/>
      <c r="B829" s="10"/>
      <c r="C829" s="18" t="s">
        <v>141</v>
      </c>
      <c r="D829" s="10"/>
      <c r="F829" s="6"/>
    </row>
    <row r="830" ht="15.75" hidden="1" customHeight="1" outlineLevel="1">
      <c r="A830" s="10"/>
      <c r="B830" s="10"/>
      <c r="C830" s="18" t="s">
        <v>79</v>
      </c>
      <c r="D830" s="10"/>
      <c r="F830" s="6"/>
    </row>
    <row r="831" ht="15.75" hidden="1" customHeight="1" outlineLevel="1">
      <c r="A831" s="10"/>
      <c r="B831" s="10"/>
      <c r="C831" s="18" t="s">
        <v>80</v>
      </c>
      <c r="D831" s="10"/>
      <c r="F831" s="6"/>
    </row>
    <row r="832" ht="15.75" hidden="1" customHeight="1" outlineLevel="1">
      <c r="A832" s="10"/>
      <c r="B832" s="10"/>
      <c r="C832" s="18" t="s">
        <v>81</v>
      </c>
      <c r="D832" s="10"/>
      <c r="F832" s="6"/>
    </row>
    <row r="833" ht="15.75" hidden="1" customHeight="1" outlineLevel="1">
      <c r="A833" s="10"/>
      <c r="B833" s="10"/>
      <c r="C833" s="18" t="s">
        <v>82</v>
      </c>
      <c r="D833" s="10"/>
      <c r="F833" s="6"/>
    </row>
    <row r="834" ht="15.75" hidden="1" customHeight="1" outlineLevel="1">
      <c r="A834" s="10"/>
      <c r="B834" s="10"/>
      <c r="C834" s="18" t="s">
        <v>83</v>
      </c>
      <c r="D834" s="10"/>
      <c r="F834" s="6"/>
    </row>
    <row r="835" ht="15.75" hidden="1" customHeight="1" outlineLevel="1">
      <c r="A835" s="10"/>
      <c r="B835" s="10"/>
      <c r="C835" s="18" t="s">
        <v>84</v>
      </c>
      <c r="D835" s="10"/>
      <c r="F835" s="6"/>
    </row>
    <row r="836" ht="15.75" hidden="1" customHeight="1" outlineLevel="1">
      <c r="A836" s="10"/>
      <c r="B836" s="10"/>
      <c r="C836" s="18" t="s">
        <v>85</v>
      </c>
      <c r="D836" s="10"/>
      <c r="F836" s="20"/>
    </row>
    <row r="837" ht="15.75" hidden="1" customHeight="1" outlineLevel="1">
      <c r="A837" s="10"/>
      <c r="B837" s="10"/>
      <c r="C837" s="18" t="s">
        <v>142</v>
      </c>
      <c r="D837" s="10"/>
      <c r="F837" s="6"/>
    </row>
    <row r="838" ht="15.75" hidden="1" customHeight="1" outlineLevel="1">
      <c r="A838" s="10"/>
      <c r="B838" s="10"/>
      <c r="C838" s="18" t="s">
        <v>89</v>
      </c>
      <c r="D838" s="10"/>
      <c r="F838" s="6"/>
    </row>
    <row r="839" ht="15.75" hidden="1" customHeight="1" outlineLevel="1">
      <c r="A839" s="10"/>
      <c r="B839" s="10"/>
      <c r="C839" s="18" t="s">
        <v>87</v>
      </c>
      <c r="D839" s="10"/>
      <c r="F839" s="6"/>
    </row>
    <row r="840" ht="15.75" hidden="1" customHeight="1" outlineLevel="1">
      <c r="A840" s="10"/>
      <c r="B840" s="10"/>
      <c r="C840" s="18" t="s">
        <v>88</v>
      </c>
      <c r="D840" s="10"/>
      <c r="F840" s="20"/>
    </row>
    <row r="841" ht="15.75" hidden="1" customHeight="1" outlineLevel="1">
      <c r="A841" s="10"/>
      <c r="B841" s="10"/>
      <c r="C841" s="18" t="s">
        <v>90</v>
      </c>
      <c r="D841" s="10"/>
      <c r="F841" s="20"/>
    </row>
    <row r="842" ht="15.75" hidden="1" customHeight="1" outlineLevel="1">
      <c r="A842" s="10"/>
      <c r="B842" s="10"/>
      <c r="C842" s="18" t="s">
        <v>91</v>
      </c>
      <c r="D842" s="10"/>
      <c r="F842" s="6"/>
    </row>
    <row r="843" ht="15.75" hidden="1" customHeight="1" outlineLevel="1">
      <c r="A843" s="10"/>
      <c r="B843" s="10"/>
      <c r="C843" s="18" t="s">
        <v>92</v>
      </c>
      <c r="D843" s="10"/>
      <c r="F843" s="6"/>
    </row>
    <row r="844" ht="15.75" hidden="1" customHeight="1" outlineLevel="1">
      <c r="A844" s="10"/>
      <c r="B844" s="10"/>
      <c r="C844" s="18" t="s">
        <v>93</v>
      </c>
      <c r="D844" s="10"/>
      <c r="F844" s="20"/>
    </row>
    <row r="845" ht="15.75" hidden="1" customHeight="1" outlineLevel="1">
      <c r="A845" s="10"/>
      <c r="B845" s="10"/>
      <c r="C845" s="18" t="s">
        <v>94</v>
      </c>
      <c r="D845" s="10"/>
      <c r="F845" s="6"/>
    </row>
    <row r="846" ht="15.75" hidden="1" customHeight="1" outlineLevel="1">
      <c r="A846" s="10"/>
      <c r="B846" s="10"/>
      <c r="C846" s="18" t="s">
        <v>95</v>
      </c>
      <c r="D846" s="10"/>
      <c r="F846" s="6"/>
    </row>
    <row r="847" ht="15.75" hidden="1" customHeight="1" outlineLevel="1">
      <c r="A847" s="10"/>
      <c r="B847" s="10"/>
      <c r="C847" s="18" t="s">
        <v>100</v>
      </c>
      <c r="D847" s="10"/>
      <c r="F847" s="6"/>
    </row>
    <row r="848" ht="15.75" hidden="1" customHeight="1" outlineLevel="1">
      <c r="A848" s="10"/>
      <c r="B848" s="10"/>
      <c r="C848" s="18" t="s">
        <v>97</v>
      </c>
      <c r="D848" s="10"/>
      <c r="F848" s="6"/>
    </row>
    <row r="849" ht="15.75" hidden="1" customHeight="1" outlineLevel="1">
      <c r="A849" s="10"/>
      <c r="B849" s="10"/>
      <c r="C849" s="18" t="s">
        <v>98</v>
      </c>
      <c r="D849" s="10"/>
      <c r="F849" s="20"/>
    </row>
    <row r="850" ht="15.75" hidden="1" customHeight="1" outlineLevel="1">
      <c r="A850" s="10"/>
      <c r="B850" s="10"/>
      <c r="C850" s="18" t="s">
        <v>99</v>
      </c>
      <c r="D850" s="10"/>
      <c r="F850" s="6"/>
    </row>
    <row r="851" ht="15.75" hidden="1" customHeight="1" outlineLevel="1">
      <c r="A851" s="18"/>
      <c r="B851" s="18" t="s">
        <v>102</v>
      </c>
      <c r="C851" s="10"/>
      <c r="D851" s="18" t="s">
        <v>143</v>
      </c>
      <c r="F851" s="6"/>
    </row>
    <row r="852" ht="15.75" hidden="1" customHeight="1" outlineLevel="1">
      <c r="A852" s="18"/>
      <c r="B852" s="18" t="s">
        <v>31</v>
      </c>
      <c r="C852" s="10"/>
      <c r="D852" s="18" t="s">
        <v>9</v>
      </c>
      <c r="F852" s="6"/>
    </row>
    <row r="853" ht="15.75" hidden="1" customHeight="1" outlineLevel="1">
      <c r="A853" s="10"/>
      <c r="B853" s="10"/>
      <c r="C853" s="10"/>
      <c r="D853" s="10"/>
      <c r="F853" s="10"/>
    </row>
    <row r="854" ht="15.75" hidden="1" customHeight="1" outlineLevel="1">
      <c r="A854" s="10"/>
      <c r="B854" s="10"/>
      <c r="C854" s="10"/>
      <c r="D854" s="10"/>
      <c r="F854" s="10"/>
    </row>
    <row r="855" ht="15.75" hidden="1" customHeight="1" outlineLevel="1">
      <c r="A855" s="10"/>
      <c r="B855" s="10"/>
      <c r="C855" s="4" t="s">
        <v>122</v>
      </c>
      <c r="D855" s="10"/>
      <c r="F855" s="17"/>
    </row>
    <row r="856" ht="15.75" hidden="1" customHeight="1" outlineLevel="1">
      <c r="A856" s="18"/>
      <c r="B856" s="18" t="s">
        <v>1</v>
      </c>
      <c r="C856" s="10"/>
      <c r="D856" s="18" t="s">
        <v>2</v>
      </c>
      <c r="F856" s="10"/>
    </row>
    <row r="857" ht="15.75" hidden="1" customHeight="1" outlineLevel="1">
      <c r="A857" s="10"/>
      <c r="B857" s="10"/>
      <c r="C857" s="18" t="s">
        <v>130</v>
      </c>
      <c r="D857" s="10"/>
      <c r="F857" s="32"/>
    </row>
    <row r="858" ht="15.75" hidden="1" customHeight="1" outlineLevel="1">
      <c r="A858" s="10"/>
      <c r="B858" s="10"/>
      <c r="C858" s="18" t="s">
        <v>131</v>
      </c>
      <c r="D858" s="10"/>
      <c r="F858" s="32"/>
    </row>
    <row r="859" ht="15.75" hidden="1" customHeight="1" outlineLevel="1">
      <c r="A859" s="10"/>
      <c r="B859" s="10"/>
      <c r="C859" s="18" t="s">
        <v>132</v>
      </c>
      <c r="D859" s="10"/>
      <c r="F859" s="32"/>
    </row>
    <row r="860" ht="15.75" hidden="1" customHeight="1" outlineLevel="1">
      <c r="A860" s="10"/>
      <c r="B860" s="10"/>
      <c r="C860" s="18" t="s">
        <v>133</v>
      </c>
      <c r="D860" s="10"/>
      <c r="F860" s="32"/>
    </row>
    <row r="861" ht="15.75" hidden="1" customHeight="1" outlineLevel="1">
      <c r="A861" s="10"/>
      <c r="B861" s="10"/>
      <c r="C861" s="18" t="s">
        <v>134</v>
      </c>
      <c r="D861" s="10"/>
      <c r="F861" s="32"/>
    </row>
    <row r="862" ht="15.75" hidden="1" customHeight="1" outlineLevel="1">
      <c r="A862" s="10"/>
      <c r="B862" s="10"/>
      <c r="C862" s="18" t="s">
        <v>135</v>
      </c>
      <c r="D862" s="10"/>
      <c r="F862" s="32"/>
    </row>
    <row r="863" ht="15.75" hidden="1" customHeight="1" outlineLevel="1">
      <c r="A863" s="10"/>
      <c r="B863" s="10"/>
      <c r="C863" s="18" t="s">
        <v>136</v>
      </c>
      <c r="D863" s="10"/>
      <c r="F863" s="32"/>
    </row>
    <row r="864" ht="15.75" hidden="1" customHeight="1" outlineLevel="1">
      <c r="A864" s="18"/>
      <c r="B864" s="18" t="s">
        <v>67</v>
      </c>
      <c r="C864" s="10"/>
      <c r="D864" s="18" t="s">
        <v>137</v>
      </c>
      <c r="F864" s="32"/>
    </row>
    <row r="865" ht="15.75" hidden="1" customHeight="1" outlineLevel="1">
      <c r="A865" s="18"/>
      <c r="B865" s="18" t="s">
        <v>28</v>
      </c>
      <c r="C865" s="10"/>
      <c r="D865" s="18" t="s">
        <v>4</v>
      </c>
      <c r="F865" s="32"/>
    </row>
    <row r="866" ht="15.75" hidden="1" customHeight="1" outlineLevel="1">
      <c r="A866" s="10"/>
      <c r="B866" s="10"/>
      <c r="C866" s="18" t="s">
        <v>138</v>
      </c>
      <c r="D866" s="10"/>
      <c r="F866" s="32"/>
    </row>
    <row r="867" ht="15.75" hidden="1" customHeight="1" outlineLevel="1">
      <c r="A867" s="10"/>
      <c r="B867" s="10"/>
      <c r="C867" s="18" t="s">
        <v>70</v>
      </c>
      <c r="D867" s="10"/>
      <c r="F867" s="32"/>
    </row>
    <row r="868" ht="15.75" hidden="1" customHeight="1" outlineLevel="1">
      <c r="A868" s="10"/>
      <c r="B868" s="10"/>
      <c r="C868" s="18" t="s">
        <v>71</v>
      </c>
      <c r="D868" s="10"/>
      <c r="F868" s="32"/>
    </row>
    <row r="869" ht="15.75" hidden="1" customHeight="1" outlineLevel="1">
      <c r="A869" s="18"/>
      <c r="B869" s="18" t="s">
        <v>28</v>
      </c>
      <c r="C869" s="10"/>
      <c r="D869" s="18" t="s">
        <v>4</v>
      </c>
      <c r="F869" s="32"/>
    </row>
    <row r="870" ht="15.75" hidden="1" customHeight="1" outlineLevel="1">
      <c r="A870" s="18"/>
      <c r="B870" s="18" t="s">
        <v>5</v>
      </c>
      <c r="C870" s="10"/>
      <c r="D870" s="18" t="s">
        <v>6</v>
      </c>
      <c r="F870" s="32"/>
    </row>
    <row r="871" ht="15.75" hidden="1" customHeight="1" outlineLevel="1">
      <c r="A871" s="18"/>
      <c r="B871" s="18" t="s">
        <v>29</v>
      </c>
      <c r="C871" s="10"/>
      <c r="D871" s="18" t="s">
        <v>30</v>
      </c>
      <c r="F871" s="32"/>
    </row>
    <row r="872" ht="15.75" hidden="1" customHeight="1" outlineLevel="1">
      <c r="A872" s="10"/>
      <c r="B872" s="10"/>
      <c r="C872" s="18" t="s">
        <v>72</v>
      </c>
      <c r="D872" s="10"/>
      <c r="F872" s="32"/>
    </row>
    <row r="873" ht="15.75" hidden="1" customHeight="1" outlineLevel="1">
      <c r="A873" s="10"/>
      <c r="B873" s="10"/>
      <c r="C873" s="18" t="s">
        <v>139</v>
      </c>
      <c r="D873" s="10"/>
      <c r="F873" s="32"/>
    </row>
    <row r="874" ht="15.75" hidden="1" customHeight="1" outlineLevel="1">
      <c r="A874" s="10"/>
      <c r="B874" s="10"/>
      <c r="C874" s="18" t="s">
        <v>74</v>
      </c>
      <c r="D874" s="10"/>
      <c r="F874" s="32"/>
    </row>
    <row r="875" ht="15.75" hidden="1" customHeight="1" outlineLevel="1">
      <c r="A875" s="10"/>
      <c r="B875" s="10"/>
      <c r="C875" s="18" t="s">
        <v>76</v>
      </c>
      <c r="D875" s="10"/>
      <c r="F875" s="32"/>
    </row>
    <row r="876" ht="15.75" hidden="1" customHeight="1" outlineLevel="1">
      <c r="A876" s="10"/>
      <c r="B876" s="10"/>
      <c r="C876" s="18" t="s">
        <v>75</v>
      </c>
      <c r="D876" s="10"/>
      <c r="F876" s="32"/>
    </row>
    <row r="877" ht="15.75" hidden="1" customHeight="1" outlineLevel="1">
      <c r="A877" s="10"/>
      <c r="B877" s="10"/>
      <c r="C877" s="18" t="s">
        <v>140</v>
      </c>
      <c r="D877" s="10"/>
      <c r="F877" s="32"/>
    </row>
    <row r="878" ht="15.75" hidden="1" customHeight="1" outlineLevel="1">
      <c r="A878" s="10"/>
      <c r="B878" s="10"/>
      <c r="C878" s="18" t="s">
        <v>141</v>
      </c>
      <c r="D878" s="10"/>
      <c r="F878" s="32"/>
    </row>
    <row r="879" ht="15.75" hidden="1" customHeight="1" outlineLevel="1">
      <c r="A879" s="10"/>
      <c r="B879" s="10"/>
      <c r="C879" s="18" t="s">
        <v>79</v>
      </c>
      <c r="D879" s="10"/>
      <c r="F879" s="32"/>
    </row>
    <row r="880" ht="15.75" hidden="1" customHeight="1" outlineLevel="1">
      <c r="A880" s="10"/>
      <c r="B880" s="10"/>
      <c r="C880" s="18" t="s">
        <v>80</v>
      </c>
      <c r="D880" s="10"/>
      <c r="F880" s="32"/>
    </row>
    <row r="881" ht="15.75" hidden="1" customHeight="1" outlineLevel="1">
      <c r="A881" s="10"/>
      <c r="B881" s="10"/>
      <c r="C881" s="18" t="s">
        <v>81</v>
      </c>
      <c r="D881" s="10"/>
      <c r="F881" s="32"/>
    </row>
    <row r="882" ht="15.75" hidden="1" customHeight="1" outlineLevel="1">
      <c r="A882" s="10"/>
      <c r="B882" s="10"/>
      <c r="C882" s="18" t="s">
        <v>82</v>
      </c>
      <c r="D882" s="10"/>
      <c r="F882" s="32"/>
    </row>
    <row r="883" ht="15.75" hidden="1" customHeight="1" outlineLevel="1">
      <c r="A883" s="10"/>
      <c r="B883" s="10"/>
      <c r="C883" s="18" t="s">
        <v>83</v>
      </c>
      <c r="D883" s="10"/>
      <c r="F883" s="32"/>
    </row>
    <row r="884" ht="15.75" hidden="1" customHeight="1" outlineLevel="1">
      <c r="A884" s="10"/>
      <c r="B884" s="10"/>
      <c r="C884" s="18" t="s">
        <v>84</v>
      </c>
      <c r="D884" s="10"/>
      <c r="F884" s="32"/>
    </row>
    <row r="885" ht="15.75" hidden="1" customHeight="1" outlineLevel="1">
      <c r="A885" s="10"/>
      <c r="B885" s="10"/>
      <c r="C885" s="18" t="s">
        <v>85</v>
      </c>
      <c r="D885" s="10"/>
      <c r="F885" s="32"/>
    </row>
    <row r="886" ht="15.75" hidden="1" customHeight="1" outlineLevel="1">
      <c r="A886" s="10"/>
      <c r="B886" s="10"/>
      <c r="C886" s="18" t="s">
        <v>142</v>
      </c>
      <c r="D886" s="10"/>
      <c r="F886" s="32"/>
    </row>
    <row r="887" ht="15.75" hidden="1" customHeight="1" outlineLevel="1">
      <c r="A887" s="10"/>
      <c r="B887" s="10"/>
      <c r="C887" s="18" t="s">
        <v>89</v>
      </c>
      <c r="D887" s="10"/>
      <c r="F887" s="32"/>
    </row>
    <row r="888" ht="15.75" hidden="1" customHeight="1" outlineLevel="1">
      <c r="A888" s="10"/>
      <c r="B888" s="10"/>
      <c r="C888" s="18" t="s">
        <v>87</v>
      </c>
      <c r="D888" s="10"/>
      <c r="F888" s="32"/>
    </row>
    <row r="889" ht="15.75" hidden="1" customHeight="1" outlineLevel="1">
      <c r="A889" s="10"/>
      <c r="B889" s="10"/>
      <c r="C889" s="18" t="s">
        <v>88</v>
      </c>
      <c r="D889" s="10"/>
      <c r="F889" s="32"/>
    </row>
    <row r="890" ht="15.75" hidden="1" customHeight="1" outlineLevel="1">
      <c r="A890" s="10"/>
      <c r="B890" s="10"/>
      <c r="C890" s="18" t="s">
        <v>90</v>
      </c>
      <c r="D890" s="10"/>
      <c r="F890" s="32"/>
    </row>
    <row r="891" ht="15.75" hidden="1" customHeight="1" outlineLevel="1">
      <c r="A891" s="10"/>
      <c r="B891" s="10"/>
      <c r="C891" s="18" t="s">
        <v>91</v>
      </c>
      <c r="D891" s="10"/>
      <c r="F891" s="32"/>
    </row>
    <row r="892" ht="15.75" hidden="1" customHeight="1" outlineLevel="1">
      <c r="A892" s="10"/>
      <c r="B892" s="10"/>
      <c r="C892" s="18" t="s">
        <v>92</v>
      </c>
      <c r="D892" s="10"/>
      <c r="F892" s="32"/>
    </row>
    <row r="893" ht="15.75" hidden="1" customHeight="1" outlineLevel="1">
      <c r="A893" s="10"/>
      <c r="B893" s="10"/>
      <c r="C893" s="18" t="s">
        <v>93</v>
      </c>
      <c r="D893" s="10"/>
      <c r="F893" s="32"/>
    </row>
    <row r="894" ht="15.75" hidden="1" customHeight="1" outlineLevel="1">
      <c r="A894" s="10"/>
      <c r="B894" s="10"/>
      <c r="C894" s="18" t="s">
        <v>94</v>
      </c>
      <c r="D894" s="10"/>
      <c r="F894" s="32"/>
    </row>
    <row r="895" ht="15.75" hidden="1" customHeight="1" outlineLevel="1">
      <c r="A895" s="10"/>
      <c r="B895" s="10"/>
      <c r="C895" s="18" t="s">
        <v>95</v>
      </c>
      <c r="D895" s="10"/>
      <c r="F895" s="32"/>
    </row>
    <row r="896" ht="15.75" hidden="1" customHeight="1" outlineLevel="1">
      <c r="A896" s="10"/>
      <c r="B896" s="10"/>
      <c r="C896" s="18" t="s">
        <v>100</v>
      </c>
      <c r="D896" s="10"/>
      <c r="F896" s="32"/>
    </row>
    <row r="897" ht="15.75" hidden="1" customHeight="1" outlineLevel="1">
      <c r="A897" s="10"/>
      <c r="B897" s="10"/>
      <c r="C897" s="18" t="s">
        <v>97</v>
      </c>
      <c r="D897" s="10"/>
      <c r="F897" s="32"/>
    </row>
    <row r="898" ht="15.75" hidden="1" customHeight="1" outlineLevel="1">
      <c r="A898" s="10"/>
      <c r="B898" s="10"/>
      <c r="C898" s="18" t="s">
        <v>98</v>
      </c>
      <c r="D898" s="10"/>
      <c r="F898" s="32"/>
    </row>
    <row r="899" ht="15.75" hidden="1" customHeight="1" outlineLevel="1">
      <c r="A899" s="10"/>
      <c r="B899" s="10"/>
      <c r="C899" s="18" t="s">
        <v>99</v>
      </c>
      <c r="D899" s="10"/>
      <c r="F899" s="32"/>
    </row>
    <row r="900" ht="15.75" hidden="1" customHeight="1" outlineLevel="1">
      <c r="A900" s="18"/>
      <c r="B900" s="18" t="s">
        <v>102</v>
      </c>
      <c r="C900" s="10"/>
      <c r="D900" s="18" t="s">
        <v>143</v>
      </c>
      <c r="F900" s="32"/>
    </row>
    <row r="901" ht="15.75" hidden="1" customHeight="1" outlineLevel="1">
      <c r="A901" s="18"/>
      <c r="B901" s="18" t="s">
        <v>31</v>
      </c>
      <c r="C901" s="10"/>
      <c r="D901" s="18" t="s">
        <v>9</v>
      </c>
      <c r="F901" s="32"/>
    </row>
    <row r="902" ht="15.75" hidden="1" customHeight="1" outlineLevel="1">
      <c r="A902" s="10"/>
      <c r="B902" s="10"/>
      <c r="C902" s="10"/>
      <c r="D902" s="10"/>
      <c r="F902" s="10"/>
    </row>
    <row r="903" ht="15.75" hidden="1" customHeight="1" outlineLevel="1">
      <c r="A903" s="10"/>
      <c r="B903" s="10"/>
      <c r="C903" s="10"/>
      <c r="D903" s="10"/>
      <c r="F903" s="10"/>
    </row>
    <row r="904" ht="15.75" hidden="1" customHeight="1" outlineLevel="1">
      <c r="A904" s="10"/>
      <c r="B904" s="10"/>
      <c r="C904" s="4" t="s">
        <v>144</v>
      </c>
      <c r="D904" s="10"/>
      <c r="F904" s="17"/>
    </row>
    <row r="905" ht="15.75" hidden="1" customHeight="1" outlineLevel="1">
      <c r="A905" s="18"/>
      <c r="B905" s="18" t="s">
        <v>1</v>
      </c>
      <c r="C905" s="10"/>
      <c r="D905" s="18" t="s">
        <v>2</v>
      </c>
      <c r="F905" s="32"/>
    </row>
    <row r="906" ht="15.75" hidden="1" customHeight="1" outlineLevel="1">
      <c r="A906" s="10"/>
      <c r="B906" s="10"/>
      <c r="C906" s="18" t="s">
        <v>130</v>
      </c>
      <c r="D906" s="10"/>
      <c r="F906" s="32"/>
    </row>
    <row r="907" ht="15.75" hidden="1" customHeight="1" outlineLevel="1">
      <c r="A907" s="10"/>
      <c r="B907" s="10"/>
      <c r="C907" s="18" t="s">
        <v>131</v>
      </c>
      <c r="D907" s="10"/>
      <c r="F907" s="32"/>
    </row>
    <row r="908" ht="15.75" hidden="1" customHeight="1" outlineLevel="1">
      <c r="A908" s="10"/>
      <c r="B908" s="10"/>
      <c r="C908" s="18" t="s">
        <v>132</v>
      </c>
      <c r="D908" s="10"/>
      <c r="F908" s="32"/>
    </row>
    <row r="909" ht="15.75" hidden="1" customHeight="1" outlineLevel="1">
      <c r="A909" s="10"/>
      <c r="B909" s="10"/>
      <c r="C909" s="18" t="s">
        <v>133</v>
      </c>
      <c r="D909" s="10"/>
      <c r="F909" s="32"/>
    </row>
    <row r="910" ht="15.75" hidden="1" customHeight="1" outlineLevel="1">
      <c r="A910" s="10"/>
      <c r="B910" s="10"/>
      <c r="C910" s="18" t="s">
        <v>134</v>
      </c>
      <c r="D910" s="10"/>
      <c r="F910" s="32"/>
    </row>
    <row r="911" ht="15.75" hidden="1" customHeight="1" outlineLevel="1">
      <c r="A911" s="10"/>
      <c r="B911" s="10"/>
      <c r="C911" s="18" t="s">
        <v>135</v>
      </c>
      <c r="D911" s="10"/>
      <c r="F911" s="32"/>
    </row>
    <row r="912" ht="15.75" hidden="1" customHeight="1" outlineLevel="1">
      <c r="A912" s="10"/>
      <c r="B912" s="10"/>
      <c r="C912" s="18" t="s">
        <v>136</v>
      </c>
      <c r="D912" s="10"/>
      <c r="F912" s="32"/>
    </row>
    <row r="913" ht="15.75" hidden="1" customHeight="1" outlineLevel="1">
      <c r="A913" s="18"/>
      <c r="B913" s="18" t="s">
        <v>67</v>
      </c>
      <c r="C913" s="10"/>
      <c r="D913" s="18" t="s">
        <v>137</v>
      </c>
      <c r="F913" s="32"/>
    </row>
    <row r="914" ht="15.75" hidden="1" customHeight="1" outlineLevel="1">
      <c r="A914" s="18"/>
      <c r="B914" s="18" t="s">
        <v>28</v>
      </c>
      <c r="C914" s="10"/>
      <c r="D914" s="18" t="s">
        <v>4</v>
      </c>
      <c r="F914" s="32"/>
    </row>
    <row r="915" ht="15.75" hidden="1" customHeight="1" outlineLevel="1">
      <c r="A915" s="10"/>
      <c r="B915" s="10"/>
      <c r="C915" s="18" t="s">
        <v>138</v>
      </c>
      <c r="D915" s="10"/>
      <c r="F915" s="32"/>
    </row>
    <row r="916" ht="15.75" hidden="1" customHeight="1" outlineLevel="1">
      <c r="A916" s="10"/>
      <c r="B916" s="10"/>
      <c r="C916" s="18" t="s">
        <v>70</v>
      </c>
      <c r="D916" s="10"/>
      <c r="F916" s="32"/>
    </row>
    <row r="917" ht="15.75" hidden="1" customHeight="1" outlineLevel="1">
      <c r="A917" s="10"/>
      <c r="B917" s="10"/>
      <c r="C917" s="18" t="s">
        <v>71</v>
      </c>
      <c r="D917" s="10"/>
      <c r="F917" s="32"/>
    </row>
    <row r="918" ht="15.75" hidden="1" customHeight="1" outlineLevel="1">
      <c r="A918" s="18"/>
      <c r="B918" s="18" t="s">
        <v>28</v>
      </c>
      <c r="C918" s="10"/>
      <c r="D918" s="18" t="s">
        <v>4</v>
      </c>
      <c r="F918" s="32"/>
    </row>
    <row r="919" ht="15.75" hidden="1" customHeight="1" outlineLevel="1">
      <c r="A919" s="18"/>
      <c r="B919" s="18" t="s">
        <v>5</v>
      </c>
      <c r="C919" s="10"/>
      <c r="D919" s="18" t="s">
        <v>6</v>
      </c>
      <c r="F919" s="32"/>
    </row>
    <row r="920" ht="15.75" hidden="1" customHeight="1" outlineLevel="1">
      <c r="A920" s="18"/>
      <c r="B920" s="18" t="s">
        <v>29</v>
      </c>
      <c r="C920" s="10"/>
      <c r="D920" s="18" t="s">
        <v>30</v>
      </c>
      <c r="F920" s="32"/>
    </row>
    <row r="921" ht="15.75" hidden="1" customHeight="1" outlineLevel="1">
      <c r="A921" s="10"/>
      <c r="B921" s="10"/>
      <c r="C921" s="18" t="s">
        <v>72</v>
      </c>
      <c r="D921" s="10"/>
      <c r="F921" s="33"/>
    </row>
    <row r="922" ht="15.75" hidden="1" customHeight="1" outlineLevel="1">
      <c r="A922" s="10"/>
      <c r="B922" s="10"/>
      <c r="C922" s="18" t="s">
        <v>139</v>
      </c>
      <c r="D922" s="10"/>
      <c r="F922" s="33"/>
    </row>
    <row r="923" ht="15.75" hidden="1" customHeight="1" outlineLevel="1">
      <c r="A923" s="10"/>
      <c r="B923" s="10"/>
      <c r="C923" s="18" t="s">
        <v>74</v>
      </c>
      <c r="D923" s="10"/>
      <c r="F923" s="33"/>
    </row>
    <row r="924" ht="15.75" hidden="1" customHeight="1" outlineLevel="1">
      <c r="A924" s="10"/>
      <c r="B924" s="10"/>
      <c r="C924" s="18" t="s">
        <v>76</v>
      </c>
      <c r="D924" s="10"/>
      <c r="F924" s="33"/>
    </row>
    <row r="925" ht="15.75" hidden="1" customHeight="1" outlineLevel="1">
      <c r="A925" s="10"/>
      <c r="B925" s="10"/>
      <c r="C925" s="18" t="s">
        <v>75</v>
      </c>
      <c r="D925" s="10"/>
      <c r="F925" s="33"/>
    </row>
    <row r="926" ht="15.75" hidden="1" customHeight="1" outlineLevel="1">
      <c r="A926" s="10"/>
      <c r="B926" s="10"/>
      <c r="C926" s="18" t="s">
        <v>140</v>
      </c>
      <c r="D926" s="10"/>
      <c r="F926" s="33"/>
    </row>
    <row r="927" ht="15.75" hidden="1" customHeight="1" outlineLevel="1">
      <c r="A927" s="10"/>
      <c r="B927" s="10"/>
      <c r="C927" s="18" t="s">
        <v>141</v>
      </c>
      <c r="D927" s="10"/>
      <c r="F927" s="33"/>
    </row>
    <row r="928" ht="15.75" hidden="1" customHeight="1" outlineLevel="1">
      <c r="A928" s="10"/>
      <c r="B928" s="10"/>
      <c r="C928" s="18" t="s">
        <v>79</v>
      </c>
      <c r="D928" s="10"/>
      <c r="F928" s="33"/>
    </row>
    <row r="929" ht="15.75" hidden="1" customHeight="1" outlineLevel="1">
      <c r="A929" s="10"/>
      <c r="B929" s="10"/>
      <c r="C929" s="18" t="s">
        <v>80</v>
      </c>
      <c r="D929" s="10"/>
      <c r="F929" s="33"/>
    </row>
    <row r="930" ht="15.75" hidden="1" customHeight="1" outlineLevel="1">
      <c r="A930" s="10"/>
      <c r="B930" s="10"/>
      <c r="C930" s="18" t="s">
        <v>81</v>
      </c>
      <c r="D930" s="10"/>
      <c r="F930" s="33"/>
    </row>
    <row r="931" ht="15.75" hidden="1" customHeight="1" outlineLevel="1">
      <c r="A931" s="10"/>
      <c r="B931" s="10"/>
      <c r="C931" s="18" t="s">
        <v>82</v>
      </c>
      <c r="D931" s="10"/>
      <c r="F931" s="33"/>
    </row>
    <row r="932" ht="15.75" hidden="1" customHeight="1" outlineLevel="1">
      <c r="A932" s="10"/>
      <c r="B932" s="10"/>
      <c r="C932" s="18" t="s">
        <v>83</v>
      </c>
      <c r="D932" s="10"/>
      <c r="F932" s="33"/>
    </row>
    <row r="933" ht="15.75" hidden="1" customHeight="1" outlineLevel="1">
      <c r="A933" s="10"/>
      <c r="B933" s="10"/>
      <c r="C933" s="18" t="s">
        <v>84</v>
      </c>
      <c r="D933" s="10"/>
      <c r="F933" s="33"/>
    </row>
    <row r="934" ht="15.75" hidden="1" customHeight="1" outlineLevel="1">
      <c r="A934" s="10"/>
      <c r="B934" s="10"/>
      <c r="C934" s="18" t="s">
        <v>85</v>
      </c>
      <c r="D934" s="10"/>
      <c r="F934" s="33"/>
    </row>
    <row r="935" ht="15.75" hidden="1" customHeight="1" outlineLevel="1">
      <c r="A935" s="10"/>
      <c r="B935" s="10"/>
      <c r="C935" s="18" t="s">
        <v>142</v>
      </c>
      <c r="D935" s="10"/>
      <c r="F935" s="33"/>
    </row>
    <row r="936" ht="15.75" hidden="1" customHeight="1" outlineLevel="1">
      <c r="A936" s="10"/>
      <c r="B936" s="10"/>
      <c r="C936" s="18" t="s">
        <v>89</v>
      </c>
      <c r="D936" s="10"/>
      <c r="F936" s="33"/>
    </row>
    <row r="937" ht="15.75" hidden="1" customHeight="1" outlineLevel="1">
      <c r="A937" s="10"/>
      <c r="B937" s="10"/>
      <c r="C937" s="18" t="s">
        <v>87</v>
      </c>
      <c r="D937" s="10"/>
      <c r="F937" s="33"/>
    </row>
    <row r="938" ht="15.75" hidden="1" customHeight="1" outlineLevel="1">
      <c r="A938" s="10"/>
      <c r="B938" s="10"/>
      <c r="C938" s="18" t="s">
        <v>88</v>
      </c>
      <c r="D938" s="10"/>
      <c r="F938" s="32"/>
    </row>
    <row r="939" ht="15.75" hidden="1" customHeight="1" outlineLevel="1">
      <c r="A939" s="10"/>
      <c r="B939" s="10"/>
      <c r="C939" s="18" t="s">
        <v>90</v>
      </c>
      <c r="D939" s="10"/>
      <c r="F939" s="32"/>
    </row>
    <row r="940" ht="15.75" hidden="1" customHeight="1" outlineLevel="1">
      <c r="A940" s="10"/>
      <c r="B940" s="10"/>
      <c r="C940" s="18" t="s">
        <v>91</v>
      </c>
      <c r="D940" s="10"/>
      <c r="F940" s="32"/>
    </row>
    <row r="941" ht="15.75" hidden="1" customHeight="1" outlineLevel="1">
      <c r="A941" s="10"/>
      <c r="B941" s="10"/>
      <c r="C941" s="18" t="s">
        <v>92</v>
      </c>
      <c r="D941" s="10"/>
      <c r="F941" s="32"/>
    </row>
    <row r="942" ht="15.75" hidden="1" customHeight="1" outlineLevel="1">
      <c r="A942" s="10"/>
      <c r="B942" s="10"/>
      <c r="C942" s="18" t="s">
        <v>93</v>
      </c>
      <c r="D942" s="10"/>
      <c r="F942" s="32"/>
    </row>
    <row r="943" ht="15.75" hidden="1" customHeight="1" outlineLevel="1">
      <c r="A943" s="10"/>
      <c r="B943" s="10"/>
      <c r="C943" s="18" t="s">
        <v>94</v>
      </c>
      <c r="D943" s="10"/>
      <c r="F943" s="32"/>
    </row>
    <row r="944" ht="15.75" hidden="1" customHeight="1" outlineLevel="1">
      <c r="A944" s="10"/>
      <c r="B944" s="10"/>
      <c r="C944" s="18" t="s">
        <v>95</v>
      </c>
      <c r="D944" s="10"/>
      <c r="F944" s="32"/>
    </row>
    <row r="945" ht="15.75" hidden="1" customHeight="1" outlineLevel="1">
      <c r="A945" s="10"/>
      <c r="B945" s="10"/>
      <c r="C945" s="18" t="s">
        <v>100</v>
      </c>
      <c r="D945" s="10"/>
      <c r="F945" s="32"/>
    </row>
    <row r="946" ht="15.75" hidden="1" customHeight="1" outlineLevel="1">
      <c r="A946" s="10"/>
      <c r="B946" s="10"/>
      <c r="C946" s="18" t="s">
        <v>97</v>
      </c>
      <c r="D946" s="10"/>
      <c r="F946" s="32"/>
    </row>
    <row r="947" ht="15.75" hidden="1" customHeight="1" outlineLevel="1">
      <c r="A947" s="10"/>
      <c r="B947" s="10"/>
      <c r="C947" s="18" t="s">
        <v>98</v>
      </c>
      <c r="D947" s="10"/>
      <c r="F947" s="32"/>
    </row>
    <row r="948" ht="15.75" hidden="1" customHeight="1" outlineLevel="1">
      <c r="A948" s="10"/>
      <c r="B948" s="10"/>
      <c r="C948" s="18" t="s">
        <v>99</v>
      </c>
      <c r="D948" s="10"/>
      <c r="F948" s="32"/>
    </row>
    <row r="949" ht="15.75" hidden="1" customHeight="1" outlineLevel="1">
      <c r="A949" s="18"/>
      <c r="B949" s="18" t="s">
        <v>102</v>
      </c>
      <c r="C949" s="10"/>
      <c r="D949" s="18" t="s">
        <v>143</v>
      </c>
      <c r="F949" s="32"/>
    </row>
    <row r="950" ht="15.75" hidden="1" customHeight="1" outlineLevel="1">
      <c r="A950" s="18"/>
      <c r="B950" s="18" t="s">
        <v>31</v>
      </c>
      <c r="C950" s="10"/>
      <c r="D950" s="18" t="s">
        <v>9</v>
      </c>
      <c r="F950" s="32"/>
    </row>
    <row r="951" ht="15.75" hidden="1" customHeight="1" outlineLevel="1">
      <c r="A951" s="10"/>
      <c r="B951" s="10"/>
      <c r="C951" s="10"/>
      <c r="D951" s="10"/>
      <c r="F951" s="10"/>
    </row>
    <row r="952" ht="15.75" hidden="1" customHeight="1" outlineLevel="1">
      <c r="A952" s="10"/>
      <c r="B952" s="10"/>
      <c r="C952" s="10"/>
      <c r="D952" s="10"/>
      <c r="F952" s="10"/>
    </row>
    <row r="953" ht="15.75" hidden="1" customHeight="1" outlineLevel="1">
      <c r="A953" s="10"/>
      <c r="B953" s="10"/>
      <c r="C953" s="4" t="s">
        <v>145</v>
      </c>
      <c r="D953" s="10"/>
      <c r="F953" s="17"/>
    </row>
    <row r="954" ht="15.75" hidden="1" customHeight="1" outlineLevel="1">
      <c r="A954" s="18"/>
      <c r="B954" s="18" t="s">
        <v>1</v>
      </c>
      <c r="C954" s="10"/>
      <c r="D954" s="18" t="s">
        <v>2</v>
      </c>
      <c r="F954" s="10"/>
    </row>
    <row r="955" ht="15.75" hidden="1" customHeight="1" outlineLevel="1">
      <c r="A955" s="10"/>
      <c r="B955" s="10"/>
      <c r="C955" s="18" t="s">
        <v>130</v>
      </c>
      <c r="D955" s="10"/>
      <c r="F955" s="5"/>
    </row>
    <row r="956" ht="15.75" hidden="1" customHeight="1" outlineLevel="1">
      <c r="A956" s="10"/>
      <c r="B956" s="10"/>
      <c r="C956" s="18" t="s">
        <v>131</v>
      </c>
      <c r="D956" s="10"/>
      <c r="F956" s="5"/>
    </row>
    <row r="957" ht="15.75" hidden="1" customHeight="1" outlineLevel="1">
      <c r="A957" s="10"/>
      <c r="B957" s="10"/>
      <c r="C957" s="18" t="s">
        <v>132</v>
      </c>
      <c r="D957" s="10"/>
      <c r="F957" s="5"/>
    </row>
    <row r="958" ht="15.75" hidden="1" customHeight="1" outlineLevel="1">
      <c r="A958" s="10"/>
      <c r="B958" s="10"/>
      <c r="C958" s="18" t="s">
        <v>133</v>
      </c>
      <c r="D958" s="10"/>
      <c r="F958" s="10"/>
    </row>
    <row r="959" ht="15.75" hidden="1" customHeight="1" outlineLevel="1">
      <c r="A959" s="10"/>
      <c r="B959" s="10"/>
      <c r="C959" s="18" t="s">
        <v>146</v>
      </c>
      <c r="D959" s="10"/>
      <c r="F959" s="5"/>
    </row>
    <row r="960" ht="15.75" hidden="1" customHeight="1" outlineLevel="1">
      <c r="A960" s="10"/>
      <c r="B960" s="10"/>
      <c r="C960" s="18" t="s">
        <v>134</v>
      </c>
      <c r="D960" s="10"/>
      <c r="F960" s="5"/>
    </row>
    <row r="961" ht="15.75" hidden="1" customHeight="1" outlineLevel="1">
      <c r="A961" s="10"/>
      <c r="B961" s="10"/>
      <c r="C961" s="18" t="s">
        <v>135</v>
      </c>
      <c r="D961" s="10"/>
      <c r="F961" s="5"/>
    </row>
    <row r="962" ht="15.75" hidden="1" customHeight="1" outlineLevel="1">
      <c r="A962" s="10"/>
      <c r="B962" s="10"/>
      <c r="C962" s="18" t="s">
        <v>136</v>
      </c>
      <c r="D962" s="10"/>
      <c r="F962" s="10"/>
    </row>
    <row r="963" ht="15.75" hidden="1" customHeight="1" outlineLevel="1">
      <c r="A963" s="18"/>
      <c r="B963" s="18" t="s">
        <v>67</v>
      </c>
      <c r="C963" s="10"/>
      <c r="D963" s="18" t="s">
        <v>137</v>
      </c>
      <c r="F963" s="6"/>
    </row>
    <row r="964" ht="15.75" hidden="1" customHeight="1" outlineLevel="1">
      <c r="A964" s="18"/>
      <c r="B964" s="18" t="s">
        <v>28</v>
      </c>
      <c r="C964" s="10"/>
      <c r="D964" s="18" t="s">
        <v>4</v>
      </c>
      <c r="F964" s="10"/>
    </row>
    <row r="965" ht="15.75" hidden="1" customHeight="1" outlineLevel="1">
      <c r="A965" s="10"/>
      <c r="B965" s="10"/>
      <c r="C965" s="18" t="s">
        <v>138</v>
      </c>
      <c r="D965" s="10"/>
      <c r="F965" s="20"/>
    </row>
    <row r="966" ht="15.75" hidden="1" customHeight="1" outlineLevel="1">
      <c r="A966" s="10"/>
      <c r="B966" s="10"/>
      <c r="C966" s="18" t="s">
        <v>70</v>
      </c>
      <c r="D966" s="10"/>
      <c r="F966" s="6"/>
    </row>
    <row r="967" ht="15.75" hidden="1" customHeight="1" outlineLevel="1">
      <c r="A967" s="10"/>
      <c r="B967" s="10"/>
      <c r="C967" s="18" t="s">
        <v>71</v>
      </c>
      <c r="D967" s="10"/>
      <c r="F967" s="20"/>
    </row>
    <row r="968" ht="15.75" hidden="1" customHeight="1" outlineLevel="1">
      <c r="A968" s="18"/>
      <c r="B968" s="18" t="s">
        <v>28</v>
      </c>
      <c r="C968" s="10"/>
      <c r="D968" s="18" t="s">
        <v>4</v>
      </c>
      <c r="F968" s="6"/>
    </row>
    <row r="969" ht="15.75" hidden="1" customHeight="1" outlineLevel="1">
      <c r="A969" s="18"/>
      <c r="B969" s="18" t="s">
        <v>5</v>
      </c>
      <c r="C969" s="10"/>
      <c r="D969" s="18" t="s">
        <v>6</v>
      </c>
      <c r="F969" s="6"/>
    </row>
    <row r="970" ht="15.75" hidden="1" customHeight="1" outlineLevel="1">
      <c r="A970" s="18"/>
      <c r="B970" s="18" t="s">
        <v>29</v>
      </c>
      <c r="C970" s="10"/>
      <c r="D970" s="18" t="s">
        <v>30</v>
      </c>
      <c r="F970" s="10"/>
    </row>
    <row r="971" ht="15.75" hidden="1" customHeight="1" outlineLevel="1">
      <c r="A971" s="10"/>
      <c r="B971" s="10"/>
      <c r="C971" s="18" t="s">
        <v>72</v>
      </c>
      <c r="D971" s="10"/>
      <c r="F971" s="6"/>
    </row>
    <row r="972" ht="15.75" hidden="1" customHeight="1" outlineLevel="1">
      <c r="A972" s="10"/>
      <c r="B972" s="10"/>
      <c r="C972" s="18" t="s">
        <v>139</v>
      </c>
      <c r="D972" s="10"/>
      <c r="F972" s="6"/>
    </row>
    <row r="973" ht="15.75" hidden="1" customHeight="1" outlineLevel="1">
      <c r="A973" s="10"/>
      <c r="B973" s="10"/>
      <c r="C973" s="18" t="s">
        <v>74</v>
      </c>
      <c r="D973" s="10"/>
      <c r="F973" s="6"/>
    </row>
    <row r="974" ht="15.75" hidden="1" customHeight="1" outlineLevel="1">
      <c r="A974" s="10"/>
      <c r="B974" s="10"/>
      <c r="C974" s="18" t="s">
        <v>76</v>
      </c>
      <c r="D974" s="10"/>
      <c r="F974" s="20"/>
    </row>
    <row r="975" ht="15.75" hidden="1" customHeight="1" outlineLevel="1">
      <c r="A975" s="10"/>
      <c r="B975" s="10"/>
      <c r="C975" s="18" t="s">
        <v>75</v>
      </c>
      <c r="D975" s="10"/>
      <c r="F975" s="20"/>
    </row>
    <row r="976" ht="15.75" hidden="1" customHeight="1" outlineLevel="1">
      <c r="A976" s="10"/>
      <c r="B976" s="10"/>
      <c r="C976" s="18" t="s">
        <v>140</v>
      </c>
      <c r="D976" s="10"/>
      <c r="F976" s="6"/>
    </row>
    <row r="977" ht="15.75" hidden="1" customHeight="1" outlineLevel="1">
      <c r="A977" s="10"/>
      <c r="B977" s="10"/>
      <c r="C977" s="18" t="s">
        <v>141</v>
      </c>
      <c r="D977" s="10"/>
      <c r="F977" s="6"/>
    </row>
    <row r="978" ht="15.75" hidden="1" customHeight="1" outlineLevel="1">
      <c r="A978" s="10"/>
      <c r="B978" s="10"/>
      <c r="C978" s="18" t="s">
        <v>79</v>
      </c>
      <c r="D978" s="10"/>
      <c r="F978" s="6"/>
    </row>
    <row r="979" ht="15.75" hidden="1" customHeight="1" outlineLevel="1">
      <c r="A979" s="10"/>
      <c r="B979" s="10"/>
      <c r="C979" s="18" t="s">
        <v>80</v>
      </c>
      <c r="D979" s="10"/>
      <c r="F979" s="6"/>
    </row>
    <row r="980" ht="15.75" hidden="1" customHeight="1" outlineLevel="1">
      <c r="A980" s="10"/>
      <c r="B980" s="10"/>
      <c r="C980" s="18" t="s">
        <v>81</v>
      </c>
      <c r="D980" s="10"/>
      <c r="F980" s="6"/>
    </row>
    <row r="981" ht="15.75" hidden="1" customHeight="1" outlineLevel="1">
      <c r="A981" s="10"/>
      <c r="B981" s="10"/>
      <c r="C981" s="18" t="s">
        <v>82</v>
      </c>
      <c r="D981" s="10"/>
      <c r="F981" s="6"/>
    </row>
    <row r="982" ht="15.75" hidden="1" customHeight="1" outlineLevel="1">
      <c r="A982" s="10"/>
      <c r="B982" s="10"/>
      <c r="C982" s="18" t="s">
        <v>83</v>
      </c>
      <c r="D982" s="10"/>
      <c r="F982" s="6"/>
    </row>
    <row r="983" ht="15.75" hidden="1" customHeight="1" outlineLevel="1">
      <c r="A983" s="10"/>
      <c r="B983" s="10"/>
      <c r="C983" s="18" t="s">
        <v>84</v>
      </c>
      <c r="D983" s="10"/>
      <c r="F983" s="6"/>
    </row>
    <row r="984" ht="15.75" hidden="1" customHeight="1" outlineLevel="1">
      <c r="A984" s="10"/>
      <c r="B984" s="10"/>
      <c r="C984" s="18" t="s">
        <v>85</v>
      </c>
      <c r="D984" s="10"/>
      <c r="F984" s="20"/>
    </row>
    <row r="985" ht="15.75" hidden="1" customHeight="1" outlineLevel="1">
      <c r="A985" s="10"/>
      <c r="B985" s="10"/>
      <c r="C985" s="18" t="s">
        <v>142</v>
      </c>
      <c r="D985" s="10"/>
      <c r="F985" s="6"/>
    </row>
    <row r="986" ht="15.75" hidden="1" customHeight="1" outlineLevel="1">
      <c r="A986" s="10"/>
      <c r="B986" s="10"/>
      <c r="C986" s="18" t="s">
        <v>89</v>
      </c>
      <c r="D986" s="10"/>
      <c r="F986" s="6"/>
    </row>
    <row r="987" ht="15.75" hidden="1" customHeight="1" outlineLevel="1">
      <c r="A987" s="10"/>
      <c r="B987" s="10"/>
      <c r="C987" s="18" t="s">
        <v>87</v>
      </c>
      <c r="D987" s="10"/>
      <c r="F987" s="6"/>
    </row>
    <row r="988" ht="15.75" hidden="1" customHeight="1" outlineLevel="1">
      <c r="A988" s="10"/>
      <c r="B988" s="10"/>
      <c r="C988" s="18" t="s">
        <v>88</v>
      </c>
      <c r="D988" s="10"/>
      <c r="F988" s="20"/>
    </row>
    <row r="989" ht="15.75" hidden="1" customHeight="1" outlineLevel="1">
      <c r="A989" s="10"/>
      <c r="B989" s="10"/>
      <c r="C989" s="18" t="s">
        <v>90</v>
      </c>
      <c r="D989" s="10"/>
      <c r="F989" s="20"/>
    </row>
    <row r="990" ht="15.75" hidden="1" customHeight="1" outlineLevel="1">
      <c r="A990" s="10"/>
      <c r="B990" s="10"/>
      <c r="C990" s="18" t="s">
        <v>91</v>
      </c>
      <c r="D990" s="10"/>
      <c r="F990" s="6"/>
    </row>
    <row r="991" ht="15.75" hidden="1" customHeight="1" outlineLevel="1">
      <c r="A991" s="10"/>
      <c r="B991" s="10"/>
      <c r="C991" s="18" t="s">
        <v>92</v>
      </c>
      <c r="D991" s="10"/>
      <c r="F991" s="6"/>
    </row>
    <row r="992" ht="15.75" hidden="1" customHeight="1" outlineLevel="1">
      <c r="A992" s="10"/>
      <c r="B992" s="10"/>
      <c r="C992" s="18" t="s">
        <v>93</v>
      </c>
      <c r="D992" s="10"/>
      <c r="F992" s="20"/>
    </row>
    <row r="993" ht="15.75" hidden="1" customHeight="1" outlineLevel="1">
      <c r="A993" s="10"/>
      <c r="B993" s="10"/>
      <c r="C993" s="18" t="s">
        <v>94</v>
      </c>
      <c r="D993" s="10"/>
      <c r="F993" s="6"/>
    </row>
    <row r="994" ht="15.75" hidden="1" customHeight="1" outlineLevel="1">
      <c r="A994" s="10"/>
      <c r="B994" s="10"/>
      <c r="C994" s="18" t="s">
        <v>95</v>
      </c>
      <c r="D994" s="10"/>
      <c r="F994" s="6"/>
    </row>
    <row r="995" ht="15.75" hidden="1" customHeight="1" outlineLevel="1">
      <c r="A995" s="10"/>
      <c r="B995" s="10"/>
      <c r="C995" s="18" t="s">
        <v>100</v>
      </c>
      <c r="D995" s="10"/>
      <c r="F995" s="6"/>
    </row>
    <row r="996" ht="15.75" hidden="1" customHeight="1" outlineLevel="1">
      <c r="A996" s="10"/>
      <c r="B996" s="10"/>
      <c r="C996" s="18" t="s">
        <v>97</v>
      </c>
      <c r="D996" s="10"/>
      <c r="F996" s="6"/>
    </row>
    <row r="997" ht="15.75" hidden="1" customHeight="1" outlineLevel="1">
      <c r="A997" s="10"/>
      <c r="B997" s="10"/>
      <c r="C997" s="18" t="s">
        <v>147</v>
      </c>
      <c r="D997" s="10"/>
      <c r="F997" s="20"/>
    </row>
    <row r="998" ht="15.75" hidden="1" customHeight="1" outlineLevel="1">
      <c r="A998" s="10"/>
      <c r="B998" s="10"/>
      <c r="C998" s="18" t="s">
        <v>99</v>
      </c>
      <c r="D998" s="10"/>
      <c r="F998" s="6"/>
    </row>
    <row r="999" ht="15.75" hidden="1" customHeight="1" outlineLevel="1">
      <c r="A999" s="18"/>
      <c r="B999" s="18" t="s">
        <v>102</v>
      </c>
      <c r="C999" s="10"/>
      <c r="D999" s="18" t="s">
        <v>143</v>
      </c>
      <c r="F999" s="6"/>
    </row>
    <row r="1000" ht="15.75" hidden="1" customHeight="1" outlineLevel="1">
      <c r="A1000" s="18"/>
      <c r="B1000" s="18" t="s">
        <v>31</v>
      </c>
      <c r="C1000" s="10"/>
      <c r="D1000" s="18" t="s">
        <v>9</v>
      </c>
      <c r="F1000" s="6"/>
    </row>
    <row r="1001" ht="15.75" hidden="1" customHeight="1" outlineLevel="1">
      <c r="A1001" s="10"/>
      <c r="B1001" s="10"/>
      <c r="C1001" s="10"/>
      <c r="D1001" s="10"/>
      <c r="F1001" s="10"/>
    </row>
    <row r="1002" ht="15.75" hidden="1" customHeight="1" outlineLevel="1">
      <c r="A1002" s="10"/>
      <c r="B1002" s="10"/>
      <c r="C1002" s="10"/>
      <c r="D1002" s="10"/>
      <c r="F1002" s="10"/>
    </row>
    <row r="1003" ht="15.75" hidden="1" customHeight="1" outlineLevel="1">
      <c r="A1003" s="10"/>
      <c r="B1003" s="10"/>
      <c r="C1003" s="4" t="s">
        <v>148</v>
      </c>
      <c r="D1003" s="10"/>
      <c r="F1003" s="17"/>
    </row>
    <row r="1004" ht="15.75" hidden="1" customHeight="1" outlineLevel="1">
      <c r="A1004" s="18"/>
      <c r="B1004" s="18" t="s">
        <v>1</v>
      </c>
      <c r="C1004" s="10"/>
      <c r="D1004" s="18" t="s">
        <v>2</v>
      </c>
      <c r="F1004" s="10"/>
    </row>
    <row r="1005" ht="15.75" hidden="1" customHeight="1" outlineLevel="1">
      <c r="A1005" s="10"/>
      <c r="B1005" s="10"/>
      <c r="C1005" s="18" t="s">
        <v>130</v>
      </c>
      <c r="D1005" s="10"/>
      <c r="F1005" s="5"/>
    </row>
    <row r="1006" ht="15.75" hidden="1" customHeight="1" outlineLevel="1">
      <c r="A1006" s="10"/>
      <c r="B1006" s="10"/>
      <c r="C1006" s="18" t="s">
        <v>131</v>
      </c>
      <c r="D1006" s="10"/>
      <c r="F1006" s="5"/>
    </row>
    <row r="1007" ht="15.75" hidden="1" customHeight="1" outlineLevel="1">
      <c r="A1007" s="10"/>
      <c r="B1007" s="10"/>
      <c r="C1007" s="18" t="s">
        <v>132</v>
      </c>
      <c r="D1007" s="10"/>
      <c r="F1007" s="10"/>
    </row>
    <row r="1008" ht="15.75" hidden="1" customHeight="1" outlineLevel="1">
      <c r="A1008" s="10"/>
      <c r="B1008" s="10"/>
      <c r="C1008" s="18" t="s">
        <v>133</v>
      </c>
      <c r="D1008" s="10"/>
      <c r="F1008" s="10"/>
    </row>
    <row r="1009" ht="15.75" hidden="1" customHeight="1" outlineLevel="1">
      <c r="A1009" s="10"/>
      <c r="B1009" s="10"/>
      <c r="C1009" s="18" t="s">
        <v>134</v>
      </c>
      <c r="D1009" s="10"/>
      <c r="F1009" s="10"/>
    </row>
    <row r="1010" ht="15.75" hidden="1" customHeight="1" outlineLevel="1">
      <c r="A1010" s="10"/>
      <c r="B1010" s="10"/>
      <c r="C1010" s="18" t="s">
        <v>135</v>
      </c>
      <c r="D1010" s="10"/>
      <c r="F1010" s="5"/>
    </row>
    <row r="1011" ht="15.75" hidden="1" customHeight="1" outlineLevel="1">
      <c r="A1011" s="10"/>
      <c r="B1011" s="10"/>
      <c r="C1011" s="18" t="s">
        <v>136</v>
      </c>
      <c r="D1011" s="10"/>
      <c r="F1011" s="5"/>
    </row>
    <row r="1012" ht="15.75" hidden="1" customHeight="1" outlineLevel="1">
      <c r="A1012" s="18"/>
      <c r="B1012" s="18" t="s">
        <v>67</v>
      </c>
      <c r="C1012" s="10"/>
      <c r="D1012" s="18" t="s">
        <v>137</v>
      </c>
      <c r="F1012" s="6"/>
    </row>
    <row r="1013" ht="15.75" hidden="1" customHeight="1" outlineLevel="1">
      <c r="A1013" s="18"/>
      <c r="B1013" s="18" t="s">
        <v>28</v>
      </c>
      <c r="C1013" s="10"/>
      <c r="D1013" s="18" t="s">
        <v>4</v>
      </c>
      <c r="F1013" s="10"/>
    </row>
    <row r="1014" ht="15.75" hidden="1" customHeight="1" outlineLevel="1">
      <c r="A1014" s="10"/>
      <c r="B1014" s="10"/>
      <c r="C1014" s="18" t="s">
        <v>138</v>
      </c>
      <c r="D1014" s="10"/>
      <c r="F1014" s="20"/>
    </row>
    <row r="1015" ht="15.75" hidden="1" customHeight="1" outlineLevel="1">
      <c r="A1015" s="10"/>
      <c r="B1015" s="10"/>
      <c r="C1015" s="18" t="s">
        <v>70</v>
      </c>
      <c r="D1015" s="10"/>
      <c r="F1015" s="6"/>
    </row>
    <row r="1016" ht="15.75" hidden="1" customHeight="1" outlineLevel="1">
      <c r="A1016" s="10"/>
      <c r="B1016" s="10"/>
      <c r="C1016" s="18" t="s">
        <v>71</v>
      </c>
      <c r="D1016" s="10"/>
      <c r="F1016" s="20"/>
    </row>
    <row r="1017" ht="15.75" hidden="1" customHeight="1" outlineLevel="1">
      <c r="A1017" s="18"/>
      <c r="B1017" s="18" t="s">
        <v>28</v>
      </c>
      <c r="C1017" s="10"/>
      <c r="D1017" s="18" t="s">
        <v>4</v>
      </c>
      <c r="F1017" s="6"/>
    </row>
    <row r="1018" ht="15.75" hidden="1" customHeight="1" outlineLevel="1">
      <c r="A1018" s="18"/>
      <c r="B1018" s="18" t="s">
        <v>5</v>
      </c>
      <c r="C1018" s="10"/>
      <c r="D1018" s="18" t="s">
        <v>6</v>
      </c>
      <c r="F1018" s="6"/>
    </row>
    <row r="1019" ht="15.75" hidden="1" customHeight="1" outlineLevel="1">
      <c r="A1019" s="18"/>
      <c r="B1019" s="18" t="s">
        <v>29</v>
      </c>
      <c r="C1019" s="10"/>
      <c r="D1019" s="18" t="s">
        <v>30</v>
      </c>
      <c r="F1019" s="10"/>
    </row>
    <row r="1020" ht="15.75" hidden="1" customHeight="1" outlineLevel="1">
      <c r="A1020" s="10"/>
      <c r="B1020" s="10"/>
      <c r="C1020" s="18" t="s">
        <v>72</v>
      </c>
      <c r="D1020" s="10"/>
      <c r="F1020" s="6"/>
    </row>
    <row r="1021" ht="15.75" hidden="1" customHeight="1" outlineLevel="1">
      <c r="A1021" s="10"/>
      <c r="B1021" s="10"/>
      <c r="C1021" s="18" t="s">
        <v>139</v>
      </c>
      <c r="D1021" s="10"/>
      <c r="F1021" s="6"/>
    </row>
    <row r="1022" ht="15.75" hidden="1" customHeight="1" outlineLevel="1">
      <c r="A1022" s="10"/>
      <c r="B1022" s="10"/>
      <c r="C1022" s="18" t="s">
        <v>74</v>
      </c>
      <c r="D1022" s="10"/>
      <c r="F1022" s="6"/>
    </row>
    <row r="1023" ht="15.75" hidden="1" customHeight="1" outlineLevel="1">
      <c r="A1023" s="10"/>
      <c r="B1023" s="10"/>
      <c r="C1023" s="18" t="s">
        <v>76</v>
      </c>
      <c r="D1023" s="10"/>
      <c r="F1023" s="6"/>
    </row>
    <row r="1024" ht="15.75" hidden="1" customHeight="1" outlineLevel="1">
      <c r="A1024" s="10"/>
      <c r="B1024" s="10"/>
      <c r="C1024" s="18" t="s">
        <v>75</v>
      </c>
      <c r="D1024" s="10"/>
      <c r="F1024" s="6"/>
    </row>
    <row r="1025" ht="15.75" hidden="1" customHeight="1" outlineLevel="1">
      <c r="A1025" s="10"/>
      <c r="B1025" s="10"/>
      <c r="C1025" s="18" t="s">
        <v>140</v>
      </c>
      <c r="D1025" s="10"/>
      <c r="F1025" s="6"/>
    </row>
    <row r="1026" ht="15.75" hidden="1" customHeight="1" outlineLevel="1">
      <c r="A1026" s="10"/>
      <c r="B1026" s="10"/>
      <c r="C1026" s="18" t="s">
        <v>141</v>
      </c>
      <c r="D1026" s="10"/>
      <c r="F1026" s="6"/>
    </row>
    <row r="1027" ht="15.75" hidden="1" customHeight="1" outlineLevel="1">
      <c r="A1027" s="10"/>
      <c r="B1027" s="10"/>
      <c r="C1027" s="18" t="s">
        <v>79</v>
      </c>
      <c r="D1027" s="10"/>
      <c r="F1027" s="6"/>
    </row>
    <row r="1028" ht="15.75" hidden="1" customHeight="1" outlineLevel="1">
      <c r="A1028" s="10"/>
      <c r="B1028" s="10"/>
      <c r="C1028" s="18" t="s">
        <v>80</v>
      </c>
      <c r="D1028" s="10"/>
      <c r="F1028" s="6"/>
    </row>
    <row r="1029" ht="15.75" hidden="1" customHeight="1" outlineLevel="1">
      <c r="A1029" s="10"/>
      <c r="B1029" s="10"/>
      <c r="C1029" s="18" t="s">
        <v>81</v>
      </c>
      <c r="D1029" s="10"/>
      <c r="F1029" s="6"/>
    </row>
    <row r="1030" ht="15.75" hidden="1" customHeight="1" outlineLevel="1">
      <c r="A1030" s="10"/>
      <c r="B1030" s="10"/>
      <c r="C1030" s="18" t="s">
        <v>82</v>
      </c>
      <c r="D1030" s="10"/>
      <c r="F1030" s="6"/>
    </row>
    <row r="1031" ht="15.75" hidden="1" customHeight="1" outlineLevel="1">
      <c r="A1031" s="10"/>
      <c r="B1031" s="10"/>
      <c r="C1031" s="18" t="s">
        <v>83</v>
      </c>
      <c r="D1031" s="10"/>
      <c r="F1031" s="6"/>
    </row>
    <row r="1032" ht="15.75" hidden="1" customHeight="1" outlineLevel="1">
      <c r="A1032" s="10"/>
      <c r="B1032" s="10"/>
      <c r="C1032" s="18" t="s">
        <v>84</v>
      </c>
      <c r="D1032" s="10"/>
      <c r="F1032" s="6"/>
    </row>
    <row r="1033" ht="15.75" hidden="1" customHeight="1" outlineLevel="1">
      <c r="A1033" s="10"/>
      <c r="B1033" s="10"/>
      <c r="C1033" s="18" t="s">
        <v>85</v>
      </c>
      <c r="D1033" s="10"/>
      <c r="F1033" s="20"/>
    </row>
    <row r="1034" ht="15.75" hidden="1" customHeight="1" outlineLevel="1">
      <c r="A1034" s="10"/>
      <c r="B1034" s="10"/>
      <c r="C1034" s="18" t="s">
        <v>142</v>
      </c>
      <c r="D1034" s="10"/>
      <c r="F1034" s="6"/>
    </row>
    <row r="1035" ht="15.75" hidden="1" customHeight="1" outlineLevel="1">
      <c r="A1035" s="10"/>
      <c r="B1035" s="10"/>
      <c r="C1035" s="18" t="s">
        <v>89</v>
      </c>
      <c r="D1035" s="10"/>
      <c r="F1035" s="6"/>
    </row>
    <row r="1036" ht="15.75" hidden="1" customHeight="1" outlineLevel="1">
      <c r="A1036" s="10"/>
      <c r="B1036" s="10"/>
      <c r="C1036" s="18" t="s">
        <v>87</v>
      </c>
      <c r="D1036" s="10"/>
      <c r="F1036" s="6"/>
    </row>
    <row r="1037" ht="15.75" hidden="1" customHeight="1" outlineLevel="1">
      <c r="A1037" s="10"/>
      <c r="B1037" s="10"/>
      <c r="C1037" s="18" t="s">
        <v>88</v>
      </c>
      <c r="D1037" s="10"/>
      <c r="F1037" s="20"/>
    </row>
    <row r="1038" ht="15.75" hidden="1" customHeight="1" outlineLevel="1">
      <c r="A1038" s="10"/>
      <c r="B1038" s="10"/>
      <c r="C1038" s="18" t="s">
        <v>90</v>
      </c>
      <c r="D1038" s="10"/>
      <c r="F1038" s="20"/>
    </row>
    <row r="1039" ht="15.75" hidden="1" customHeight="1" outlineLevel="1">
      <c r="A1039" s="10"/>
      <c r="B1039" s="10"/>
      <c r="C1039" s="18" t="s">
        <v>91</v>
      </c>
      <c r="D1039" s="10"/>
      <c r="F1039" s="6"/>
    </row>
    <row r="1040" ht="15.75" hidden="1" customHeight="1" outlineLevel="1">
      <c r="A1040" s="10"/>
      <c r="B1040" s="10"/>
      <c r="C1040" s="18" t="s">
        <v>92</v>
      </c>
      <c r="D1040" s="10"/>
      <c r="F1040" s="6"/>
    </row>
    <row r="1041" ht="15.75" hidden="1" customHeight="1" outlineLevel="1">
      <c r="A1041" s="10"/>
      <c r="B1041" s="10"/>
      <c r="C1041" s="18" t="s">
        <v>93</v>
      </c>
      <c r="D1041" s="10"/>
      <c r="F1041" s="20"/>
    </row>
    <row r="1042" ht="15.75" hidden="1" customHeight="1" outlineLevel="1">
      <c r="A1042" s="10"/>
      <c r="B1042" s="10"/>
      <c r="C1042" s="18" t="s">
        <v>94</v>
      </c>
      <c r="D1042" s="10"/>
      <c r="F1042" s="6"/>
    </row>
    <row r="1043" ht="15.75" hidden="1" customHeight="1" outlineLevel="1">
      <c r="A1043" s="10"/>
      <c r="B1043" s="10"/>
      <c r="C1043" s="18" t="s">
        <v>95</v>
      </c>
      <c r="D1043" s="10"/>
      <c r="F1043" s="6"/>
    </row>
    <row r="1044" ht="15.75" hidden="1" customHeight="1" outlineLevel="1">
      <c r="A1044" s="10"/>
      <c r="B1044" s="10"/>
      <c r="C1044" s="18" t="s">
        <v>100</v>
      </c>
      <c r="D1044" s="10"/>
      <c r="F1044" s="6"/>
    </row>
    <row r="1045" ht="15.75" hidden="1" customHeight="1" outlineLevel="1">
      <c r="A1045" s="10"/>
      <c r="B1045" s="10"/>
      <c r="C1045" s="18" t="s">
        <v>97</v>
      </c>
      <c r="D1045" s="10"/>
      <c r="F1045" s="20"/>
    </row>
    <row r="1046" ht="15.75" hidden="1" customHeight="1" outlineLevel="1">
      <c r="A1046" s="10"/>
      <c r="B1046" s="10"/>
      <c r="C1046" s="18" t="s">
        <v>147</v>
      </c>
      <c r="D1046" s="10"/>
      <c r="F1046" s="20"/>
    </row>
    <row r="1047" ht="15.75" hidden="1" customHeight="1" outlineLevel="1">
      <c r="A1047" s="10"/>
      <c r="B1047" s="10"/>
      <c r="C1047" s="18" t="s">
        <v>99</v>
      </c>
      <c r="D1047" s="10"/>
      <c r="F1047" s="6"/>
    </row>
    <row r="1048" ht="15.75" hidden="1" customHeight="1" outlineLevel="1">
      <c r="A1048" s="18"/>
      <c r="B1048" s="18" t="s">
        <v>102</v>
      </c>
      <c r="C1048" s="10"/>
      <c r="D1048" s="18" t="s">
        <v>143</v>
      </c>
      <c r="F1048" s="6"/>
    </row>
    <row r="1049" ht="15.75" hidden="1" customHeight="1" outlineLevel="1">
      <c r="A1049" s="18"/>
      <c r="B1049" s="18" t="s">
        <v>31</v>
      </c>
      <c r="C1049" s="10"/>
      <c r="D1049" s="18" t="s">
        <v>9</v>
      </c>
      <c r="F1049" s="6"/>
    </row>
    <row r="1050" ht="15.75" hidden="1" customHeight="1" outlineLevel="1">
      <c r="A1050" s="10"/>
      <c r="B1050" s="10"/>
      <c r="C1050" s="10"/>
      <c r="D1050" s="10"/>
      <c r="F1050" s="10"/>
    </row>
    <row r="1051" ht="15.75" hidden="1" customHeight="1" outlineLevel="1">
      <c r="A1051" s="10"/>
      <c r="B1051" s="10"/>
      <c r="C1051" s="10"/>
      <c r="D1051" s="10"/>
      <c r="F1051" s="10"/>
    </row>
    <row r="1052" ht="15.75" hidden="1" customHeight="1" outlineLevel="1">
      <c r="A1052" s="10"/>
      <c r="B1052" s="10"/>
      <c r="C1052" s="4" t="s">
        <v>122</v>
      </c>
      <c r="D1052" s="10"/>
      <c r="F1052" s="17"/>
    </row>
    <row r="1053" ht="15.75" hidden="1" customHeight="1" outlineLevel="1">
      <c r="A1053" s="18"/>
      <c r="B1053" s="18" t="s">
        <v>1</v>
      </c>
      <c r="C1053" s="10"/>
      <c r="D1053" s="18" t="s">
        <v>2</v>
      </c>
      <c r="F1053" s="10"/>
    </row>
    <row r="1054" ht="15.75" hidden="1" customHeight="1" outlineLevel="1">
      <c r="A1054" s="10"/>
      <c r="B1054" s="10"/>
      <c r="C1054" s="18" t="s">
        <v>130</v>
      </c>
      <c r="D1054" s="10"/>
      <c r="F1054" s="10"/>
    </row>
    <row r="1055" ht="15.75" hidden="1" customHeight="1" outlineLevel="1">
      <c r="A1055" s="10"/>
      <c r="B1055" s="10"/>
      <c r="C1055" s="18" t="s">
        <v>131</v>
      </c>
      <c r="D1055" s="10"/>
      <c r="F1055" s="10"/>
    </row>
    <row r="1056" ht="15.75" hidden="1" customHeight="1" outlineLevel="1">
      <c r="A1056" s="10"/>
      <c r="B1056" s="10"/>
      <c r="C1056" s="18" t="s">
        <v>132</v>
      </c>
      <c r="D1056" s="10"/>
      <c r="F1056" s="10"/>
    </row>
    <row r="1057" ht="15.75" hidden="1" customHeight="1" outlineLevel="1">
      <c r="A1057" s="10"/>
      <c r="B1057" s="10"/>
      <c r="C1057" s="18" t="s">
        <v>133</v>
      </c>
      <c r="D1057" s="10"/>
      <c r="F1057" s="10"/>
    </row>
    <row r="1058" ht="15.75" hidden="1" customHeight="1" outlineLevel="1">
      <c r="A1058" s="10"/>
      <c r="B1058" s="10"/>
      <c r="C1058" s="18" t="s">
        <v>146</v>
      </c>
      <c r="D1058" s="10"/>
      <c r="F1058" s="5"/>
    </row>
    <row r="1059" ht="15.75" hidden="1" customHeight="1" outlineLevel="1">
      <c r="A1059" s="10"/>
      <c r="B1059" s="10"/>
      <c r="C1059" s="18" t="s">
        <v>134</v>
      </c>
      <c r="D1059" s="10"/>
      <c r="F1059" s="10"/>
    </row>
    <row r="1060" ht="15.75" hidden="1" customHeight="1" outlineLevel="1">
      <c r="A1060" s="10"/>
      <c r="B1060" s="10"/>
      <c r="C1060" s="18" t="s">
        <v>135</v>
      </c>
      <c r="D1060" s="10"/>
      <c r="F1060" s="5"/>
    </row>
    <row r="1061" ht="15.75" hidden="1" customHeight="1" outlineLevel="1">
      <c r="A1061" s="10"/>
      <c r="B1061" s="10"/>
      <c r="C1061" s="18" t="s">
        <v>136</v>
      </c>
      <c r="D1061" s="10"/>
      <c r="F1061" s="10"/>
    </row>
    <row r="1062" ht="15.75" hidden="1" customHeight="1" outlineLevel="1">
      <c r="A1062" s="18"/>
      <c r="B1062" s="18" t="s">
        <v>67</v>
      </c>
      <c r="C1062" s="10"/>
      <c r="D1062" s="18" t="s">
        <v>137</v>
      </c>
      <c r="F1062" s="6"/>
    </row>
    <row r="1063" ht="15.75" hidden="1" customHeight="1" outlineLevel="1">
      <c r="A1063" s="18"/>
      <c r="B1063" s="18" t="s">
        <v>28</v>
      </c>
      <c r="C1063" s="10"/>
      <c r="D1063" s="18" t="s">
        <v>4</v>
      </c>
      <c r="F1063" s="10"/>
    </row>
    <row r="1064" ht="15.75" hidden="1" customHeight="1" outlineLevel="1">
      <c r="A1064" s="10"/>
      <c r="B1064" s="10"/>
      <c r="C1064" s="18" t="s">
        <v>138</v>
      </c>
      <c r="D1064" s="10"/>
      <c r="F1064" s="20"/>
    </row>
    <row r="1065" ht="15.75" hidden="1" customHeight="1" outlineLevel="1">
      <c r="A1065" s="10"/>
      <c r="B1065" s="10"/>
      <c r="C1065" s="18" t="s">
        <v>70</v>
      </c>
      <c r="D1065" s="10"/>
      <c r="F1065" s="6"/>
    </row>
    <row r="1066" ht="15.75" hidden="1" customHeight="1" outlineLevel="1">
      <c r="A1066" s="10"/>
      <c r="B1066" s="10"/>
      <c r="C1066" s="18" t="s">
        <v>71</v>
      </c>
      <c r="D1066" s="10"/>
      <c r="F1066" s="20"/>
    </row>
    <row r="1067" ht="15.75" hidden="1" customHeight="1" outlineLevel="1">
      <c r="A1067" s="18"/>
      <c r="B1067" s="18" t="s">
        <v>28</v>
      </c>
      <c r="C1067" s="10"/>
      <c r="D1067" s="18" t="s">
        <v>4</v>
      </c>
      <c r="F1067" s="6"/>
    </row>
    <row r="1068" ht="15.75" hidden="1" customHeight="1" outlineLevel="1">
      <c r="A1068" s="18"/>
      <c r="B1068" s="18" t="s">
        <v>5</v>
      </c>
      <c r="C1068" s="10"/>
      <c r="D1068" s="18" t="s">
        <v>6</v>
      </c>
      <c r="F1068" s="6"/>
    </row>
    <row r="1069" ht="15.75" hidden="1" customHeight="1" outlineLevel="1">
      <c r="A1069" s="18"/>
      <c r="B1069" s="18" t="s">
        <v>29</v>
      </c>
      <c r="C1069" s="10"/>
      <c r="D1069" s="18" t="s">
        <v>30</v>
      </c>
      <c r="F1069" s="10"/>
    </row>
    <row r="1070" ht="15.75" hidden="1" customHeight="1" outlineLevel="1">
      <c r="A1070" s="10"/>
      <c r="B1070" s="10"/>
      <c r="C1070" s="18" t="s">
        <v>72</v>
      </c>
      <c r="D1070" s="10"/>
      <c r="F1070" s="6"/>
    </row>
    <row r="1071" ht="15.75" hidden="1" customHeight="1" outlineLevel="1">
      <c r="A1071" s="10"/>
      <c r="B1071" s="10"/>
      <c r="C1071" s="18" t="s">
        <v>139</v>
      </c>
      <c r="D1071" s="10"/>
      <c r="F1071" s="6"/>
    </row>
    <row r="1072" ht="15.75" hidden="1" customHeight="1" outlineLevel="1">
      <c r="A1072" s="10"/>
      <c r="B1072" s="10"/>
      <c r="C1072" s="18" t="s">
        <v>74</v>
      </c>
      <c r="D1072" s="10"/>
      <c r="F1072" s="6"/>
    </row>
    <row r="1073" ht="15.75" hidden="1" customHeight="1" outlineLevel="1">
      <c r="A1073" s="10"/>
      <c r="B1073" s="10"/>
      <c r="C1073" s="18" t="s">
        <v>76</v>
      </c>
      <c r="D1073" s="10"/>
      <c r="F1073" s="20"/>
    </row>
    <row r="1074" ht="15.75" hidden="1" customHeight="1" outlineLevel="1">
      <c r="A1074" s="10"/>
      <c r="B1074" s="10"/>
      <c r="C1074" s="18" t="s">
        <v>75</v>
      </c>
      <c r="D1074" s="10"/>
      <c r="F1074" s="20"/>
    </row>
    <row r="1075" ht="15.75" hidden="1" customHeight="1" outlineLevel="1">
      <c r="A1075" s="10"/>
      <c r="B1075" s="10"/>
      <c r="C1075" s="18" t="s">
        <v>140</v>
      </c>
      <c r="D1075" s="10"/>
      <c r="F1075" s="6"/>
    </row>
    <row r="1076" ht="15.75" hidden="1" customHeight="1" outlineLevel="1">
      <c r="A1076" s="10"/>
      <c r="B1076" s="10"/>
      <c r="C1076" s="18" t="s">
        <v>141</v>
      </c>
      <c r="D1076" s="10"/>
      <c r="F1076" s="6"/>
    </row>
    <row r="1077" ht="15.75" hidden="1" customHeight="1" outlineLevel="1">
      <c r="A1077" s="10"/>
      <c r="B1077" s="10"/>
      <c r="C1077" s="18" t="s">
        <v>79</v>
      </c>
      <c r="D1077" s="10"/>
      <c r="F1077" s="6"/>
    </row>
    <row r="1078" ht="15.75" hidden="1" customHeight="1" outlineLevel="1">
      <c r="A1078" s="10"/>
      <c r="B1078" s="10"/>
      <c r="C1078" s="18" t="s">
        <v>80</v>
      </c>
      <c r="D1078" s="10"/>
      <c r="F1078" s="6"/>
    </row>
    <row r="1079" ht="15.75" hidden="1" customHeight="1" outlineLevel="1">
      <c r="A1079" s="10"/>
      <c r="B1079" s="10"/>
      <c r="C1079" s="18" t="s">
        <v>81</v>
      </c>
      <c r="D1079" s="10"/>
      <c r="F1079" s="6"/>
    </row>
    <row r="1080" ht="15.75" hidden="1" customHeight="1" outlineLevel="1">
      <c r="A1080" s="10"/>
      <c r="B1080" s="10"/>
      <c r="C1080" s="18" t="s">
        <v>82</v>
      </c>
      <c r="D1080" s="10"/>
      <c r="F1080" s="6"/>
    </row>
    <row r="1081" ht="15.75" hidden="1" customHeight="1" outlineLevel="1">
      <c r="A1081" s="10"/>
      <c r="B1081" s="10"/>
      <c r="C1081" s="18" t="s">
        <v>83</v>
      </c>
      <c r="D1081" s="10"/>
      <c r="F1081" s="6"/>
    </row>
    <row r="1082" ht="15.75" hidden="1" customHeight="1" outlineLevel="1">
      <c r="A1082" s="10"/>
      <c r="B1082" s="10"/>
      <c r="C1082" s="18" t="s">
        <v>84</v>
      </c>
      <c r="D1082" s="10"/>
      <c r="F1082" s="6"/>
    </row>
    <row r="1083" ht="15.75" hidden="1" customHeight="1" outlineLevel="1">
      <c r="A1083" s="10"/>
      <c r="B1083" s="10"/>
      <c r="C1083" s="18" t="s">
        <v>85</v>
      </c>
      <c r="D1083" s="10"/>
      <c r="F1083" s="20"/>
    </row>
    <row r="1084" ht="15.75" hidden="1" customHeight="1" outlineLevel="1">
      <c r="A1084" s="10"/>
      <c r="B1084" s="10"/>
      <c r="C1084" s="18" t="s">
        <v>142</v>
      </c>
      <c r="D1084" s="10"/>
      <c r="F1084" s="6"/>
    </row>
    <row r="1085" ht="15.75" hidden="1" customHeight="1" outlineLevel="1">
      <c r="A1085" s="10"/>
      <c r="B1085" s="10"/>
      <c r="C1085" s="18" t="s">
        <v>89</v>
      </c>
      <c r="D1085" s="10"/>
      <c r="F1085" s="6"/>
    </row>
    <row r="1086" ht="15.75" hidden="1" customHeight="1" outlineLevel="1">
      <c r="A1086" s="10"/>
      <c r="B1086" s="10"/>
      <c r="C1086" s="18" t="s">
        <v>87</v>
      </c>
      <c r="D1086" s="10"/>
      <c r="F1086" s="6"/>
    </row>
    <row r="1087" ht="15.75" hidden="1" customHeight="1" outlineLevel="1">
      <c r="A1087" s="10"/>
      <c r="B1087" s="10"/>
      <c r="C1087" s="18" t="s">
        <v>88</v>
      </c>
      <c r="D1087" s="10"/>
      <c r="F1087" s="20"/>
    </row>
    <row r="1088" ht="15.75" hidden="1" customHeight="1" outlineLevel="1">
      <c r="A1088" s="10"/>
      <c r="B1088" s="10"/>
      <c r="C1088" s="18" t="s">
        <v>90</v>
      </c>
      <c r="D1088" s="10"/>
      <c r="F1088" s="20"/>
    </row>
    <row r="1089" ht="15.75" hidden="1" customHeight="1" outlineLevel="1">
      <c r="A1089" s="10"/>
      <c r="B1089" s="10"/>
      <c r="C1089" s="18" t="s">
        <v>91</v>
      </c>
      <c r="D1089" s="10"/>
      <c r="F1089" s="6"/>
    </row>
    <row r="1090" ht="15.75" hidden="1" customHeight="1" outlineLevel="1">
      <c r="A1090" s="10"/>
      <c r="B1090" s="10"/>
      <c r="C1090" s="18" t="s">
        <v>92</v>
      </c>
      <c r="D1090" s="10"/>
      <c r="F1090" s="6"/>
    </row>
    <row r="1091" ht="15.75" hidden="1" customHeight="1" outlineLevel="1">
      <c r="A1091" s="10"/>
      <c r="B1091" s="10"/>
      <c r="C1091" s="18" t="s">
        <v>93</v>
      </c>
      <c r="D1091" s="10"/>
      <c r="F1091" s="20"/>
    </row>
    <row r="1092" ht="15.75" hidden="1" customHeight="1" outlineLevel="1">
      <c r="A1092" s="10"/>
      <c r="B1092" s="10"/>
      <c r="C1092" s="18" t="s">
        <v>94</v>
      </c>
      <c r="D1092" s="10"/>
      <c r="F1092" s="6"/>
    </row>
    <row r="1093" ht="15.75" hidden="1" customHeight="1" outlineLevel="1">
      <c r="A1093" s="10"/>
      <c r="B1093" s="10"/>
      <c r="C1093" s="18" t="s">
        <v>95</v>
      </c>
      <c r="D1093" s="10"/>
      <c r="F1093" s="6"/>
    </row>
    <row r="1094" ht="15.75" hidden="1" customHeight="1" outlineLevel="1">
      <c r="A1094" s="10"/>
      <c r="B1094" s="10"/>
      <c r="C1094" s="18" t="s">
        <v>100</v>
      </c>
      <c r="D1094" s="10"/>
      <c r="F1094" s="6"/>
    </row>
    <row r="1095" ht="15.75" hidden="1" customHeight="1" outlineLevel="1">
      <c r="A1095" s="10"/>
      <c r="B1095" s="10"/>
      <c r="C1095" s="18" t="s">
        <v>97</v>
      </c>
      <c r="D1095" s="10"/>
      <c r="F1095" s="20"/>
    </row>
    <row r="1096" ht="15.75" hidden="1" customHeight="1" outlineLevel="1">
      <c r="A1096" s="10"/>
      <c r="B1096" s="10"/>
      <c r="C1096" s="18" t="s">
        <v>147</v>
      </c>
      <c r="D1096" s="10"/>
      <c r="F1096" s="20"/>
    </row>
    <row r="1097" ht="15.75" hidden="1" customHeight="1" outlineLevel="1">
      <c r="A1097" s="10"/>
      <c r="B1097" s="10"/>
      <c r="C1097" s="18" t="s">
        <v>99</v>
      </c>
      <c r="D1097" s="10"/>
      <c r="F1097" s="6"/>
    </row>
    <row r="1098" ht="15.75" hidden="1" customHeight="1" outlineLevel="1">
      <c r="A1098" s="18"/>
      <c r="B1098" s="18" t="s">
        <v>102</v>
      </c>
      <c r="C1098" s="10"/>
      <c r="D1098" s="18" t="s">
        <v>143</v>
      </c>
      <c r="F1098" s="6"/>
    </row>
    <row r="1099" ht="15.75" hidden="1" customHeight="1" outlineLevel="1">
      <c r="A1099" s="18"/>
      <c r="B1099" s="18" t="s">
        <v>31</v>
      </c>
      <c r="C1099" s="10"/>
      <c r="D1099" s="18" t="s">
        <v>9</v>
      </c>
      <c r="F1099" s="6"/>
    </row>
    <row r="1100" ht="15.75" hidden="1" customHeight="1" outlineLevel="1">
      <c r="A1100" s="10"/>
      <c r="B1100" s="10"/>
      <c r="C1100" s="10"/>
      <c r="D1100" s="18" t="s">
        <v>149</v>
      </c>
      <c r="F1100" s="10"/>
    </row>
    <row r="1101" ht="15.75" hidden="1" customHeight="1" outlineLevel="1">
      <c r="A1101" s="10"/>
      <c r="B1101" s="10"/>
      <c r="C1101" s="10"/>
      <c r="D1101" s="18" t="s">
        <v>150</v>
      </c>
      <c r="F1101" s="10"/>
    </row>
    <row r="1102" ht="15.75" hidden="1" customHeight="1" outlineLevel="1">
      <c r="A1102" s="10"/>
      <c r="B1102" s="10"/>
      <c r="C1102" s="4" t="s">
        <v>126</v>
      </c>
      <c r="D1102" s="10"/>
      <c r="F1102" s="17"/>
    </row>
    <row r="1103" ht="15.75" hidden="1" customHeight="1" outlineLevel="1">
      <c r="A1103" s="18"/>
      <c r="B1103" s="18" t="s">
        <v>1</v>
      </c>
      <c r="C1103" s="10"/>
      <c r="D1103" s="18" t="s">
        <v>2</v>
      </c>
      <c r="F1103" s="10"/>
    </row>
    <row r="1104" ht="15.75" hidden="1" customHeight="1" outlineLevel="1">
      <c r="A1104" s="10"/>
      <c r="B1104" s="10"/>
      <c r="C1104" s="18" t="s">
        <v>130</v>
      </c>
      <c r="D1104" s="10"/>
      <c r="F1104" s="10"/>
    </row>
    <row r="1105" ht="15.75" hidden="1" customHeight="1" outlineLevel="1">
      <c r="A1105" s="10"/>
      <c r="B1105" s="10"/>
      <c r="C1105" s="18" t="s">
        <v>131</v>
      </c>
      <c r="D1105" s="10"/>
      <c r="F1105" s="10"/>
    </row>
    <row r="1106" ht="15.75" hidden="1" customHeight="1" outlineLevel="1">
      <c r="A1106" s="10"/>
      <c r="B1106" s="10"/>
      <c r="C1106" s="18" t="s">
        <v>132</v>
      </c>
      <c r="D1106" s="10"/>
      <c r="F1106" s="10"/>
    </row>
    <row r="1107" ht="15.75" hidden="1" customHeight="1" outlineLevel="1">
      <c r="A1107" s="10"/>
      <c r="B1107" s="10"/>
      <c r="C1107" s="18" t="s">
        <v>133</v>
      </c>
      <c r="D1107" s="10"/>
      <c r="F1107" s="10"/>
    </row>
    <row r="1108" ht="15.75" hidden="1" customHeight="1" outlineLevel="1">
      <c r="A1108" s="10"/>
      <c r="B1108" s="10"/>
      <c r="C1108" s="18" t="s">
        <v>135</v>
      </c>
      <c r="D1108" s="10"/>
      <c r="F1108" s="10"/>
    </row>
    <row r="1109" ht="15.75" hidden="1" customHeight="1" outlineLevel="1">
      <c r="A1109" s="10"/>
      <c r="B1109" s="10"/>
      <c r="C1109" s="18" t="s">
        <v>134</v>
      </c>
      <c r="D1109" s="10"/>
      <c r="F1109" s="10"/>
    </row>
    <row r="1110" ht="15.75" hidden="1" customHeight="1" outlineLevel="1">
      <c r="A1110" s="10"/>
      <c r="B1110" s="10"/>
      <c r="C1110" s="18" t="s">
        <v>136</v>
      </c>
      <c r="D1110" s="10"/>
      <c r="F1110" s="10"/>
    </row>
    <row r="1111" ht="15.75" hidden="1" customHeight="1" outlineLevel="1">
      <c r="A1111" s="18"/>
      <c r="B1111" s="18" t="s">
        <v>67</v>
      </c>
      <c r="C1111" s="10"/>
      <c r="D1111" s="18" t="s">
        <v>137</v>
      </c>
      <c r="F1111" s="6"/>
    </row>
    <row r="1112" ht="15.75" hidden="1" customHeight="1" outlineLevel="1">
      <c r="A1112" s="18"/>
      <c r="B1112" s="18" t="s">
        <v>28</v>
      </c>
      <c r="C1112" s="10"/>
      <c r="D1112" s="18" t="s">
        <v>4</v>
      </c>
      <c r="F1112" s="10"/>
    </row>
    <row r="1113" ht="15.75" hidden="1" customHeight="1" outlineLevel="1">
      <c r="A1113" s="10"/>
      <c r="B1113" s="10"/>
      <c r="C1113" s="18" t="s">
        <v>138</v>
      </c>
      <c r="D1113" s="10"/>
      <c r="F1113" s="20"/>
    </row>
    <row r="1114" ht="15.75" hidden="1" customHeight="1" outlineLevel="1">
      <c r="A1114" s="10"/>
      <c r="B1114" s="10"/>
      <c r="C1114" s="18" t="s">
        <v>70</v>
      </c>
      <c r="D1114" s="10"/>
      <c r="F1114" s="6"/>
    </row>
    <row r="1115" ht="15.75" hidden="1" customHeight="1" outlineLevel="1">
      <c r="A1115" s="10"/>
      <c r="B1115" s="10"/>
      <c r="C1115" s="18" t="s">
        <v>71</v>
      </c>
      <c r="D1115" s="10"/>
      <c r="F1115" s="20"/>
    </row>
    <row r="1116" ht="15.75" hidden="1" customHeight="1" outlineLevel="1">
      <c r="A1116" s="18"/>
      <c r="B1116" s="18" t="s">
        <v>28</v>
      </c>
      <c r="C1116" s="10"/>
      <c r="D1116" s="18" t="s">
        <v>4</v>
      </c>
      <c r="F1116" s="6"/>
    </row>
    <row r="1117" ht="15.75" hidden="1" customHeight="1" outlineLevel="1">
      <c r="A1117" s="18"/>
      <c r="B1117" s="18" t="s">
        <v>5</v>
      </c>
      <c r="C1117" s="10"/>
      <c r="D1117" s="18" t="s">
        <v>6</v>
      </c>
      <c r="F1117" s="6"/>
    </row>
    <row r="1118" ht="15.75" hidden="1" customHeight="1" outlineLevel="1">
      <c r="A1118" s="18"/>
      <c r="B1118" s="18" t="s">
        <v>29</v>
      </c>
      <c r="C1118" s="10"/>
      <c r="D1118" s="18" t="s">
        <v>30</v>
      </c>
      <c r="F1118" s="10"/>
    </row>
    <row r="1119" ht="15.75" hidden="1" customHeight="1" outlineLevel="1">
      <c r="A1119" s="10"/>
      <c r="B1119" s="10"/>
      <c r="C1119" s="18" t="s">
        <v>72</v>
      </c>
      <c r="D1119" s="10"/>
      <c r="F1119" s="6"/>
    </row>
    <row r="1120" ht="15.75" hidden="1" customHeight="1" outlineLevel="1">
      <c r="A1120" s="10"/>
      <c r="B1120" s="10"/>
      <c r="C1120" s="18" t="s">
        <v>139</v>
      </c>
      <c r="D1120" s="10"/>
      <c r="F1120" s="6"/>
    </row>
    <row r="1121" ht="15.75" hidden="1" customHeight="1" outlineLevel="1">
      <c r="A1121" s="10"/>
      <c r="B1121" s="10"/>
      <c r="C1121" s="18" t="s">
        <v>74</v>
      </c>
      <c r="D1121" s="10"/>
      <c r="F1121" s="6"/>
    </row>
    <row r="1122" ht="15.75" hidden="1" customHeight="1" outlineLevel="1">
      <c r="A1122" s="10"/>
      <c r="B1122" s="10"/>
      <c r="C1122" s="18" t="s">
        <v>76</v>
      </c>
      <c r="D1122" s="10"/>
      <c r="F1122" s="20"/>
    </row>
    <row r="1123" ht="15.75" hidden="1" customHeight="1" outlineLevel="1">
      <c r="A1123" s="10"/>
      <c r="B1123" s="10"/>
      <c r="C1123" s="18" t="s">
        <v>75</v>
      </c>
      <c r="D1123" s="10"/>
      <c r="F1123" s="20"/>
    </row>
    <row r="1124" ht="15.75" hidden="1" customHeight="1" outlineLevel="1">
      <c r="A1124" s="10"/>
      <c r="B1124" s="10"/>
      <c r="C1124" s="18" t="s">
        <v>140</v>
      </c>
      <c r="D1124" s="10"/>
      <c r="F1124" s="6"/>
    </row>
    <row r="1125" ht="15.75" hidden="1" customHeight="1" outlineLevel="1">
      <c r="A1125" s="10"/>
      <c r="B1125" s="10"/>
      <c r="C1125" s="18" t="s">
        <v>141</v>
      </c>
      <c r="D1125" s="10"/>
      <c r="F1125" s="6"/>
    </row>
    <row r="1126" ht="15.75" hidden="1" customHeight="1" outlineLevel="1">
      <c r="A1126" s="10"/>
      <c r="B1126" s="10"/>
      <c r="C1126" s="18" t="s">
        <v>79</v>
      </c>
      <c r="D1126" s="10"/>
      <c r="F1126" s="6"/>
    </row>
    <row r="1127" ht="15.75" hidden="1" customHeight="1" outlineLevel="1">
      <c r="A1127" s="10"/>
      <c r="B1127" s="10"/>
      <c r="C1127" s="18" t="s">
        <v>80</v>
      </c>
      <c r="D1127" s="10"/>
      <c r="F1127" s="6"/>
    </row>
    <row r="1128" ht="15.75" hidden="1" customHeight="1" outlineLevel="1">
      <c r="A1128" s="10"/>
      <c r="B1128" s="10"/>
      <c r="C1128" s="18" t="s">
        <v>81</v>
      </c>
      <c r="D1128" s="10"/>
      <c r="F1128" s="6"/>
    </row>
    <row r="1129" ht="15.75" hidden="1" customHeight="1" outlineLevel="1">
      <c r="A1129" s="10"/>
      <c r="B1129" s="10"/>
      <c r="C1129" s="18" t="s">
        <v>82</v>
      </c>
      <c r="D1129" s="10"/>
      <c r="F1129" s="6"/>
    </row>
    <row r="1130" ht="15.75" hidden="1" customHeight="1" outlineLevel="1">
      <c r="A1130" s="10"/>
      <c r="B1130" s="10"/>
      <c r="C1130" s="18" t="s">
        <v>83</v>
      </c>
      <c r="D1130" s="10"/>
      <c r="F1130" s="6"/>
    </row>
    <row r="1131" ht="15.75" hidden="1" customHeight="1" outlineLevel="1">
      <c r="A1131" s="10"/>
      <c r="B1131" s="10"/>
      <c r="C1131" s="18" t="s">
        <v>84</v>
      </c>
      <c r="D1131" s="10"/>
      <c r="F1131" s="6"/>
    </row>
    <row r="1132" ht="15.75" hidden="1" customHeight="1" outlineLevel="1">
      <c r="A1132" s="10"/>
      <c r="B1132" s="10"/>
      <c r="C1132" s="18" t="s">
        <v>85</v>
      </c>
      <c r="D1132" s="10"/>
      <c r="F1132" s="20"/>
    </row>
    <row r="1133" ht="15.75" hidden="1" customHeight="1" outlineLevel="1">
      <c r="A1133" s="10"/>
      <c r="B1133" s="10"/>
      <c r="C1133" s="18" t="s">
        <v>142</v>
      </c>
      <c r="D1133" s="10"/>
      <c r="F1133" s="6"/>
    </row>
    <row r="1134" ht="15.75" hidden="1" customHeight="1" outlineLevel="1">
      <c r="A1134" s="10"/>
      <c r="B1134" s="10"/>
      <c r="C1134" s="18" t="s">
        <v>89</v>
      </c>
      <c r="D1134" s="10"/>
      <c r="F1134" s="6"/>
    </row>
    <row r="1135" ht="15.75" hidden="1" customHeight="1" outlineLevel="1">
      <c r="A1135" s="10"/>
      <c r="B1135" s="10"/>
      <c r="C1135" s="18" t="s">
        <v>87</v>
      </c>
      <c r="D1135" s="10"/>
      <c r="F1135" s="6"/>
    </row>
    <row r="1136" ht="15.75" hidden="1" customHeight="1" outlineLevel="1">
      <c r="A1136" s="10"/>
      <c r="B1136" s="10"/>
      <c r="C1136" s="18" t="s">
        <v>88</v>
      </c>
      <c r="D1136" s="10"/>
      <c r="F1136" s="20"/>
    </row>
    <row r="1137" ht="15.75" hidden="1" customHeight="1" outlineLevel="1">
      <c r="A1137" s="10"/>
      <c r="B1137" s="10"/>
      <c r="C1137" s="18" t="s">
        <v>90</v>
      </c>
      <c r="D1137" s="10"/>
      <c r="F1137" s="20"/>
    </row>
    <row r="1138" ht="15.75" hidden="1" customHeight="1" outlineLevel="1">
      <c r="A1138" s="10"/>
      <c r="B1138" s="10"/>
      <c r="C1138" s="18" t="s">
        <v>91</v>
      </c>
      <c r="D1138" s="10"/>
      <c r="F1138" s="6"/>
    </row>
    <row r="1139" ht="15.75" hidden="1" customHeight="1" outlineLevel="1">
      <c r="A1139" s="10"/>
      <c r="B1139" s="10"/>
      <c r="C1139" s="18" t="s">
        <v>92</v>
      </c>
      <c r="D1139" s="10"/>
      <c r="F1139" s="6"/>
    </row>
    <row r="1140" ht="15.75" hidden="1" customHeight="1" outlineLevel="1">
      <c r="A1140" s="10"/>
      <c r="B1140" s="10"/>
      <c r="C1140" s="18" t="s">
        <v>93</v>
      </c>
      <c r="D1140" s="10"/>
      <c r="F1140" s="6"/>
    </row>
    <row r="1141" ht="15.75" hidden="1" customHeight="1" outlineLevel="1">
      <c r="A1141" s="10"/>
      <c r="B1141" s="10"/>
      <c r="C1141" s="18" t="s">
        <v>94</v>
      </c>
      <c r="D1141" s="10"/>
      <c r="F1141" s="20"/>
    </row>
    <row r="1142" ht="15.75" hidden="1" customHeight="1" outlineLevel="1">
      <c r="A1142" s="10"/>
      <c r="B1142" s="10"/>
      <c r="C1142" s="18" t="s">
        <v>95</v>
      </c>
      <c r="D1142" s="10"/>
      <c r="F1142" s="6"/>
    </row>
    <row r="1143" ht="15.75" hidden="1" customHeight="1" outlineLevel="1">
      <c r="A1143" s="10"/>
      <c r="B1143" s="10"/>
      <c r="C1143" s="18" t="s">
        <v>100</v>
      </c>
      <c r="D1143" s="10"/>
      <c r="F1143" s="6"/>
    </row>
    <row r="1144" ht="15.75" hidden="1" customHeight="1" outlineLevel="1">
      <c r="A1144" s="10"/>
      <c r="B1144" s="10"/>
      <c r="C1144" s="18" t="s">
        <v>97</v>
      </c>
      <c r="D1144" s="10"/>
      <c r="F1144" s="6"/>
    </row>
    <row r="1145" ht="15.75" hidden="1" customHeight="1" outlineLevel="1">
      <c r="A1145" s="10"/>
      <c r="B1145" s="10"/>
      <c r="C1145" s="18" t="s">
        <v>147</v>
      </c>
      <c r="D1145" s="10"/>
      <c r="F1145" s="6"/>
    </row>
    <row r="1146" ht="15.75" hidden="1" customHeight="1" outlineLevel="1">
      <c r="A1146" s="10"/>
      <c r="B1146" s="10"/>
      <c r="C1146" s="18" t="s">
        <v>99</v>
      </c>
      <c r="D1146" s="10"/>
      <c r="F1146" s="6"/>
    </row>
    <row r="1147" ht="15.75" hidden="1" customHeight="1" outlineLevel="1">
      <c r="A1147" s="18"/>
      <c r="B1147" s="18" t="s">
        <v>102</v>
      </c>
      <c r="C1147" s="10"/>
      <c r="D1147" s="18" t="s">
        <v>143</v>
      </c>
      <c r="F1147" s="6"/>
    </row>
    <row r="1148" ht="15.75" hidden="1" customHeight="1" outlineLevel="1">
      <c r="A1148" s="18"/>
      <c r="B1148" s="18" t="s">
        <v>31</v>
      </c>
      <c r="C1148" s="10"/>
      <c r="D1148" s="18" t="s">
        <v>9</v>
      </c>
      <c r="F1148" s="6"/>
    </row>
    <row r="1149" ht="15.75" hidden="1" customHeight="1" outlineLevel="1">
      <c r="A1149" s="10"/>
      <c r="B1149" s="10"/>
      <c r="C1149" s="10"/>
      <c r="D1149" s="10"/>
      <c r="F1149" s="10"/>
    </row>
    <row r="1150" ht="15.75" hidden="1" customHeight="1" outlineLevel="1">
      <c r="A1150" s="10"/>
      <c r="B1150" s="10"/>
      <c r="C1150" s="4" t="s">
        <v>127</v>
      </c>
      <c r="D1150" s="10"/>
      <c r="F1150" s="17"/>
    </row>
    <row r="1151" ht="15.75" hidden="1" customHeight="1" outlineLevel="1">
      <c r="A1151" s="18"/>
      <c r="B1151" s="18" t="s">
        <v>1</v>
      </c>
      <c r="C1151" s="10"/>
      <c r="D1151" s="18" t="s">
        <v>2</v>
      </c>
      <c r="F1151" s="10"/>
    </row>
    <row r="1152" ht="15.75" hidden="1" customHeight="1" outlineLevel="1">
      <c r="A1152" s="10"/>
      <c r="B1152" s="10"/>
      <c r="C1152" s="18" t="s">
        <v>130</v>
      </c>
      <c r="D1152" s="10"/>
      <c r="F1152" s="10"/>
    </row>
    <row r="1153" ht="15.75" hidden="1" customHeight="1" outlineLevel="1">
      <c r="A1153" s="10"/>
      <c r="B1153" s="10"/>
      <c r="C1153" s="18" t="s">
        <v>131</v>
      </c>
      <c r="D1153" s="10"/>
      <c r="F1153" s="10"/>
    </row>
    <row r="1154" ht="15.75" hidden="1" customHeight="1" outlineLevel="1">
      <c r="A1154" s="10"/>
      <c r="B1154" s="10"/>
      <c r="C1154" s="18" t="s">
        <v>132</v>
      </c>
      <c r="D1154" s="10"/>
      <c r="F1154" s="10"/>
    </row>
    <row r="1155" ht="15.75" hidden="1" customHeight="1" outlineLevel="1">
      <c r="A1155" s="10"/>
      <c r="B1155" s="10"/>
      <c r="C1155" s="18" t="s">
        <v>133</v>
      </c>
      <c r="D1155" s="10"/>
      <c r="F1155" s="10"/>
    </row>
    <row r="1156" ht="15.75" hidden="1" customHeight="1" outlineLevel="1">
      <c r="A1156" s="10"/>
      <c r="B1156" s="10"/>
      <c r="C1156" s="18" t="s">
        <v>134</v>
      </c>
      <c r="D1156" s="10"/>
      <c r="F1156" s="10"/>
    </row>
    <row r="1157" ht="15.75" hidden="1" customHeight="1" outlineLevel="1">
      <c r="A1157" s="10"/>
      <c r="B1157" s="10"/>
      <c r="C1157" s="18" t="s">
        <v>135</v>
      </c>
      <c r="D1157" s="10"/>
      <c r="F1157" s="10"/>
    </row>
    <row r="1158" ht="15.75" hidden="1" customHeight="1" outlineLevel="1">
      <c r="A1158" s="10"/>
      <c r="B1158" s="10"/>
      <c r="C1158" s="18" t="s">
        <v>136</v>
      </c>
      <c r="D1158" s="10"/>
      <c r="F1158" s="10"/>
    </row>
    <row r="1159" ht="15.75" hidden="1" customHeight="1" outlineLevel="1">
      <c r="A1159" s="18"/>
      <c r="B1159" s="18" t="s">
        <v>67</v>
      </c>
      <c r="C1159" s="10"/>
      <c r="D1159" s="18" t="s">
        <v>137</v>
      </c>
      <c r="F1159" s="6"/>
    </row>
    <row r="1160" ht="15.75" hidden="1" customHeight="1" outlineLevel="1">
      <c r="A1160" s="18"/>
      <c r="B1160" s="18" t="s">
        <v>28</v>
      </c>
      <c r="C1160" s="10"/>
      <c r="D1160" s="18" t="s">
        <v>4</v>
      </c>
      <c r="F1160" s="10"/>
    </row>
    <row r="1161" ht="15.75" hidden="1" customHeight="1" outlineLevel="1">
      <c r="A1161" s="10"/>
      <c r="B1161" s="10"/>
      <c r="C1161" s="18" t="s">
        <v>138</v>
      </c>
      <c r="D1161" s="10"/>
      <c r="F1161" s="20"/>
    </row>
    <row r="1162" ht="15.75" hidden="1" customHeight="1" outlineLevel="1">
      <c r="A1162" s="10"/>
      <c r="B1162" s="10"/>
      <c r="C1162" s="18" t="s">
        <v>70</v>
      </c>
      <c r="D1162" s="10"/>
      <c r="F1162" s="6"/>
    </row>
    <row r="1163" ht="15.75" hidden="1" customHeight="1" outlineLevel="1">
      <c r="A1163" s="10"/>
      <c r="B1163" s="10"/>
      <c r="C1163" s="18" t="s">
        <v>71</v>
      </c>
      <c r="D1163" s="10"/>
      <c r="F1163" s="6"/>
    </row>
    <row r="1164" ht="15.75" hidden="1" customHeight="1" outlineLevel="1">
      <c r="A1164" s="18"/>
      <c r="B1164" s="18" t="s">
        <v>28</v>
      </c>
      <c r="C1164" s="10"/>
      <c r="D1164" s="18" t="s">
        <v>4</v>
      </c>
      <c r="F1164" s="6"/>
    </row>
    <row r="1165" ht="15.75" hidden="1" customHeight="1" outlineLevel="1">
      <c r="A1165" s="18"/>
      <c r="B1165" s="18" t="s">
        <v>5</v>
      </c>
      <c r="C1165" s="10"/>
      <c r="D1165" s="18" t="s">
        <v>6</v>
      </c>
      <c r="F1165" s="6"/>
    </row>
    <row r="1166" ht="15.75" hidden="1" customHeight="1" outlineLevel="1">
      <c r="A1166" s="18"/>
      <c r="B1166" s="18" t="s">
        <v>29</v>
      </c>
      <c r="C1166" s="10"/>
      <c r="D1166" s="18" t="s">
        <v>30</v>
      </c>
      <c r="F1166" s="10"/>
    </row>
    <row r="1167" ht="15.75" hidden="1" customHeight="1" outlineLevel="1">
      <c r="A1167" s="10"/>
      <c r="B1167" s="10"/>
      <c r="C1167" s="18" t="s">
        <v>72</v>
      </c>
      <c r="D1167" s="10"/>
      <c r="F1167" s="6"/>
    </row>
    <row r="1168" ht="15.75" hidden="1" customHeight="1" outlineLevel="1">
      <c r="A1168" s="10"/>
      <c r="B1168" s="10"/>
      <c r="C1168" s="18" t="s">
        <v>139</v>
      </c>
      <c r="D1168" s="10"/>
      <c r="F1168" s="6"/>
    </row>
    <row r="1169" ht="15.75" hidden="1" customHeight="1" outlineLevel="1">
      <c r="A1169" s="10"/>
      <c r="B1169" s="10"/>
      <c r="C1169" s="18" t="s">
        <v>74</v>
      </c>
      <c r="D1169" s="10"/>
      <c r="F1169" s="6"/>
    </row>
    <row r="1170" ht="15.75" hidden="1" customHeight="1" outlineLevel="1">
      <c r="A1170" s="10"/>
      <c r="B1170" s="10"/>
      <c r="C1170" s="18" t="s">
        <v>76</v>
      </c>
      <c r="D1170" s="10"/>
      <c r="F1170" s="20"/>
    </row>
    <row r="1171" ht="15.75" hidden="1" customHeight="1" outlineLevel="1">
      <c r="A1171" s="10"/>
      <c r="B1171" s="10"/>
      <c r="C1171" s="18" t="s">
        <v>75</v>
      </c>
      <c r="D1171" s="10"/>
      <c r="F1171" s="20"/>
    </row>
    <row r="1172" ht="15.75" hidden="1" customHeight="1" outlineLevel="1">
      <c r="A1172" s="10"/>
      <c r="B1172" s="10"/>
      <c r="C1172" s="18" t="s">
        <v>140</v>
      </c>
      <c r="D1172" s="10"/>
      <c r="F1172" s="6"/>
    </row>
    <row r="1173" ht="15.75" hidden="1" customHeight="1" outlineLevel="1">
      <c r="A1173" s="10"/>
      <c r="B1173" s="10"/>
      <c r="C1173" s="18" t="s">
        <v>141</v>
      </c>
      <c r="D1173" s="10"/>
      <c r="F1173" s="6"/>
    </row>
    <row r="1174" ht="15.75" hidden="1" customHeight="1" outlineLevel="1">
      <c r="A1174" s="10"/>
      <c r="B1174" s="10"/>
      <c r="C1174" s="18" t="s">
        <v>79</v>
      </c>
      <c r="D1174" s="10"/>
      <c r="F1174" s="6"/>
    </row>
    <row r="1175" ht="15.75" hidden="1" customHeight="1" outlineLevel="1">
      <c r="A1175" s="10"/>
      <c r="B1175" s="10"/>
      <c r="C1175" s="18" t="s">
        <v>80</v>
      </c>
      <c r="D1175" s="10"/>
      <c r="F1175" s="6"/>
    </row>
    <row r="1176" ht="15.75" hidden="1" customHeight="1" outlineLevel="1">
      <c r="A1176" s="10"/>
      <c r="B1176" s="10"/>
      <c r="C1176" s="18" t="s">
        <v>81</v>
      </c>
      <c r="D1176" s="10"/>
      <c r="F1176" s="6"/>
    </row>
    <row r="1177" ht="15.75" hidden="1" customHeight="1" outlineLevel="1">
      <c r="A1177" s="10"/>
      <c r="B1177" s="10"/>
      <c r="C1177" s="18" t="s">
        <v>82</v>
      </c>
      <c r="D1177" s="10"/>
      <c r="F1177" s="6"/>
    </row>
    <row r="1178" ht="15.75" hidden="1" customHeight="1" outlineLevel="1">
      <c r="A1178" s="10"/>
      <c r="B1178" s="10"/>
      <c r="C1178" s="18" t="s">
        <v>83</v>
      </c>
      <c r="D1178" s="10"/>
      <c r="F1178" s="6"/>
    </row>
    <row r="1179" ht="15.75" hidden="1" customHeight="1" outlineLevel="1">
      <c r="A1179" s="10"/>
      <c r="B1179" s="10"/>
      <c r="C1179" s="18" t="s">
        <v>84</v>
      </c>
      <c r="D1179" s="10"/>
      <c r="F1179" s="6"/>
    </row>
    <row r="1180" ht="15.75" hidden="1" customHeight="1" outlineLevel="1">
      <c r="A1180" s="10"/>
      <c r="B1180" s="10"/>
      <c r="C1180" s="18" t="s">
        <v>85</v>
      </c>
      <c r="D1180" s="10"/>
      <c r="F1180" s="20"/>
    </row>
    <row r="1181" ht="15.75" hidden="1" customHeight="1" outlineLevel="1">
      <c r="A1181" s="10"/>
      <c r="B1181" s="10"/>
      <c r="C1181" s="18" t="s">
        <v>142</v>
      </c>
      <c r="D1181" s="10"/>
      <c r="F1181" s="6"/>
    </row>
    <row r="1182" ht="15.75" hidden="1" customHeight="1" outlineLevel="1">
      <c r="A1182" s="10"/>
      <c r="B1182" s="10"/>
      <c r="C1182" s="18" t="s">
        <v>89</v>
      </c>
      <c r="D1182" s="10"/>
      <c r="F1182" s="6"/>
    </row>
    <row r="1183" ht="15.75" hidden="1" customHeight="1" outlineLevel="1">
      <c r="A1183" s="10"/>
      <c r="B1183" s="10"/>
      <c r="C1183" s="18" t="s">
        <v>87</v>
      </c>
      <c r="D1183" s="10"/>
      <c r="F1183" s="6"/>
    </row>
    <row r="1184" ht="15.75" hidden="1" customHeight="1" outlineLevel="1">
      <c r="A1184" s="10"/>
      <c r="B1184" s="10"/>
      <c r="C1184" s="18" t="s">
        <v>88</v>
      </c>
      <c r="D1184" s="10"/>
      <c r="F1184" s="20"/>
    </row>
    <row r="1185" ht="15.75" hidden="1" customHeight="1" outlineLevel="1">
      <c r="A1185" s="10"/>
      <c r="B1185" s="10"/>
      <c r="C1185" s="18" t="s">
        <v>90</v>
      </c>
      <c r="D1185" s="10"/>
      <c r="F1185" s="20"/>
    </row>
    <row r="1186" ht="15.75" hidden="1" customHeight="1" outlineLevel="1">
      <c r="A1186" s="10"/>
      <c r="B1186" s="10"/>
      <c r="C1186" s="18" t="s">
        <v>91</v>
      </c>
      <c r="D1186" s="10"/>
      <c r="F1186" s="6"/>
    </row>
    <row r="1187" ht="15.75" hidden="1" customHeight="1" outlineLevel="1">
      <c r="A1187" s="10"/>
      <c r="B1187" s="10"/>
      <c r="C1187" s="18" t="s">
        <v>92</v>
      </c>
      <c r="D1187" s="10"/>
      <c r="F1187" s="6"/>
    </row>
    <row r="1188" ht="15.75" hidden="1" customHeight="1" outlineLevel="1">
      <c r="A1188" s="10"/>
      <c r="B1188" s="10"/>
      <c r="C1188" s="18" t="s">
        <v>93</v>
      </c>
      <c r="D1188" s="10"/>
      <c r="F1188" s="20"/>
    </row>
    <row r="1189" ht="15.75" hidden="1" customHeight="1" outlineLevel="1">
      <c r="A1189" s="10"/>
      <c r="B1189" s="10"/>
      <c r="C1189" s="18" t="s">
        <v>94</v>
      </c>
      <c r="D1189" s="10"/>
      <c r="F1189" s="20"/>
    </row>
    <row r="1190" ht="15.75" hidden="1" customHeight="1" outlineLevel="1">
      <c r="A1190" s="10"/>
      <c r="B1190" s="10"/>
      <c r="C1190" s="18" t="s">
        <v>95</v>
      </c>
      <c r="D1190" s="10"/>
      <c r="F1190" s="6"/>
    </row>
    <row r="1191" ht="15.75" hidden="1" customHeight="1" outlineLevel="1">
      <c r="A1191" s="10"/>
      <c r="B1191" s="10"/>
      <c r="C1191" s="18" t="s">
        <v>100</v>
      </c>
      <c r="D1191" s="10"/>
      <c r="F1191" s="6"/>
    </row>
    <row r="1192" ht="15.75" hidden="1" customHeight="1" outlineLevel="1">
      <c r="A1192" s="10"/>
      <c r="B1192" s="10"/>
      <c r="C1192" s="18" t="s">
        <v>97</v>
      </c>
      <c r="D1192" s="10"/>
      <c r="F1192" s="20"/>
    </row>
    <row r="1193" ht="15.75" hidden="1" customHeight="1" outlineLevel="1">
      <c r="A1193" s="10"/>
      <c r="B1193" s="10"/>
      <c r="C1193" s="18" t="s">
        <v>147</v>
      </c>
      <c r="D1193" s="10"/>
      <c r="F1193" s="20"/>
    </row>
    <row r="1194" ht="15.75" hidden="1" customHeight="1" outlineLevel="1">
      <c r="A1194" s="10"/>
      <c r="B1194" s="10"/>
      <c r="C1194" s="18" t="s">
        <v>99</v>
      </c>
      <c r="D1194" s="10"/>
      <c r="F1194" s="6"/>
    </row>
    <row r="1195" ht="15.75" hidden="1" customHeight="1" outlineLevel="1">
      <c r="A1195" s="18"/>
      <c r="B1195" s="18" t="s">
        <v>102</v>
      </c>
      <c r="C1195" s="10"/>
      <c r="D1195" s="18" t="s">
        <v>143</v>
      </c>
      <c r="F1195" s="6"/>
    </row>
    <row r="1196" ht="15.75" hidden="1" customHeight="1" outlineLevel="1">
      <c r="A1196" s="18"/>
      <c r="B1196" s="18" t="s">
        <v>31</v>
      </c>
      <c r="C1196" s="10"/>
      <c r="D1196" s="18" t="s">
        <v>9</v>
      </c>
      <c r="F1196" s="6"/>
    </row>
    <row r="1197" ht="15.75" hidden="1" customHeight="1" outlineLevel="1">
      <c r="A1197" s="10"/>
      <c r="B1197" s="10"/>
      <c r="C1197" s="10"/>
      <c r="D1197" s="10"/>
      <c r="F1197" s="10"/>
    </row>
    <row r="1198" ht="15.75" hidden="1" customHeight="1" outlineLevel="1">
      <c r="A1198" s="10"/>
      <c r="B1198" s="10"/>
      <c r="C1198" s="4" t="s">
        <v>128</v>
      </c>
      <c r="D1198" s="10"/>
      <c r="F1198" s="17"/>
    </row>
    <row r="1199" ht="15.75" hidden="1" customHeight="1" outlineLevel="1">
      <c r="A1199" s="18"/>
      <c r="B1199" s="18" t="s">
        <v>1</v>
      </c>
      <c r="C1199" s="10"/>
      <c r="D1199" s="18" t="s">
        <v>2</v>
      </c>
      <c r="F1199" s="10"/>
    </row>
    <row r="1200" ht="15.75" hidden="1" customHeight="1" outlineLevel="1">
      <c r="A1200" s="10"/>
      <c r="B1200" s="10"/>
      <c r="C1200" s="18" t="s">
        <v>130</v>
      </c>
      <c r="D1200" s="10"/>
      <c r="F1200" s="10"/>
    </row>
    <row r="1201" ht="15.75" hidden="1" customHeight="1" outlineLevel="1">
      <c r="A1201" s="10"/>
      <c r="B1201" s="10"/>
      <c r="C1201" s="18" t="s">
        <v>131</v>
      </c>
      <c r="D1201" s="10"/>
      <c r="F1201" s="10"/>
    </row>
    <row r="1202" ht="15.75" hidden="1" customHeight="1" outlineLevel="1">
      <c r="A1202" s="10"/>
      <c r="B1202" s="10"/>
      <c r="C1202" s="18" t="s">
        <v>132</v>
      </c>
      <c r="D1202" s="10"/>
      <c r="F1202" s="10"/>
    </row>
    <row r="1203" ht="15.75" hidden="1" customHeight="1" outlineLevel="1">
      <c r="A1203" s="10"/>
      <c r="B1203" s="10"/>
      <c r="C1203" s="18" t="s">
        <v>133</v>
      </c>
      <c r="D1203" s="10"/>
      <c r="F1203" s="10"/>
    </row>
    <row r="1204" ht="15.75" hidden="1" customHeight="1" outlineLevel="1">
      <c r="A1204" s="10"/>
      <c r="B1204" s="10"/>
      <c r="C1204" s="18" t="s">
        <v>134</v>
      </c>
      <c r="D1204" s="10"/>
      <c r="F1204" s="10"/>
    </row>
    <row r="1205" ht="15.75" hidden="1" customHeight="1" outlineLevel="1">
      <c r="A1205" s="10"/>
      <c r="B1205" s="10"/>
      <c r="C1205" s="18" t="s">
        <v>135</v>
      </c>
      <c r="D1205" s="10"/>
      <c r="F1205" s="10"/>
    </row>
    <row r="1206" ht="15.75" hidden="1" customHeight="1" outlineLevel="1">
      <c r="A1206" s="10"/>
      <c r="B1206" s="10"/>
      <c r="C1206" s="18" t="s">
        <v>136</v>
      </c>
      <c r="D1206" s="10"/>
      <c r="F1206" s="10"/>
    </row>
    <row r="1207" ht="15.75" hidden="1" customHeight="1" outlineLevel="1">
      <c r="A1207" s="18"/>
      <c r="B1207" s="18" t="s">
        <v>67</v>
      </c>
      <c r="C1207" s="10"/>
      <c r="D1207" s="18" t="s">
        <v>137</v>
      </c>
      <c r="F1207" s="6"/>
    </row>
    <row r="1208" ht="15.75" hidden="1" customHeight="1" outlineLevel="1">
      <c r="A1208" s="18"/>
      <c r="B1208" s="18" t="s">
        <v>28</v>
      </c>
      <c r="C1208" s="10"/>
      <c r="D1208" s="18" t="s">
        <v>4</v>
      </c>
      <c r="F1208" s="10"/>
    </row>
    <row r="1209" ht="15.75" hidden="1" customHeight="1" outlineLevel="1">
      <c r="A1209" s="10"/>
      <c r="B1209" s="10"/>
      <c r="C1209" s="18" t="s">
        <v>138</v>
      </c>
      <c r="D1209" s="10"/>
      <c r="F1209" s="20"/>
    </row>
    <row r="1210" ht="15.75" hidden="1" customHeight="1" outlineLevel="1">
      <c r="A1210" s="10"/>
      <c r="B1210" s="10"/>
      <c r="C1210" s="18" t="s">
        <v>70</v>
      </c>
      <c r="D1210" s="10"/>
      <c r="F1210" s="6"/>
    </row>
    <row r="1211" ht="15.75" hidden="1" customHeight="1" outlineLevel="1">
      <c r="A1211" s="10"/>
      <c r="B1211" s="10"/>
      <c r="C1211" s="18" t="s">
        <v>71</v>
      </c>
      <c r="D1211" s="10"/>
      <c r="F1211" s="20"/>
    </row>
    <row r="1212" ht="15.75" hidden="1" customHeight="1" outlineLevel="1">
      <c r="A1212" s="18"/>
      <c r="B1212" s="18" t="s">
        <v>28</v>
      </c>
      <c r="C1212" s="10"/>
      <c r="D1212" s="18" t="s">
        <v>4</v>
      </c>
      <c r="F1212" s="6"/>
    </row>
    <row r="1213" ht="15.75" hidden="1" customHeight="1" outlineLevel="1">
      <c r="A1213" s="18"/>
      <c r="B1213" s="18" t="s">
        <v>5</v>
      </c>
      <c r="C1213" s="10"/>
      <c r="D1213" s="18" t="s">
        <v>6</v>
      </c>
      <c r="F1213" s="6"/>
    </row>
    <row r="1214" ht="15.75" hidden="1" customHeight="1" outlineLevel="1">
      <c r="A1214" s="18"/>
      <c r="B1214" s="18" t="s">
        <v>29</v>
      </c>
      <c r="C1214" s="10"/>
      <c r="D1214" s="18" t="s">
        <v>30</v>
      </c>
      <c r="F1214" s="10"/>
    </row>
    <row r="1215" ht="15.75" hidden="1" customHeight="1" outlineLevel="1">
      <c r="A1215" s="10"/>
      <c r="B1215" s="10"/>
      <c r="C1215" s="18" t="s">
        <v>72</v>
      </c>
      <c r="D1215" s="10"/>
      <c r="F1215" s="6"/>
    </row>
    <row r="1216" ht="15.75" hidden="1" customHeight="1" outlineLevel="1">
      <c r="A1216" s="10"/>
      <c r="B1216" s="10"/>
      <c r="C1216" s="18" t="s">
        <v>139</v>
      </c>
      <c r="D1216" s="10"/>
      <c r="F1216" s="6"/>
    </row>
    <row r="1217" ht="15.75" hidden="1" customHeight="1" outlineLevel="1">
      <c r="A1217" s="10"/>
      <c r="B1217" s="10"/>
      <c r="C1217" s="18" t="s">
        <v>74</v>
      </c>
      <c r="D1217" s="10"/>
      <c r="F1217" s="6"/>
    </row>
    <row r="1218" ht="15.75" hidden="1" customHeight="1" outlineLevel="1">
      <c r="A1218" s="10"/>
      <c r="B1218" s="10"/>
      <c r="C1218" s="18" t="s">
        <v>76</v>
      </c>
      <c r="D1218" s="10"/>
      <c r="F1218" s="6"/>
    </row>
    <row r="1219" ht="15.75" hidden="1" customHeight="1" outlineLevel="1">
      <c r="A1219" s="10"/>
      <c r="B1219" s="10"/>
      <c r="C1219" s="18" t="s">
        <v>75</v>
      </c>
      <c r="D1219" s="10"/>
      <c r="F1219" s="20"/>
    </row>
    <row r="1220" ht="15.75" hidden="1" customHeight="1" outlineLevel="1">
      <c r="A1220" s="10"/>
      <c r="B1220" s="10"/>
      <c r="C1220" s="18" t="s">
        <v>140</v>
      </c>
      <c r="D1220" s="10"/>
      <c r="F1220" s="6"/>
    </row>
    <row r="1221" ht="15.75" hidden="1" customHeight="1" outlineLevel="1">
      <c r="A1221" s="10"/>
      <c r="B1221" s="10"/>
      <c r="C1221" s="18" t="s">
        <v>141</v>
      </c>
      <c r="D1221" s="10"/>
      <c r="F1221" s="6"/>
    </row>
    <row r="1222" ht="15.75" hidden="1" customHeight="1" outlineLevel="1">
      <c r="A1222" s="10"/>
      <c r="B1222" s="10"/>
      <c r="C1222" s="18" t="s">
        <v>79</v>
      </c>
      <c r="D1222" s="10"/>
      <c r="F1222" s="6"/>
    </row>
    <row r="1223" ht="15.75" hidden="1" customHeight="1" outlineLevel="1">
      <c r="A1223" s="10"/>
      <c r="B1223" s="10"/>
      <c r="C1223" s="18" t="s">
        <v>80</v>
      </c>
      <c r="D1223" s="10"/>
      <c r="F1223" s="6"/>
    </row>
    <row r="1224" ht="15.75" hidden="1" customHeight="1" outlineLevel="1">
      <c r="A1224" s="10"/>
      <c r="B1224" s="10"/>
      <c r="C1224" s="18" t="s">
        <v>81</v>
      </c>
      <c r="D1224" s="10"/>
      <c r="F1224" s="6"/>
    </row>
    <row r="1225" ht="15.75" hidden="1" customHeight="1" outlineLevel="1">
      <c r="A1225" s="10"/>
      <c r="B1225" s="10"/>
      <c r="C1225" s="18" t="s">
        <v>82</v>
      </c>
      <c r="D1225" s="10"/>
      <c r="F1225" s="6"/>
    </row>
    <row r="1226" ht="15.75" hidden="1" customHeight="1" outlineLevel="1">
      <c r="A1226" s="10"/>
      <c r="B1226" s="10"/>
      <c r="C1226" s="18" t="s">
        <v>83</v>
      </c>
      <c r="D1226" s="10"/>
      <c r="F1226" s="6"/>
    </row>
    <row r="1227" ht="15.75" hidden="1" customHeight="1" outlineLevel="1">
      <c r="A1227" s="10"/>
      <c r="B1227" s="10"/>
      <c r="C1227" s="18" t="s">
        <v>84</v>
      </c>
      <c r="D1227" s="10"/>
      <c r="F1227" s="6"/>
    </row>
    <row r="1228" ht="15.75" hidden="1" customHeight="1" outlineLevel="1">
      <c r="A1228" s="10"/>
      <c r="B1228" s="10"/>
      <c r="C1228" s="18" t="s">
        <v>85</v>
      </c>
      <c r="D1228" s="10"/>
      <c r="F1228" s="20"/>
    </row>
    <row r="1229" ht="15.75" hidden="1" customHeight="1" outlineLevel="1">
      <c r="A1229" s="10"/>
      <c r="B1229" s="10"/>
      <c r="C1229" s="18" t="s">
        <v>142</v>
      </c>
      <c r="D1229" s="10"/>
      <c r="F1229" s="6"/>
    </row>
    <row r="1230" ht="15.75" hidden="1" customHeight="1" outlineLevel="1">
      <c r="A1230" s="10"/>
      <c r="B1230" s="10"/>
      <c r="C1230" s="18" t="s">
        <v>89</v>
      </c>
      <c r="D1230" s="10"/>
      <c r="F1230" s="6"/>
    </row>
    <row r="1231" ht="15.75" hidden="1" customHeight="1" outlineLevel="1">
      <c r="A1231" s="10"/>
      <c r="B1231" s="10"/>
      <c r="C1231" s="18" t="s">
        <v>87</v>
      </c>
      <c r="D1231" s="10"/>
      <c r="F1231" s="6"/>
    </row>
    <row r="1232" ht="15.75" hidden="1" customHeight="1" outlineLevel="1">
      <c r="A1232" s="10"/>
      <c r="B1232" s="10"/>
      <c r="C1232" s="18" t="s">
        <v>88</v>
      </c>
      <c r="D1232" s="10"/>
      <c r="F1232" s="6"/>
    </row>
    <row r="1233" ht="15.75" hidden="1" customHeight="1" outlineLevel="1">
      <c r="A1233" s="10"/>
      <c r="B1233" s="10"/>
      <c r="C1233" s="18" t="s">
        <v>90</v>
      </c>
      <c r="D1233" s="10"/>
      <c r="F1233" s="20"/>
    </row>
    <row r="1234" ht="15.75" hidden="1" customHeight="1" outlineLevel="1">
      <c r="A1234" s="10"/>
      <c r="B1234" s="10"/>
      <c r="C1234" s="18" t="s">
        <v>91</v>
      </c>
      <c r="D1234" s="10"/>
      <c r="F1234" s="6"/>
    </row>
    <row r="1235" ht="15.75" hidden="1" customHeight="1" outlineLevel="1">
      <c r="A1235" s="10"/>
      <c r="B1235" s="10"/>
      <c r="C1235" s="18" t="s">
        <v>92</v>
      </c>
      <c r="D1235" s="10"/>
      <c r="F1235" s="6"/>
    </row>
    <row r="1236" ht="15.75" hidden="1" customHeight="1" outlineLevel="1">
      <c r="A1236" s="10"/>
      <c r="B1236" s="10"/>
      <c r="C1236" s="18" t="s">
        <v>93</v>
      </c>
      <c r="D1236" s="10"/>
      <c r="F1236" s="6"/>
    </row>
    <row r="1237" ht="15.75" hidden="1" customHeight="1" outlineLevel="1">
      <c r="A1237" s="10"/>
      <c r="B1237" s="10"/>
      <c r="C1237" s="18" t="s">
        <v>94</v>
      </c>
      <c r="D1237" s="10"/>
      <c r="F1237" s="20"/>
    </row>
    <row r="1238" ht="15.75" hidden="1" customHeight="1" outlineLevel="1">
      <c r="A1238" s="10"/>
      <c r="B1238" s="10"/>
      <c r="C1238" s="18" t="s">
        <v>95</v>
      </c>
      <c r="D1238" s="10"/>
      <c r="F1238" s="6"/>
    </row>
    <row r="1239" ht="15.75" hidden="1" customHeight="1" outlineLevel="1">
      <c r="A1239" s="10"/>
      <c r="B1239" s="10"/>
      <c r="C1239" s="18" t="s">
        <v>151</v>
      </c>
      <c r="D1239" s="10"/>
      <c r="F1239" s="10"/>
    </row>
    <row r="1240" ht="15.75" hidden="1" customHeight="1" outlineLevel="1">
      <c r="A1240" s="10"/>
      <c r="B1240" s="10"/>
      <c r="C1240" s="18" t="s">
        <v>100</v>
      </c>
      <c r="D1240" s="10"/>
      <c r="F1240" s="20"/>
    </row>
    <row r="1241" ht="15.75" hidden="1" customHeight="1" outlineLevel="1">
      <c r="A1241" s="10"/>
      <c r="B1241" s="10"/>
      <c r="C1241" s="18" t="s">
        <v>97</v>
      </c>
      <c r="D1241" s="10"/>
      <c r="F1241" s="20"/>
    </row>
    <row r="1242" ht="15.75" hidden="1" customHeight="1" outlineLevel="1">
      <c r="A1242" s="10"/>
      <c r="B1242" s="10"/>
      <c r="C1242" s="18" t="s">
        <v>147</v>
      </c>
      <c r="D1242" s="10"/>
      <c r="F1242" s="6"/>
    </row>
    <row r="1243" ht="15.75" hidden="1" customHeight="1" outlineLevel="1">
      <c r="A1243" s="10"/>
      <c r="B1243" s="10"/>
      <c r="C1243" s="18" t="s">
        <v>99</v>
      </c>
      <c r="D1243" s="10"/>
      <c r="F1243" s="6"/>
    </row>
    <row r="1244" ht="15.75" hidden="1" customHeight="1" outlineLevel="1">
      <c r="A1244" s="18"/>
      <c r="B1244" s="18" t="s">
        <v>102</v>
      </c>
      <c r="C1244" s="10"/>
      <c r="D1244" s="18" t="s">
        <v>143</v>
      </c>
      <c r="F1244" s="6"/>
    </row>
    <row r="1245" ht="15.75" hidden="1" customHeight="1" outlineLevel="1">
      <c r="A1245" s="18"/>
      <c r="B1245" s="18" t="s">
        <v>31</v>
      </c>
      <c r="C1245" s="10"/>
      <c r="D1245" s="18" t="s">
        <v>9</v>
      </c>
      <c r="F1245" s="6"/>
    </row>
    <row r="1246" ht="15.75" hidden="1" customHeight="1" outlineLevel="1">
      <c r="A1246" s="10"/>
      <c r="B1246" s="10"/>
      <c r="C1246" s="10"/>
      <c r="D1246" s="10"/>
      <c r="F1246" s="10"/>
    </row>
    <row r="1247" ht="15.75" customHeight="1">
      <c r="A1247" s="10"/>
      <c r="B1247" s="10"/>
      <c r="C1247" s="10"/>
      <c r="D1247" s="10"/>
      <c r="F1247" s="10"/>
    </row>
    <row r="1248" ht="15.75" customHeight="1">
      <c r="A1248" s="10"/>
      <c r="B1248" s="10"/>
      <c r="C1248" s="10"/>
      <c r="D1248" s="10"/>
      <c r="F1248" s="10"/>
    </row>
    <row r="1249" ht="15.75" customHeight="1">
      <c r="A1249" s="10"/>
      <c r="B1249" s="10"/>
      <c r="C1249" s="34" t="s">
        <v>152</v>
      </c>
      <c r="D1249" s="10"/>
      <c r="F1249" s="10"/>
    </row>
    <row r="1250" ht="15.75" customHeight="1">
      <c r="A1250" s="10"/>
      <c r="B1250" s="10"/>
      <c r="C1250" s="18" t="s">
        <v>153</v>
      </c>
      <c r="D1250" s="10"/>
      <c r="F1250" s="35"/>
    </row>
    <row r="1251" ht="15.75" customHeight="1">
      <c r="A1251" s="10"/>
      <c r="B1251" s="10"/>
      <c r="C1251" s="18" t="s">
        <v>154</v>
      </c>
      <c r="D1251" s="10"/>
      <c r="F1251" s="35"/>
    </row>
    <row r="1252" ht="15.75" customHeight="1">
      <c r="A1252" s="10"/>
      <c r="B1252" s="10"/>
      <c r="C1252" s="18" t="s">
        <v>155</v>
      </c>
      <c r="D1252" s="10"/>
      <c r="F1252" s="35"/>
    </row>
    <row r="1253" ht="15.75" customHeight="1">
      <c r="A1253" s="10"/>
      <c r="B1253" s="10"/>
      <c r="C1253" s="18" t="s">
        <v>156</v>
      </c>
      <c r="D1253" s="10"/>
      <c r="F1253" s="35"/>
    </row>
    <row r="1254" ht="15.75" customHeight="1">
      <c r="A1254" s="10"/>
      <c r="B1254" s="10"/>
      <c r="C1254" s="18" t="s">
        <v>157</v>
      </c>
      <c r="D1254" s="10"/>
      <c r="F1254" s="35"/>
    </row>
    <row r="1255" ht="15.75" customHeight="1">
      <c r="A1255" s="10"/>
      <c r="B1255" s="10"/>
      <c r="C1255" s="18" t="s">
        <v>32</v>
      </c>
      <c r="D1255" s="10"/>
      <c r="F1255" s="36">
        <v>1392416.0</v>
      </c>
    </row>
    <row r="1256" ht="15.75" customHeight="1">
      <c r="A1256" s="10"/>
      <c r="B1256" s="10"/>
      <c r="C1256" s="18" t="s">
        <v>103</v>
      </c>
      <c r="D1256" s="10"/>
      <c r="F1256" s="36">
        <v>12583.0</v>
      </c>
    </row>
    <row r="1257" ht="15.75" customHeight="1">
      <c r="A1257" s="10"/>
      <c r="B1257" s="10"/>
      <c r="C1257" s="18" t="s">
        <v>108</v>
      </c>
      <c r="D1257" s="10"/>
      <c r="F1257" s="36">
        <v>1379833.0</v>
      </c>
    </row>
    <row r="1258" ht="15.75" customHeight="1">
      <c r="A1258" s="10"/>
      <c r="B1258" s="10"/>
      <c r="C1258" s="18" t="s">
        <v>107</v>
      </c>
      <c r="D1258" s="10"/>
      <c r="F1258" s="20">
        <v>0.0</v>
      </c>
    </row>
    <row r="1259" ht="15.75" customHeight="1">
      <c r="A1259" s="10"/>
      <c r="B1259" s="10"/>
      <c r="C1259" s="18" t="s">
        <v>34</v>
      </c>
      <c r="D1259" s="10"/>
      <c r="F1259" s="6">
        <v>2.9041449E7</v>
      </c>
    </row>
    <row r="1260" ht="15.75" customHeight="1">
      <c r="A1260" s="10"/>
      <c r="B1260" s="10"/>
      <c r="C1260" s="18" t="s">
        <v>109</v>
      </c>
      <c r="D1260" s="10"/>
      <c r="F1260" s="6">
        <v>2.8326008E7</v>
      </c>
    </row>
    <row r="1261" ht="15.75" customHeight="1">
      <c r="A1261" s="10"/>
      <c r="B1261" s="10"/>
      <c r="C1261" s="18" t="s">
        <v>111</v>
      </c>
      <c r="D1261" s="10"/>
      <c r="F1261" s="6">
        <v>715441.0</v>
      </c>
    </row>
    <row r="1262" ht="15.75" customHeight="1">
      <c r="A1262" s="18"/>
      <c r="B1262" s="18" t="s">
        <v>112</v>
      </c>
      <c r="C1262" s="10"/>
      <c r="D1262" s="10"/>
      <c r="F1262" s="10"/>
    </row>
    <row r="1263" ht="15.75" customHeight="1">
      <c r="A1263" s="10"/>
      <c r="B1263" s="10"/>
      <c r="C1263" s="18" t="s">
        <v>37</v>
      </c>
      <c r="D1263" s="10"/>
      <c r="F1263" s="20">
        <v>0.0</v>
      </c>
    </row>
    <row r="1264" ht="15.75" customHeight="1">
      <c r="A1264" s="10"/>
      <c r="B1264" s="10"/>
      <c r="C1264" s="18" t="s">
        <v>39</v>
      </c>
      <c r="D1264" s="10"/>
      <c r="F1264" s="20">
        <v>0.0</v>
      </c>
    </row>
    <row r="1265" ht="15.75" customHeight="1">
      <c r="A1265" s="10"/>
      <c r="B1265" s="10"/>
      <c r="C1265" s="18" t="s">
        <v>158</v>
      </c>
      <c r="D1265" s="10"/>
      <c r="F1265" s="20">
        <v>0.0</v>
      </c>
    </row>
    <row r="1266" ht="15.75" customHeight="1">
      <c r="A1266" s="18"/>
      <c r="B1266" s="18" t="s">
        <v>117</v>
      </c>
      <c r="C1266" s="10"/>
      <c r="D1266" s="10"/>
      <c r="F1266" s="20">
        <v>0.0</v>
      </c>
    </row>
    <row r="1267" ht="15.75" customHeight="1">
      <c r="A1267" s="10"/>
      <c r="B1267" s="10"/>
      <c r="C1267" s="18" t="s">
        <v>43</v>
      </c>
      <c r="D1267" s="10"/>
      <c r="F1267" s="20">
        <v>0.0</v>
      </c>
    </row>
    <row r="1268" ht="15.75" customHeight="1">
      <c r="A1268" s="10"/>
      <c r="B1268" s="10"/>
      <c r="C1268" s="18" t="s">
        <v>118</v>
      </c>
      <c r="D1268" s="10"/>
      <c r="F1268" s="20">
        <v>0.0</v>
      </c>
    </row>
    <row r="1269" ht="15.75" customHeight="1">
      <c r="A1269" s="18"/>
      <c r="B1269" s="18" t="s">
        <v>119</v>
      </c>
      <c r="C1269" s="10"/>
      <c r="D1269" s="10"/>
      <c r="F1269" s="20">
        <v>0.0</v>
      </c>
    </row>
    <row r="1270" ht="15.75" customHeight="1">
      <c r="A1270" s="10"/>
      <c r="B1270" s="10"/>
      <c r="C1270" s="10"/>
      <c r="D1270" s="10"/>
      <c r="F1270" s="10"/>
    </row>
    <row r="1271" ht="15.75" customHeight="1">
      <c r="A1271" s="10"/>
      <c r="B1271" s="10"/>
      <c r="C1271" s="10"/>
      <c r="D1271" s="10"/>
      <c r="F1271" s="10"/>
    </row>
    <row r="1272" ht="15.75" customHeight="1">
      <c r="A1272" s="10"/>
      <c r="B1272" s="10"/>
      <c r="C1272" s="10"/>
      <c r="D1272" s="10"/>
      <c r="F1272" s="10"/>
    </row>
    <row r="1273" ht="15.75" customHeight="1">
      <c r="A1273" s="37"/>
      <c r="B1273" s="37" t="s">
        <v>16</v>
      </c>
      <c r="C1273" s="26"/>
      <c r="D1273" s="26"/>
      <c r="F1273" s="26"/>
    </row>
    <row r="1274" ht="15.75" customHeight="1">
      <c r="A1274" s="10"/>
      <c r="B1274" s="10"/>
      <c r="C1274" s="4" t="s">
        <v>16</v>
      </c>
      <c r="D1274" s="10"/>
      <c r="F1274" s="17"/>
    </row>
    <row r="1275" ht="15.75" customHeight="1">
      <c r="A1275" s="18"/>
      <c r="B1275" s="18" t="s">
        <v>1</v>
      </c>
      <c r="C1275" s="10"/>
      <c r="D1275" s="18" t="s">
        <v>2</v>
      </c>
      <c r="F1275" s="10"/>
    </row>
    <row r="1276" ht="15.75" customHeight="1">
      <c r="A1276" s="10"/>
      <c r="B1276" s="10"/>
      <c r="C1276" s="18" t="s">
        <v>1</v>
      </c>
      <c r="D1276" s="10"/>
      <c r="F1276" s="10">
        <f t="array" ref="F1276">SUMIF(FoC_PL!$A$4:$A$56, XLOOKUP($C1278, 'マスタ'!$D$2:$D$318, 'マスタ'!$C$2:$C$318, "売上高"), FoC_PL!J$4:J$56)</f>
        <v>21265200</v>
      </c>
    </row>
    <row r="1277" ht="15.75" customHeight="1">
      <c r="A1277" s="18"/>
      <c r="B1277" s="18" t="s">
        <v>67</v>
      </c>
      <c r="C1277" s="10"/>
      <c r="D1277" s="10"/>
      <c r="F1277" s="6">
        <f>F1276</f>
        <v>21265200</v>
      </c>
    </row>
    <row r="1278" ht="15.75" customHeight="1">
      <c r="A1278" s="18"/>
      <c r="B1278" s="18" t="s">
        <v>28</v>
      </c>
      <c r="C1278" s="10"/>
      <c r="D1278" s="10"/>
      <c r="F1278" s="38">
        <f t="array" ref="F1278">XLOOKUP(XLOOKUP(IF($C1278="",$B1278,$C1278), 'マスタ'!$C$2:$C$318, 'マスタ'!$D$2:$D$318, IF($C1278="",$B1278,$C1278)), FoC_PL!$A$4:$A$50, FoC_PL!J$4:J$50, 0)</f>
        <v>0</v>
      </c>
    </row>
    <row r="1279" ht="15.75" customHeight="1">
      <c r="A1279" s="10"/>
      <c r="B1279" s="10"/>
      <c r="C1279" s="18" t="s">
        <v>68</v>
      </c>
      <c r="D1279" s="10"/>
      <c r="F1279" s="6">
        <f t="array" ref="F1279">XLOOKUP(XLOOKUP(IF($C1279="",$B1279,$C1279), 'マスタ'!$C$2:$C$318, 'マスタ'!$D$2:$D$318, IF($C1279="",$B1279,$C1279)), FoC_PL!$A$4:$A$50, FoC_PL!J$4:J$50, 0)</f>
        <v>0</v>
      </c>
    </row>
    <row r="1280" ht="15.75" customHeight="1">
      <c r="A1280" s="10"/>
      <c r="B1280" s="10"/>
      <c r="C1280" s="18" t="s">
        <v>69</v>
      </c>
      <c r="D1280" s="10"/>
      <c r="F1280" s="6">
        <f t="array" ref="F1280">XLOOKUP(XLOOKUP(IF($C1280="",$B1280,$C1280), 'マスタ'!$C$2:$C$318, 'マスタ'!$D$2:$D$318, IF($C1280="",$B1280,$C1280)), FoC_PL!$A$4:$A$50, FoC_PL!J$4:J$50, 0)</f>
        <v>13187465</v>
      </c>
    </row>
    <row r="1281" ht="15.75" customHeight="1">
      <c r="A1281" s="10"/>
      <c r="B1281" s="10"/>
      <c r="C1281" s="27" t="s">
        <v>159</v>
      </c>
      <c r="D1281" s="10"/>
      <c r="F1281" s="28">
        <f t="array" ref="F1281">XLOOKUP(XLOOKUP(IF($C1281="",$B1281,$C1281), 'マスタ'!$C$2:$C$318, 'マスタ'!$D$2:$D$318, IF($C1281="",$B1281,$C1281)), FoC_PL!$A$4:$A$50, FoC_PL!J$4:J$50, 0)</f>
        <v>0</v>
      </c>
    </row>
    <row r="1282" ht="15.75" customHeight="1">
      <c r="A1282" s="10"/>
      <c r="B1282" s="10"/>
      <c r="C1282" s="18" t="s">
        <v>71</v>
      </c>
      <c r="D1282" s="10"/>
      <c r="F1282" s="6">
        <f t="array" ref="F1282">XLOOKUP(XLOOKUP(IF($C1282="",$B1282,$C1282), 'マスタ'!$C$2:$C$318, 'マスタ'!$D$2:$D$318, IF($C1282="",$B1282,$C1282)), FoC_PL!$A$4:$A$50, FoC_PL!J$4:J$50, 0)</f>
        <v>0</v>
      </c>
    </row>
    <row r="1283" ht="15.75" customHeight="1">
      <c r="A1283" s="18"/>
      <c r="B1283" s="18" t="s">
        <v>28</v>
      </c>
      <c r="C1283" s="10"/>
      <c r="D1283" s="10"/>
      <c r="F1283" s="29">
        <f>F1279+F1280+F1281-F1282</f>
        <v>13187465</v>
      </c>
    </row>
    <row r="1284" ht="15.75" customHeight="1">
      <c r="A1284" s="18"/>
      <c r="B1284" s="18" t="s">
        <v>5</v>
      </c>
      <c r="C1284" s="10"/>
      <c r="D1284" s="10"/>
      <c r="F1284" s="29">
        <f>F1277-F1283</f>
        <v>8077735</v>
      </c>
    </row>
    <row r="1285" ht="15.75" customHeight="1">
      <c r="A1285" s="18"/>
      <c r="B1285" s="18" t="s">
        <v>29</v>
      </c>
      <c r="C1285" s="10"/>
      <c r="D1285" s="10"/>
      <c r="F1285" s="5">
        <f t="array" ref="F1285">XLOOKUP(XLOOKUP(IF($C1285="",$B1285,$C1285), 'マスタ'!$C$2:$C$318, 'マスタ'!$D$2:$D$318, IF($C1285="",$B1285,$C1285)), FoC_PL!$A$4:$A$50, FoC_PL!J$4:J$50, 0)</f>
        <v>0</v>
      </c>
    </row>
    <row r="1286" ht="15.75" customHeight="1">
      <c r="A1286" s="10"/>
      <c r="B1286" s="10"/>
      <c r="C1286" s="18" t="s">
        <v>72</v>
      </c>
      <c r="D1286" s="10"/>
      <c r="F1286" s="6">
        <f t="array" ref="F1286">XLOOKUP(XLOOKUP(IF($C1286="",$B1286,$C1286), 'マスタ'!$C$2:$C$318, 'マスタ'!$D$2:$D$318, IF($C1286="",$B1286,$C1286)), FoC_PL!$A$4:$A$50, FoC_PL!J$4:J$50, 0)</f>
        <v>1200000</v>
      </c>
    </row>
    <row r="1287" ht="15.75" customHeight="1">
      <c r="A1287" s="10"/>
      <c r="B1287" s="10"/>
      <c r="C1287" s="18" t="s">
        <v>73</v>
      </c>
      <c r="D1287" s="10"/>
      <c r="F1287" s="6">
        <f t="array" ref="F1287">XLOOKUP(XLOOKUP(IF($C1287="",$B1287,$C1287), 'マスタ'!$C$2:$C$318, 'マスタ'!$D$2:$D$318, IF($C1287="",$B1287,$C1287)), FoC_PL!$A$4:$A$50, FoC_PL!J$4:J$50, 0)</f>
        <v>0</v>
      </c>
    </row>
    <row r="1288" ht="15.75" customHeight="1">
      <c r="A1288" s="10"/>
      <c r="B1288" s="10"/>
      <c r="C1288" s="18" t="s">
        <v>74</v>
      </c>
      <c r="D1288" s="10"/>
      <c r="F1288" s="6">
        <f t="array" ref="F1288">XLOOKUP(XLOOKUP(IF($C1288="",$B1288,$C1288), 'マスタ'!$C$2:$C$318, 'マスタ'!$D$2:$D$318, IF($C1288="",$B1288,$C1288)), FoC_PL!$A$4:$A$50, FoC_PL!J$4:J$50, 0)</f>
        <v>0</v>
      </c>
    </row>
    <row r="1289" ht="15.75" customHeight="1">
      <c r="A1289" s="10"/>
      <c r="B1289" s="10"/>
      <c r="C1289" s="18" t="s">
        <v>75</v>
      </c>
      <c r="D1289" s="10"/>
      <c r="F1289" s="6">
        <f t="array" ref="F1289">XLOOKUP(XLOOKUP(IF($C1289="",$B1289,$C1289), 'マスタ'!$C$2:$C$318, 'マスタ'!$D$2:$D$318, IF($C1289="",$B1289,$C1289)), FoC_PL!$A$4:$A$50, FoC_PL!J$4:J$50, 0)</f>
        <v>0</v>
      </c>
    </row>
    <row r="1290" ht="15.75" customHeight="1">
      <c r="A1290" s="10"/>
      <c r="B1290" s="10"/>
      <c r="C1290" s="18" t="s">
        <v>76</v>
      </c>
      <c r="D1290" s="10"/>
      <c r="F1290" s="6">
        <f t="array" ref="F1290">XLOOKUP(XLOOKUP(IF($C1290="",$B1290,$C1290), 'マスタ'!$C$2:$C$318, 'マスタ'!$D$2:$D$318, IF($C1290="",$B1290,$C1290)), FoC_PL!$A$4:$A$50, FoC_PL!J$4:J$50, 0)</f>
        <v>0</v>
      </c>
    </row>
    <row r="1291" ht="15.75" customHeight="1">
      <c r="A1291" s="10"/>
      <c r="B1291" s="10"/>
      <c r="C1291" s="18" t="s">
        <v>77</v>
      </c>
      <c r="D1291" s="10"/>
      <c r="F1291" s="6">
        <f t="array" ref="F1291">XLOOKUP(XLOOKUP(IF($C1291="",$B1291,$C1291), 'マスタ'!$C$2:$C$318, 'マスタ'!$D$2:$D$318, IF($C1291="",$B1291,$C1291)), FoC_PL!$A$4:$A$50, FoC_PL!J$4:J$50, 0)</f>
        <v>138000</v>
      </c>
    </row>
    <row r="1292" ht="15.75" customHeight="1">
      <c r="A1292" s="10"/>
      <c r="B1292" s="10"/>
      <c r="C1292" s="18" t="s">
        <v>78</v>
      </c>
      <c r="D1292" s="10"/>
      <c r="F1292" s="6">
        <f t="array" ref="F1292">XLOOKUP(XLOOKUP(IF($C1292="",$B1292,$C1292), 'マスタ'!$C$2:$C$318, 'マスタ'!$D$2:$D$318, IF($C1292="",$B1292,$C1292)), FoC_PL!$A$4:$A$50, FoC_PL!J$4:J$50, 0)</f>
        <v>250420</v>
      </c>
    </row>
    <row r="1293" ht="15.75" customHeight="1">
      <c r="A1293" s="10"/>
      <c r="B1293" s="10"/>
      <c r="C1293" s="18" t="s">
        <v>79</v>
      </c>
      <c r="D1293" s="10"/>
      <c r="F1293" s="6">
        <f t="array" ref="F1293">XLOOKUP(XLOOKUP(IF($C1293="",$B1293,$C1293), 'マスタ'!$C$2:$C$318, 'マスタ'!$D$2:$D$318, IF($C1293="",$B1293,$C1293)), FoC_PL!$A$4:$A$50, FoC_PL!J$4:J$50, 0)</f>
        <v>-47</v>
      </c>
    </row>
    <row r="1294" ht="15.75" customHeight="1">
      <c r="A1294" s="10"/>
      <c r="B1294" s="10"/>
      <c r="C1294" s="18" t="s">
        <v>80</v>
      </c>
      <c r="D1294" s="10"/>
      <c r="F1294" s="6">
        <f t="array" ref="F1294">XLOOKUP(XLOOKUP(IF($C1294="",$B1294,$C1294), 'マスタ'!$C$2:$C$318, 'マスタ'!$D$2:$D$318, IF($C1294="",$B1294,$C1294)), FoC_PL!$A$4:$A$50, FoC_PL!J$4:J$50, 0)</f>
        <v>0</v>
      </c>
    </row>
    <row r="1295" ht="15.75" customHeight="1">
      <c r="A1295" s="10"/>
      <c r="B1295" s="10"/>
      <c r="C1295" s="18" t="s">
        <v>81</v>
      </c>
      <c r="D1295" s="10"/>
      <c r="F1295" s="6">
        <f t="array" ref="F1295">XLOOKUP(XLOOKUP(IF($C1295="",$B1295,$C1295), 'マスタ'!$C$2:$C$318, 'マスタ'!$D$2:$D$318, IF($C1295="",$B1295,$C1295)), FoC_PL!$A$4:$A$50, FoC_PL!J$4:J$50, 0)</f>
        <v>23260</v>
      </c>
    </row>
    <row r="1296" ht="15.75" customHeight="1">
      <c r="A1296" s="10"/>
      <c r="B1296" s="10"/>
      <c r="C1296" s="18" t="s">
        <v>82</v>
      </c>
      <c r="D1296" s="10"/>
      <c r="F1296" s="6">
        <f t="array" ref="F1296">XLOOKUP(XLOOKUP(IF($C1296="",$B1296,$C1296), 'マスタ'!$C$2:$C$318, 'マスタ'!$D$2:$D$318, IF($C1296="",$B1296,$C1296)), FoC_PL!$A$4:$A$50, FoC_PL!J$4:J$50, 0)</f>
        <v>124321</v>
      </c>
    </row>
    <row r="1297" ht="15.75" customHeight="1">
      <c r="A1297" s="10"/>
      <c r="B1297" s="10"/>
      <c r="C1297" s="18" t="s">
        <v>83</v>
      </c>
      <c r="D1297" s="10"/>
      <c r="F1297" s="6">
        <f t="array" ref="F1297">XLOOKUP(XLOOKUP(IF($C1297="",$B1297,$C1297), 'マスタ'!$C$2:$C$318, 'マスタ'!$D$2:$D$318, IF($C1297="",$B1297,$C1297)), FoC_PL!$A$4:$A$50, FoC_PL!J$4:J$50, 0)</f>
        <v>143057</v>
      </c>
    </row>
    <row r="1298" ht="15.75" customHeight="1">
      <c r="A1298" s="10"/>
      <c r="B1298" s="10"/>
      <c r="C1298" s="18" t="s">
        <v>84</v>
      </c>
      <c r="D1298" s="10"/>
      <c r="F1298" s="6">
        <f t="array" ref="F1298">XLOOKUP(XLOOKUP(IF($C1298="",$B1298,$C1298), 'マスタ'!$C$2:$C$318, 'マスタ'!$D$2:$D$318, IF($C1298="",$B1298,$C1298)), FoC_PL!$A$4:$A$50, FoC_PL!J$4:J$50, 0)</f>
        <v>157510</v>
      </c>
    </row>
    <row r="1299" ht="15.75" customHeight="1">
      <c r="A1299" s="10"/>
      <c r="B1299" s="10"/>
      <c r="C1299" s="18" t="s">
        <v>85</v>
      </c>
      <c r="D1299" s="10"/>
      <c r="F1299" s="6">
        <f t="array" ref="F1299">XLOOKUP(XLOOKUP(IF($C1299="",$B1299,$C1299), 'マスタ'!$C$2:$C$318, 'マスタ'!$D$2:$D$318, IF($C1299="",$B1299,$C1299)), FoC_PL!$A$4:$A$50, FoC_PL!J$4:J$50, 0)</f>
        <v>0</v>
      </c>
    </row>
    <row r="1300" ht="15.75" customHeight="1">
      <c r="A1300" s="10"/>
      <c r="B1300" s="10"/>
      <c r="C1300" s="18" t="s">
        <v>86</v>
      </c>
      <c r="D1300" s="10"/>
      <c r="F1300" s="6">
        <f t="array" ref="F1300">XLOOKUP(XLOOKUP(IF($C1300="",$B1300,$C1300), 'マスタ'!$C$2:$C$318, 'マスタ'!$D$2:$D$318, IF($C1300="",$B1300,$C1300)), FoC_PL!$A$4:$A$50, FoC_PL!J$4:J$50, 0)</f>
        <v>54825</v>
      </c>
    </row>
    <row r="1301" ht="15.75" customHeight="1">
      <c r="A1301" s="10"/>
      <c r="B1301" s="10"/>
      <c r="C1301" s="18" t="s">
        <v>87</v>
      </c>
      <c r="D1301" s="10"/>
      <c r="F1301" s="6">
        <f t="array" ref="F1301">XLOOKUP(XLOOKUP(IF($C1301="",$B1301,$C1301), 'マスタ'!$C$2:$C$318, 'マスタ'!$D$2:$D$318, IF($C1301="",$B1301,$C1301)), FoC_PL!$A$4:$A$50, FoC_PL!J$4:J$50, 0)</f>
        <v>150000</v>
      </c>
    </row>
    <row r="1302" ht="15.75" customHeight="1">
      <c r="A1302" s="10"/>
      <c r="B1302" s="10"/>
      <c r="C1302" s="18" t="s">
        <v>88</v>
      </c>
      <c r="D1302" s="10"/>
      <c r="F1302" s="6">
        <f t="array" ref="F1302">XLOOKUP(XLOOKUP(IF($C1302="",$B1302,$C1302), 'マスタ'!$C$2:$C$318, 'マスタ'!$D$2:$D$318, IF($C1302="",$B1302,$C1302)), FoC_PL!$A$4:$A$50, FoC_PL!J$4:J$50, 0)</f>
        <v>5610</v>
      </c>
    </row>
    <row r="1303" ht="15.75" customHeight="1">
      <c r="A1303" s="10"/>
      <c r="B1303" s="10"/>
      <c r="C1303" s="18" t="s">
        <v>89</v>
      </c>
      <c r="D1303" s="10"/>
      <c r="F1303" s="6">
        <f t="array" ref="F1303">XLOOKUP(XLOOKUP(IF($C1303="",$B1303,$C1303), 'マスタ'!$C$2:$C$318, 'マスタ'!$D$2:$D$318, IF($C1303="",$B1303,$C1303)), FoC_PL!$A$4:$A$50, FoC_PL!J$4:J$50, 0)</f>
        <v>0</v>
      </c>
    </row>
    <row r="1304" ht="15.75" customHeight="1">
      <c r="A1304" s="10"/>
      <c r="B1304" s="10"/>
      <c r="C1304" s="18" t="s">
        <v>90</v>
      </c>
      <c r="D1304" s="10"/>
      <c r="F1304" s="6">
        <f t="array" ref="F1304">XLOOKUP(XLOOKUP(IF($C1304="",$B1304,$C1304), 'マスタ'!$C$2:$C$318, 'マスタ'!$D$2:$D$318, IF($C1304="",$B1304,$C1304)), FoC_PL!$A$4:$A$50, FoC_PL!J$4:J$50, 0)</f>
        <v>0</v>
      </c>
    </row>
    <row r="1305" ht="15.75" customHeight="1">
      <c r="A1305" s="10"/>
      <c r="B1305" s="10"/>
      <c r="C1305" s="18" t="s">
        <v>91</v>
      </c>
      <c r="D1305" s="10"/>
      <c r="F1305" s="6">
        <f t="array" ref="F1305">XLOOKUP(XLOOKUP(IF($C1305="",$B1305,$C1305), 'マスタ'!$C$2:$C$318, 'マスタ'!$D$2:$D$318, IF($C1305="",$B1305,$C1305)), FoC_PL!$A$4:$A$50, FoC_PL!J$4:J$50, 0)</f>
        <v>0</v>
      </c>
    </row>
    <row r="1306" ht="15.75" customHeight="1">
      <c r="A1306" s="10"/>
      <c r="B1306" s="10"/>
      <c r="C1306" s="18" t="s">
        <v>92</v>
      </c>
      <c r="D1306" s="10"/>
      <c r="F1306" s="6">
        <f t="array" ref="F1306">XLOOKUP(XLOOKUP(IF($C1306="",$B1306,$C1306), 'マスタ'!$C$2:$C$318, 'マスタ'!$D$2:$D$318, IF($C1306="",$B1306,$C1306)), FoC_PL!$A$4:$A$50, FoC_PL!J$4:J$50, 0)</f>
        <v>25482</v>
      </c>
    </row>
    <row r="1307" ht="15.75" customHeight="1">
      <c r="A1307" s="10"/>
      <c r="B1307" s="10"/>
      <c r="C1307" s="18" t="s">
        <v>93</v>
      </c>
      <c r="D1307" s="10"/>
      <c r="F1307" s="6">
        <f t="array" ref="F1307">XLOOKUP(XLOOKUP(IF($C1307="",$B1307,$C1307), 'マスタ'!$C$2:$C$318, 'マスタ'!$D$2:$D$318, IF($C1307="",$B1307,$C1307)), FoC_PL!$A$4:$A$50, FoC_PL!J$4:J$50, 0)</f>
        <v>247328</v>
      </c>
    </row>
    <row r="1308" ht="15.75" customHeight="1">
      <c r="A1308" s="10"/>
      <c r="B1308" s="10"/>
      <c r="C1308" s="18" t="s">
        <v>94</v>
      </c>
      <c r="D1308" s="10"/>
      <c r="F1308" s="6">
        <f t="array" ref="F1308">XLOOKUP(XLOOKUP(IF($C1308="",$B1308,$C1308), 'マスタ'!$C$2:$C$318, 'マスタ'!$D$2:$D$318, IF($C1308="",$B1308,$C1308)), FoC_PL!$A$4:$A$50, FoC_PL!J$4:J$50, 0)</f>
        <v>0</v>
      </c>
    </row>
    <row r="1309" ht="15.75" customHeight="1">
      <c r="A1309" s="10"/>
      <c r="B1309" s="10"/>
      <c r="C1309" s="18" t="s">
        <v>95</v>
      </c>
      <c r="D1309" s="10"/>
      <c r="F1309" s="6">
        <f t="array" ref="F1309">XLOOKUP(XLOOKUP(IF($C1309="",$B1309,$C1309), 'マスタ'!$C$2:$C$318, 'マスタ'!$D$2:$D$318, IF($C1309="",$B1309,$C1309)), FoC_PL!$A$4:$A$50, FoC_PL!J$4:J$50, 0)</f>
        <v>12191</v>
      </c>
    </row>
    <row r="1310" ht="15.75" customHeight="1">
      <c r="A1310" s="10"/>
      <c r="B1310" s="10"/>
      <c r="C1310" s="18" t="s">
        <v>96</v>
      </c>
      <c r="D1310" s="10"/>
      <c r="F1310" s="6">
        <f t="array" ref="F1310">XLOOKUP(XLOOKUP(IF($C1310="",$B1310,$C1310), 'マスタ'!$C$2:$C$318, 'マスタ'!$D$2:$D$318, IF($C1310="",$B1310,$C1310)), FoC_PL!$A$4:$A$50, FoC_PL!J$4:J$50, 0)</f>
        <v>0</v>
      </c>
    </row>
    <row r="1311" ht="15.75" customHeight="1">
      <c r="A1311" s="10"/>
      <c r="B1311" s="10"/>
      <c r="C1311" s="18" t="s">
        <v>97</v>
      </c>
      <c r="D1311" s="10"/>
      <c r="F1311" s="6">
        <f t="array" ref="F1311">XLOOKUP(XLOOKUP(IF($C1311="",$B1311,$C1311), 'マスタ'!$C$2:$C$318, 'マスタ'!$D$2:$D$318, IF($C1311="",$B1311,$C1311)), FoC_PL!$A$4:$A$50, FoC_PL!J$4:J$50, 0)</f>
        <v>0</v>
      </c>
    </row>
    <row r="1312" ht="15.75" customHeight="1">
      <c r="A1312" s="10"/>
      <c r="B1312" s="10"/>
      <c r="C1312" s="18" t="s">
        <v>98</v>
      </c>
      <c r="D1312" s="10"/>
      <c r="F1312" s="6">
        <f t="array" ref="F1312">XLOOKUP(XLOOKUP(IF($C1312="",$B1312,$C1312), 'マスタ'!$C$2:$C$318, 'マスタ'!$D$2:$D$318, IF($C1312="",$B1312,$C1312)), FoC_PL!$A$4:$A$50, FoC_PL!J$4:J$50, 0)</f>
        <v>600</v>
      </c>
    </row>
    <row r="1313" ht="15.75" customHeight="1">
      <c r="A1313" s="10"/>
      <c r="B1313" s="10"/>
      <c r="C1313" s="18" t="s">
        <v>99</v>
      </c>
      <c r="D1313" s="10"/>
      <c r="F1313" s="6">
        <f t="array" ref="F1313">XLOOKUP(XLOOKUP(IF($C1313="",$B1313,$C1313), 'マスタ'!$C$2:$C$318, 'マスタ'!$D$2:$D$318, IF($C1313="",$B1313,$C1313)), FoC_PL!$A$4:$A$50, FoC_PL!J$4:J$50, 0)</f>
        <v>0</v>
      </c>
    </row>
    <row r="1314" ht="15.75" customHeight="1">
      <c r="A1314" s="10"/>
      <c r="B1314" s="10"/>
      <c r="C1314" s="18" t="s">
        <v>100</v>
      </c>
      <c r="D1314" s="10"/>
      <c r="F1314" s="6">
        <f t="array" ref="F1314">XLOOKUP(XLOOKUP(IF($C1314="",$B1314,$C1314), 'マスタ'!$C$2:$C$318, 'マスタ'!$D$2:$D$318, IF($C1314="",$B1314,$C1314)), FoC_PL!$A$4:$A$50, FoC_PL!J$4:J$50, 0)</f>
        <v>0</v>
      </c>
    </row>
    <row r="1315" ht="15.75" customHeight="1">
      <c r="A1315" s="10"/>
      <c r="B1315" s="10"/>
      <c r="C1315" s="18" t="s">
        <v>101</v>
      </c>
      <c r="D1315" s="10"/>
      <c r="F1315" s="6">
        <f t="array" ref="F1315">XLOOKUP(XLOOKUP(IF($C1315="",$B1315,$C1315), 'マスタ'!$C$2:$C$318, 'マスタ'!$D$2:$D$318, IF($C1315="",$B1315,$C1315)), FoC_PL!$A$4:$A$50, FoC_PL!J$4:J$50, 0)</f>
        <v>0</v>
      </c>
    </row>
    <row r="1316" ht="15.75" customHeight="1">
      <c r="A1316" s="18"/>
      <c r="B1316" s="18" t="s">
        <v>102</v>
      </c>
      <c r="C1316" s="10"/>
      <c r="D1316" s="10"/>
      <c r="F1316" s="29">
        <f>SUM(F1286:F1314)</f>
        <v>2532557</v>
      </c>
    </row>
    <row r="1317" ht="15.75" customHeight="1">
      <c r="A1317" s="18"/>
      <c r="B1317" s="18" t="s">
        <v>31</v>
      </c>
      <c r="C1317" s="10"/>
      <c r="D1317" s="10"/>
      <c r="F1317" s="29">
        <f>F1284-F1316</f>
        <v>5545178</v>
      </c>
    </row>
    <row r="1318" ht="15.75" customHeight="1">
      <c r="A1318" s="18"/>
      <c r="B1318" s="18" t="s">
        <v>32</v>
      </c>
      <c r="D1318" s="10"/>
      <c r="F1318" s="6">
        <f>F1319+F1320</f>
        <v>1088</v>
      </c>
    </row>
    <row r="1319" ht="15.75" customHeight="1">
      <c r="A1319" s="10"/>
      <c r="B1319" s="10"/>
      <c r="C1319" s="18" t="s">
        <v>103</v>
      </c>
      <c r="D1319" s="10"/>
      <c r="F1319" s="6">
        <f t="array" ref="F1319">XLOOKUP(XLOOKUP(IF($C1319="",$B1319,$C1319), 'マスタ'!$C$2:$C$318, 'マスタ'!$D$2:$D$318, IF($C1319="",$B1319,$C1319)), FoC_PL!$A$4:$A$50, FoC_PL!J$4:J$50, 0)</f>
        <v>1088</v>
      </c>
    </row>
    <row r="1320" ht="15.75" customHeight="1">
      <c r="A1320" s="10"/>
      <c r="B1320" s="10"/>
      <c r="C1320" s="18" t="s">
        <v>108</v>
      </c>
      <c r="D1320" s="10"/>
      <c r="F1320" s="6">
        <f t="array" ref="F1320">XLOOKUP(XLOOKUP(IF($C1320="",$B1320,$C1320), 'マスタ'!$C$2:$C$318, 'マスタ'!$D$2:$D$318, IF($C1320="",$B1320,$C1320)), FoC_PL!$A$4:$A$50, FoC_PL!J$4:J$50, 0)</f>
        <v>0</v>
      </c>
    </row>
    <row r="1321" ht="15.75" customHeight="1">
      <c r="A1321" s="18"/>
      <c r="B1321" s="18" t="s">
        <v>34</v>
      </c>
      <c r="D1321" s="10"/>
      <c r="F1321" s="6">
        <f>F1322+F1323</f>
        <v>8326</v>
      </c>
    </row>
    <row r="1322" ht="15.75" customHeight="1">
      <c r="A1322" s="10"/>
      <c r="B1322" s="10"/>
      <c r="C1322" s="18" t="s">
        <v>109</v>
      </c>
      <c r="D1322" s="10"/>
      <c r="F1322" s="6">
        <f t="array" ref="F1322">XLOOKUP(XLOOKUP(IF($C1322="",$B1322,$C1322), 'マスタ'!$C$2:$C$318, 'マスタ'!$D$2:$D$318, IF($C1322="",$B1322,$C1322)), FoC_PL!$A$4:$A$50, FoC_PL!J$4:J$50, 0)</f>
        <v>8326</v>
      </c>
    </row>
    <row r="1323" ht="15.75" customHeight="1">
      <c r="A1323" s="10"/>
      <c r="B1323" s="10"/>
      <c r="C1323" s="18" t="s">
        <v>111</v>
      </c>
      <c r="D1323" s="10"/>
      <c r="F1323" s="6">
        <f t="array" ref="F1323">XLOOKUP(XLOOKUP(IF($C1323="",$B1323,$C1323), 'マスタ'!$C$2:$C$318, 'マスタ'!$D$2:$D$318, IF($C1323="",$B1323,$C1323)), FoC_PL!$A$4:$A$50, FoC_PL!J$4:J$50, 0)</f>
        <v>0</v>
      </c>
    </row>
    <row r="1324" ht="15.75" customHeight="1">
      <c r="A1324" s="18"/>
      <c r="B1324" s="18" t="s">
        <v>112</v>
      </c>
      <c r="C1324" s="10"/>
      <c r="D1324" s="10"/>
      <c r="F1324" s="29">
        <f>F1317+F1318-F1321</f>
        <v>5537940</v>
      </c>
    </row>
    <row r="1325" ht="15.75" customHeight="1">
      <c r="A1325" s="10"/>
      <c r="B1325" s="10"/>
      <c r="C1325" s="18" t="s">
        <v>37</v>
      </c>
      <c r="D1325" s="10"/>
      <c r="F1325" s="6">
        <f t="array" ref="F1325">XLOOKUP(XLOOKUP(IF($C1325="",$B1325,$C1325), 'マスタ'!$C$2:$C$318, 'マスタ'!$D$2:$D$318, IF($C1325="",$B1325,$C1325)), FoC_PL!$A$4:$A$50, FoC_PL!J$4:J$50, 0)</f>
        <v>0</v>
      </c>
    </row>
    <row r="1326" ht="15.75" customHeight="1">
      <c r="A1326" s="10"/>
      <c r="B1326" s="10"/>
      <c r="C1326" s="18" t="s">
        <v>39</v>
      </c>
      <c r="D1326" s="10"/>
      <c r="F1326" s="6">
        <f t="array" ref="F1326">XLOOKUP(XLOOKUP(IF($C1326="",$B1326,$C1326), 'マスタ'!$C$2:$C$318, 'マスタ'!$D$2:$D$318, IF($C1326="",$B1326,$C1326)), FoC_PL!$A$4:$A$50, FoC_PL!J$4:J$50, 0)</f>
        <v>0</v>
      </c>
    </row>
    <row r="1327" ht="15.75" customHeight="1">
      <c r="A1327" s="18"/>
      <c r="B1327" s="18" t="s">
        <v>117</v>
      </c>
      <c r="C1327" s="10"/>
      <c r="D1327" s="10"/>
      <c r="F1327" s="6">
        <f>F1324+F1325-F1326</f>
        <v>5537940</v>
      </c>
    </row>
    <row r="1328" ht="15.75" customHeight="1">
      <c r="A1328" s="10"/>
      <c r="B1328" s="10"/>
      <c r="C1328" s="18" t="s">
        <v>43</v>
      </c>
      <c r="D1328" s="10"/>
      <c r="F1328" s="6">
        <f t="array" ref="F1328">XLOOKUP(XLOOKUP(IF($C1328="",$B1328,$C1328), 'マスタ'!$C$2:$C$318, 'マスタ'!$D$2:$D$318, IF($C1328="",$B1328,$C1328)), FoC_PL!$A$4:$A$50, FoC_PL!J$4:J$50, 0)</f>
        <v>0</v>
      </c>
    </row>
    <row r="1329" ht="15.75" customHeight="1">
      <c r="A1329" s="10"/>
      <c r="B1329" s="10"/>
      <c r="C1329" s="18" t="s">
        <v>118</v>
      </c>
      <c r="D1329" s="10"/>
      <c r="F1329" s="6">
        <f t="array" ref="F1329">XLOOKUP(XLOOKUP(IF($C1329="",$B1329,$C1329), 'マスタ'!$C$2:$C$318, 'マスタ'!$D$2:$D$318, IF($C1329="",$B1329,$C1329)), FoC_PL!$A$4:$A$50, FoC_PL!J$4:J$50, 0)</f>
        <v>0</v>
      </c>
    </row>
    <row r="1330" ht="15.75" customHeight="1" collapsed="1">
      <c r="A1330" s="18"/>
      <c r="B1330" s="18" t="s">
        <v>119</v>
      </c>
      <c r="C1330" s="10"/>
      <c r="D1330" s="10"/>
      <c r="F1330" s="6">
        <f>F1327-(F1328+F1329)</f>
        <v>5537940</v>
      </c>
    </row>
    <row r="1331" ht="15.75" hidden="1" customHeight="1" outlineLevel="1">
      <c r="A1331" s="10"/>
      <c r="B1331" s="10"/>
      <c r="C1331" s="18" t="s">
        <v>32</v>
      </c>
      <c r="D1331" s="10"/>
      <c r="F1331" s="20"/>
    </row>
    <row r="1332" ht="15.75" hidden="1" customHeight="1" outlineLevel="1">
      <c r="A1332" s="10"/>
      <c r="B1332" s="10"/>
      <c r="C1332" s="18" t="s">
        <v>103</v>
      </c>
      <c r="D1332" s="10"/>
      <c r="F1332" s="20"/>
    </row>
    <row r="1333" ht="15.75" hidden="1" customHeight="1" outlineLevel="1">
      <c r="A1333" s="10"/>
      <c r="B1333" s="10"/>
      <c r="C1333" s="18" t="s">
        <v>160</v>
      </c>
      <c r="D1333" s="10"/>
      <c r="F1333" s="10"/>
    </row>
    <row r="1334" ht="15.75" hidden="1" customHeight="1" outlineLevel="1">
      <c r="A1334" s="10"/>
      <c r="B1334" s="10"/>
      <c r="C1334" s="18" t="s">
        <v>108</v>
      </c>
      <c r="D1334" s="10"/>
      <c r="F1334" s="10"/>
    </row>
    <row r="1335" ht="15.75" hidden="1" customHeight="1" outlineLevel="1">
      <c r="A1335" s="10"/>
      <c r="B1335" s="10"/>
      <c r="C1335" s="18" t="s">
        <v>107</v>
      </c>
      <c r="D1335" s="10"/>
      <c r="F1335" s="10"/>
    </row>
    <row r="1336" ht="15.75" hidden="1" customHeight="1" outlineLevel="1">
      <c r="A1336" s="10"/>
      <c r="B1336" s="10"/>
      <c r="C1336" s="18" t="s">
        <v>34</v>
      </c>
      <c r="D1336" s="10"/>
      <c r="F1336" s="20"/>
    </row>
    <row r="1337" ht="15.75" hidden="1" customHeight="1" outlineLevel="1">
      <c r="A1337" s="10"/>
      <c r="B1337" s="10"/>
      <c r="C1337" s="18" t="s">
        <v>109</v>
      </c>
      <c r="D1337" s="10"/>
      <c r="F1337" s="20"/>
    </row>
    <row r="1338" ht="15.75" hidden="1" customHeight="1" outlineLevel="1">
      <c r="A1338" s="10"/>
      <c r="B1338" s="10"/>
      <c r="C1338" s="18" t="s">
        <v>110</v>
      </c>
      <c r="D1338" s="10"/>
      <c r="F1338" s="10"/>
    </row>
    <row r="1339" ht="15.75" hidden="1" customHeight="1" outlineLevel="1">
      <c r="A1339" s="18"/>
      <c r="B1339" s="18" t="s">
        <v>112</v>
      </c>
      <c r="C1339" s="10"/>
      <c r="D1339" s="18" t="s">
        <v>13</v>
      </c>
      <c r="F1339" s="20"/>
    </row>
    <row r="1340" ht="15.75" hidden="1" customHeight="1" outlineLevel="1">
      <c r="A1340" s="10"/>
      <c r="B1340" s="10"/>
      <c r="C1340" s="18" t="s">
        <v>37</v>
      </c>
      <c r="D1340" s="10"/>
      <c r="F1340" s="20"/>
    </row>
    <row r="1341" ht="15.75" hidden="1" customHeight="1" outlineLevel="1">
      <c r="A1341" s="10"/>
      <c r="B1341" s="10"/>
      <c r="C1341" s="18" t="s">
        <v>39</v>
      </c>
      <c r="D1341" s="10"/>
      <c r="F1341" s="20"/>
    </row>
    <row r="1342" ht="15.75" hidden="1" customHeight="1" outlineLevel="1">
      <c r="A1342" s="18"/>
      <c r="B1342" s="18" t="s">
        <v>117</v>
      </c>
      <c r="C1342" s="10"/>
      <c r="D1342" s="18" t="s">
        <v>42</v>
      </c>
      <c r="F1342" s="20"/>
    </row>
    <row r="1343" ht="15.75" hidden="1" customHeight="1" outlineLevel="1">
      <c r="A1343" s="10"/>
      <c r="B1343" s="10"/>
      <c r="C1343" s="18" t="s">
        <v>43</v>
      </c>
      <c r="D1343" s="10"/>
      <c r="F1343" s="20"/>
    </row>
    <row r="1344" ht="15.75" hidden="1" customHeight="1" outlineLevel="1">
      <c r="A1344" s="10"/>
      <c r="B1344" s="10"/>
      <c r="C1344" s="18" t="s">
        <v>118</v>
      </c>
      <c r="D1344" s="10"/>
      <c r="F1344" s="20"/>
    </row>
    <row r="1345" ht="15.75" hidden="1" customHeight="1" outlineLevel="1">
      <c r="A1345" s="18"/>
      <c r="B1345" s="18" t="s">
        <v>119</v>
      </c>
      <c r="C1345" s="10"/>
      <c r="D1345" s="18" t="s">
        <v>161</v>
      </c>
      <c r="F1345" s="20"/>
    </row>
    <row r="1346" ht="15.75" customHeight="1" collapsed="1">
      <c r="A1346" s="39"/>
      <c r="B1346" s="39"/>
      <c r="C1346" s="10"/>
      <c r="D1346" s="10"/>
      <c r="F1346" s="10"/>
    </row>
    <row r="1347" ht="15.75" hidden="1" customHeight="1" outlineLevel="1">
      <c r="A1347" s="10"/>
      <c r="B1347" s="10"/>
      <c r="C1347" s="10"/>
      <c r="D1347" s="10"/>
      <c r="F1347" s="10"/>
    </row>
    <row r="1348" ht="15.75" hidden="1" customHeight="1" outlineLevel="1">
      <c r="A1348" s="10"/>
      <c r="B1348" s="10"/>
      <c r="C1348" s="4" t="s">
        <v>162</v>
      </c>
      <c r="D1348" s="10"/>
      <c r="F1348" s="10"/>
    </row>
    <row r="1349" ht="15.75" hidden="1" customHeight="1" outlineLevel="1">
      <c r="A1349" s="10"/>
      <c r="B1349" s="10"/>
      <c r="C1349" s="18" t="s">
        <v>1</v>
      </c>
      <c r="D1349" s="10"/>
      <c r="F1349" s="10"/>
    </row>
    <row r="1350" ht="15.75" hidden="1" customHeight="1" outlineLevel="1">
      <c r="A1350" s="10"/>
      <c r="B1350" s="10"/>
      <c r="C1350" s="18" t="s">
        <v>28</v>
      </c>
      <c r="D1350" s="10"/>
      <c r="F1350" s="10"/>
    </row>
    <row r="1351" ht="15.75" hidden="1" customHeight="1" outlineLevel="1">
      <c r="A1351" s="10"/>
      <c r="B1351" s="10"/>
      <c r="C1351" s="18" t="s">
        <v>5</v>
      </c>
      <c r="D1351" s="10"/>
      <c r="F1351" s="10"/>
    </row>
    <row r="1352" ht="15.75" hidden="1" customHeight="1" outlineLevel="1">
      <c r="A1352" s="10"/>
      <c r="B1352" s="10"/>
      <c r="C1352" s="18" t="s">
        <v>163</v>
      </c>
      <c r="D1352" s="10"/>
      <c r="F1352" s="10"/>
    </row>
    <row r="1353" ht="15.75" hidden="1" customHeight="1" outlineLevel="1">
      <c r="A1353" s="10"/>
      <c r="B1353" s="10"/>
      <c r="C1353" s="18" t="s">
        <v>80</v>
      </c>
      <c r="D1353" s="10"/>
      <c r="F1353" s="10"/>
    </row>
    <row r="1354" ht="15.75" hidden="1" customHeight="1" outlineLevel="1">
      <c r="A1354" s="10"/>
      <c r="B1354" s="10"/>
      <c r="C1354" s="18" t="s">
        <v>81</v>
      </c>
      <c r="D1354" s="10"/>
      <c r="F1354" s="10"/>
    </row>
    <row r="1355" ht="15.75" hidden="1" customHeight="1" outlineLevel="1">
      <c r="A1355" s="10"/>
      <c r="B1355" s="10"/>
      <c r="C1355" s="18" t="s">
        <v>79</v>
      </c>
      <c r="D1355" s="10"/>
      <c r="F1355" s="10"/>
    </row>
    <row r="1356" ht="15.75" hidden="1" customHeight="1" outlineLevel="1">
      <c r="A1356" s="10"/>
      <c r="B1356" s="10"/>
      <c r="C1356" s="18" t="s">
        <v>87</v>
      </c>
      <c r="D1356" s="10"/>
      <c r="F1356" s="10"/>
    </row>
    <row r="1357" ht="15.75" hidden="1" customHeight="1" outlineLevel="1">
      <c r="A1357" s="10"/>
      <c r="B1357" s="10"/>
      <c r="C1357" s="18" t="s">
        <v>164</v>
      </c>
      <c r="D1357" s="10"/>
      <c r="F1357" s="10"/>
    </row>
    <row r="1358" ht="15.75" hidden="1" customHeight="1" outlineLevel="1">
      <c r="A1358" s="10"/>
      <c r="B1358" s="10"/>
      <c r="C1358" s="18" t="s">
        <v>165</v>
      </c>
      <c r="D1358" s="10"/>
      <c r="F1358" s="10"/>
    </row>
    <row r="1359" ht="15.75" hidden="1" customHeight="1" outlineLevel="1">
      <c r="A1359" s="10"/>
      <c r="B1359" s="10"/>
      <c r="C1359" s="18" t="s">
        <v>31</v>
      </c>
      <c r="D1359" s="10"/>
      <c r="F1359" s="10"/>
    </row>
    <row r="1360" ht="15.75" hidden="1" customHeight="1" outlineLevel="1">
      <c r="A1360" s="10"/>
      <c r="B1360" s="10"/>
      <c r="C1360" s="18" t="s">
        <v>32</v>
      </c>
      <c r="D1360" s="10"/>
      <c r="F1360" s="10"/>
    </row>
    <row r="1361" ht="15.75" hidden="1" customHeight="1" outlineLevel="1">
      <c r="A1361" s="10"/>
      <c r="B1361" s="10"/>
      <c r="C1361" s="18" t="s">
        <v>34</v>
      </c>
      <c r="D1361" s="10"/>
      <c r="F1361" s="10"/>
    </row>
    <row r="1362" ht="15.75" hidden="1" customHeight="1" outlineLevel="1">
      <c r="A1362" s="10"/>
      <c r="B1362" s="10"/>
      <c r="C1362" s="18" t="s">
        <v>36</v>
      </c>
      <c r="D1362" s="10"/>
      <c r="F1362" s="10"/>
    </row>
    <row r="1363" ht="15.75" hidden="1" customHeight="1" outlineLevel="1">
      <c r="A1363" s="10"/>
      <c r="B1363" s="10"/>
      <c r="C1363" s="18" t="s">
        <v>37</v>
      </c>
      <c r="D1363" s="10"/>
      <c r="F1363" s="10"/>
    </row>
    <row r="1364" ht="15.75" hidden="1" customHeight="1" outlineLevel="1">
      <c r="A1364" s="10"/>
      <c r="B1364" s="10"/>
      <c r="C1364" s="18" t="s">
        <v>39</v>
      </c>
      <c r="D1364" s="10"/>
      <c r="F1364" s="10"/>
    </row>
    <row r="1365" ht="15.75" hidden="1" customHeight="1" outlineLevel="1">
      <c r="A1365" s="10"/>
      <c r="B1365" s="10"/>
      <c r="C1365" s="18" t="s">
        <v>117</v>
      </c>
      <c r="D1365" s="10"/>
      <c r="F1365" s="10"/>
    </row>
    <row r="1366" ht="15.75" hidden="1" customHeight="1" outlineLevel="1">
      <c r="A1366" s="10"/>
      <c r="B1366" s="10"/>
      <c r="C1366" s="18" t="s">
        <v>43</v>
      </c>
      <c r="D1366" s="10"/>
      <c r="F1366" s="10"/>
    </row>
    <row r="1367" ht="15.75" hidden="1" customHeight="1" outlineLevel="1">
      <c r="A1367" s="10"/>
      <c r="B1367" s="10"/>
      <c r="C1367" s="18" t="s">
        <v>119</v>
      </c>
      <c r="D1367" s="10"/>
      <c r="F1367" s="10"/>
    </row>
    <row r="1368" ht="15.75" hidden="1" customHeight="1" outlineLevel="1">
      <c r="A1368" s="10"/>
      <c r="B1368" s="10"/>
      <c r="C1368" s="10"/>
      <c r="D1368" s="10"/>
      <c r="F1368" s="10"/>
    </row>
    <row r="1369" ht="15.75" hidden="1" customHeight="1" outlineLevel="1">
      <c r="A1369" s="10"/>
      <c r="B1369" s="10"/>
      <c r="C1369" s="10"/>
      <c r="D1369" s="10"/>
      <c r="F1369" s="10"/>
    </row>
    <row r="1370" ht="15.75" hidden="1" customHeight="1" outlineLevel="1">
      <c r="A1370" s="10"/>
      <c r="B1370" s="10"/>
      <c r="C1370" s="10"/>
      <c r="D1370" s="10"/>
      <c r="F1370" s="10"/>
    </row>
    <row r="1371" ht="15.75" hidden="1" customHeight="1" outlineLevel="1">
      <c r="A1371" s="10"/>
      <c r="B1371" s="10"/>
      <c r="C1371" s="18" t="s">
        <v>166</v>
      </c>
      <c r="D1371" s="10"/>
      <c r="F1371" s="10"/>
    </row>
    <row r="1372" ht="15.75" hidden="1" customHeight="1" outlineLevel="1">
      <c r="A1372" s="10"/>
      <c r="B1372" s="10"/>
      <c r="C1372" s="18" t="s">
        <v>1</v>
      </c>
      <c r="D1372" s="10"/>
      <c r="F1372" s="10"/>
    </row>
    <row r="1373" ht="15.75" hidden="1" customHeight="1" outlineLevel="1">
      <c r="A1373" s="10"/>
      <c r="B1373" s="10"/>
      <c r="C1373" s="18" t="s">
        <v>28</v>
      </c>
      <c r="D1373" s="10"/>
      <c r="F1373" s="10"/>
    </row>
    <row r="1374" ht="15.75" hidden="1" customHeight="1" outlineLevel="1">
      <c r="A1374" s="10"/>
      <c r="B1374" s="10"/>
      <c r="C1374" s="18" t="s">
        <v>5</v>
      </c>
      <c r="D1374" s="10"/>
      <c r="F1374" s="10"/>
    </row>
    <row r="1375" ht="15.75" hidden="1" customHeight="1" outlineLevel="1">
      <c r="A1375" s="10"/>
      <c r="B1375" s="10"/>
      <c r="C1375" s="18" t="s">
        <v>163</v>
      </c>
      <c r="D1375" s="10"/>
      <c r="F1375" s="10"/>
    </row>
    <row r="1376" ht="15.75" hidden="1" customHeight="1" outlineLevel="1">
      <c r="A1376" s="10"/>
      <c r="B1376" s="10"/>
      <c r="C1376" s="18" t="s">
        <v>80</v>
      </c>
      <c r="D1376" s="10"/>
      <c r="F1376" s="10"/>
    </row>
    <row r="1377" ht="15.75" hidden="1" customHeight="1" outlineLevel="1">
      <c r="A1377" s="10"/>
      <c r="B1377" s="10"/>
      <c r="C1377" s="18" t="s">
        <v>81</v>
      </c>
      <c r="D1377" s="10"/>
      <c r="F1377" s="10"/>
    </row>
    <row r="1378" ht="15.75" hidden="1" customHeight="1" outlineLevel="1">
      <c r="A1378" s="10"/>
      <c r="B1378" s="10"/>
      <c r="C1378" s="18" t="s">
        <v>79</v>
      </c>
      <c r="D1378" s="10"/>
      <c r="F1378" s="10"/>
    </row>
    <row r="1379" ht="15.75" hidden="1" customHeight="1" outlineLevel="1">
      <c r="A1379" s="10"/>
      <c r="B1379" s="10"/>
      <c r="C1379" s="18" t="s">
        <v>87</v>
      </c>
      <c r="D1379" s="10"/>
      <c r="F1379" s="10"/>
    </row>
    <row r="1380" ht="15.75" hidden="1" customHeight="1" outlineLevel="1">
      <c r="A1380" s="10"/>
      <c r="B1380" s="10"/>
      <c r="C1380" s="18" t="s">
        <v>164</v>
      </c>
      <c r="D1380" s="10"/>
      <c r="F1380" s="10"/>
    </row>
    <row r="1381" ht="15.75" hidden="1" customHeight="1" outlineLevel="1">
      <c r="A1381" s="10"/>
      <c r="B1381" s="10"/>
      <c r="C1381" s="18" t="s">
        <v>165</v>
      </c>
      <c r="D1381" s="10"/>
      <c r="F1381" s="10"/>
    </row>
    <row r="1382" ht="15.75" hidden="1" customHeight="1" outlineLevel="1">
      <c r="A1382" s="10"/>
      <c r="B1382" s="10"/>
      <c r="C1382" s="18" t="s">
        <v>31</v>
      </c>
      <c r="D1382" s="10"/>
      <c r="F1382" s="10"/>
    </row>
    <row r="1383" ht="15.75" hidden="1" customHeight="1" outlineLevel="1">
      <c r="A1383" s="10"/>
      <c r="B1383" s="10"/>
      <c r="C1383" s="18" t="s">
        <v>32</v>
      </c>
      <c r="D1383" s="10"/>
      <c r="F1383" s="10"/>
    </row>
    <row r="1384" ht="15.75" hidden="1" customHeight="1" outlineLevel="1">
      <c r="A1384" s="10"/>
      <c r="B1384" s="10"/>
      <c r="C1384" s="18" t="s">
        <v>34</v>
      </c>
      <c r="D1384" s="10"/>
      <c r="F1384" s="10"/>
    </row>
    <row r="1385" ht="15.75" hidden="1" customHeight="1" outlineLevel="1">
      <c r="A1385" s="10"/>
      <c r="B1385" s="10"/>
      <c r="C1385" s="18" t="s">
        <v>36</v>
      </c>
      <c r="D1385" s="10"/>
      <c r="F1385" s="10"/>
    </row>
    <row r="1386" ht="15.75" hidden="1" customHeight="1" outlineLevel="1">
      <c r="A1386" s="10"/>
      <c r="B1386" s="10"/>
      <c r="C1386" s="18" t="s">
        <v>37</v>
      </c>
      <c r="D1386" s="10"/>
      <c r="F1386" s="10"/>
    </row>
    <row r="1387" ht="15.75" hidden="1" customHeight="1" outlineLevel="1">
      <c r="A1387" s="10"/>
      <c r="B1387" s="10"/>
      <c r="C1387" s="18" t="s">
        <v>39</v>
      </c>
      <c r="D1387" s="10"/>
      <c r="F1387" s="10"/>
    </row>
    <row r="1388" ht="15.75" hidden="1" customHeight="1" outlineLevel="1">
      <c r="A1388" s="10"/>
      <c r="B1388" s="10"/>
      <c r="C1388" s="18" t="s">
        <v>117</v>
      </c>
      <c r="D1388" s="10"/>
      <c r="F1388" s="10"/>
    </row>
    <row r="1389" ht="15.75" hidden="1" customHeight="1" outlineLevel="1">
      <c r="A1389" s="10"/>
      <c r="B1389" s="10"/>
      <c r="C1389" s="18" t="s">
        <v>43</v>
      </c>
      <c r="D1389" s="10"/>
      <c r="F1389" s="10"/>
    </row>
    <row r="1390" ht="15.75" hidden="1" customHeight="1" outlineLevel="1">
      <c r="A1390" s="10"/>
      <c r="B1390" s="10"/>
      <c r="C1390" s="18" t="s">
        <v>119</v>
      </c>
      <c r="D1390" s="10"/>
      <c r="F1390" s="10"/>
    </row>
    <row r="1391" ht="15.75" hidden="1" customHeight="1" outlineLevel="1">
      <c r="A1391" s="10"/>
      <c r="B1391" s="10"/>
      <c r="C1391" s="10"/>
      <c r="D1391" s="10"/>
      <c r="F1391" s="10"/>
    </row>
    <row r="1392" ht="15.75" hidden="1" customHeight="1" outlineLevel="1">
      <c r="A1392" s="10"/>
      <c r="B1392" s="10"/>
      <c r="C1392" s="21" t="s">
        <v>58</v>
      </c>
      <c r="D1392" s="10"/>
      <c r="F1392" s="10"/>
    </row>
    <row r="1393" ht="15.75" hidden="1" customHeight="1" outlineLevel="1">
      <c r="A1393" s="10"/>
      <c r="B1393" s="10"/>
      <c r="C1393" s="21" t="s">
        <v>167</v>
      </c>
      <c r="D1393" s="10"/>
      <c r="F1393" s="10"/>
    </row>
    <row r="1394" ht="15.75" hidden="1" customHeight="1" outlineLevel="1">
      <c r="A1394" s="10"/>
      <c r="B1394" s="10"/>
      <c r="C1394" s="10"/>
      <c r="D1394" s="10"/>
      <c r="F1394" s="10"/>
    </row>
    <row r="1395" ht="15.75" hidden="1" customHeight="1" outlineLevel="1">
      <c r="A1395" s="10"/>
      <c r="B1395" s="10"/>
      <c r="C1395" s="10"/>
      <c r="D1395" s="10"/>
      <c r="F1395" s="10"/>
    </row>
    <row r="1396" ht="15.75" hidden="1" customHeight="1" outlineLevel="1">
      <c r="A1396" s="10"/>
      <c r="B1396" s="10"/>
      <c r="C1396" s="27" t="s">
        <v>168</v>
      </c>
      <c r="D1396" s="27"/>
      <c r="E1396" s="27"/>
      <c r="F1396" s="27"/>
    </row>
    <row r="1397" ht="15.75" hidden="1" customHeight="1" outlineLevel="1">
      <c r="A1397" s="10"/>
      <c r="B1397" s="10"/>
      <c r="C1397" s="18" t="s">
        <v>1</v>
      </c>
      <c r="D1397" s="10"/>
      <c r="F1397" s="5">
        <f>F1448+F1516+F1585+F1652+F1721</f>
        <v>135867663</v>
      </c>
    </row>
    <row r="1398" ht="15.75" hidden="1" customHeight="1" outlineLevel="1">
      <c r="A1398" s="10"/>
      <c r="B1398" s="10"/>
      <c r="C1398" s="18" t="s">
        <v>28</v>
      </c>
      <c r="D1398" s="10"/>
      <c r="F1398" s="5">
        <f>F1454+F1522+F1591+F1659+F1727</f>
        <v>102731827</v>
      </c>
    </row>
    <row r="1399" ht="15.75" hidden="1" customHeight="1" outlineLevel="1">
      <c r="A1399" s="10"/>
      <c r="B1399" s="10"/>
      <c r="C1399" s="18" t="s">
        <v>5</v>
      </c>
      <c r="D1399" s="10"/>
      <c r="F1399" s="5">
        <f>F1397-F1398</f>
        <v>33135836</v>
      </c>
    </row>
    <row r="1400" ht="15.75" hidden="1" customHeight="1" outlineLevel="1">
      <c r="A1400" s="10"/>
      <c r="B1400" s="10"/>
      <c r="C1400" s="18" t="s">
        <v>163</v>
      </c>
      <c r="D1400" s="10"/>
      <c r="F1400" s="5">
        <f>SUM(F979:F982, F1046:F1049, F1113:F1116, F1180:F1183, F1247:F1250, F1314:F1317, F1936:F1939) </f>
        <v>8077735</v>
      </c>
    </row>
    <row r="1401" ht="15.75" hidden="1" customHeight="1" outlineLevel="1">
      <c r="A1401" s="10"/>
      <c r="B1401" s="10"/>
      <c r="C1401" s="18" t="s">
        <v>80</v>
      </c>
      <c r="D1401" s="10"/>
      <c r="F1401" s="10"/>
    </row>
    <row r="1402" ht="15.75" hidden="1" customHeight="1" outlineLevel="1">
      <c r="A1402" s="10"/>
      <c r="B1402" s="10"/>
      <c r="C1402" s="18" t="s">
        <v>81</v>
      </c>
      <c r="D1402" s="10"/>
      <c r="F1402" s="10"/>
    </row>
    <row r="1403" ht="15.75" hidden="1" customHeight="1" outlineLevel="1">
      <c r="A1403" s="10"/>
      <c r="B1403" s="10"/>
      <c r="C1403" s="18" t="s">
        <v>79</v>
      </c>
      <c r="D1403" s="10"/>
      <c r="F1403" s="10"/>
    </row>
    <row r="1404" ht="15.75" hidden="1" customHeight="1" outlineLevel="1">
      <c r="A1404" s="10"/>
      <c r="B1404" s="10"/>
      <c r="C1404" s="18" t="s">
        <v>87</v>
      </c>
      <c r="D1404" s="10"/>
      <c r="F1404" s="10"/>
    </row>
    <row r="1405" ht="15.75" hidden="1" customHeight="1" outlineLevel="1">
      <c r="A1405" s="10"/>
      <c r="B1405" s="10"/>
      <c r="C1405" s="18" t="s">
        <v>164</v>
      </c>
      <c r="D1405" s="10"/>
      <c r="F1405" s="10"/>
    </row>
    <row r="1406" ht="15.75" hidden="1" customHeight="1" outlineLevel="1">
      <c r="A1406" s="10"/>
      <c r="B1406" s="10"/>
      <c r="C1406" s="18" t="s">
        <v>165</v>
      </c>
      <c r="D1406" s="10"/>
      <c r="F1406" s="10"/>
    </row>
    <row r="1407" ht="15.75" hidden="1" customHeight="1" outlineLevel="1">
      <c r="A1407" s="10"/>
      <c r="B1407" s="10"/>
      <c r="C1407" s="18" t="s">
        <v>31</v>
      </c>
      <c r="D1407" s="10"/>
      <c r="F1407" s="10"/>
    </row>
    <row r="1408" ht="15.75" hidden="1" customHeight="1" outlineLevel="1">
      <c r="A1408" s="10"/>
      <c r="B1408" s="10"/>
      <c r="C1408" s="18" t="s">
        <v>32</v>
      </c>
      <c r="D1408" s="10"/>
      <c r="F1408" s="10"/>
    </row>
    <row r="1409" ht="15.75" hidden="1" customHeight="1" outlineLevel="1">
      <c r="A1409" s="10"/>
      <c r="B1409" s="10"/>
      <c r="C1409" s="18" t="s">
        <v>34</v>
      </c>
      <c r="D1409" s="10"/>
      <c r="F1409" s="10"/>
    </row>
    <row r="1410" ht="15.75" hidden="1" customHeight="1" outlineLevel="1">
      <c r="A1410" s="10"/>
      <c r="B1410" s="10"/>
      <c r="C1410" s="18" t="s">
        <v>36</v>
      </c>
      <c r="D1410" s="10"/>
      <c r="F1410" s="10"/>
    </row>
    <row r="1411" ht="15.75" hidden="1" customHeight="1" outlineLevel="1">
      <c r="A1411" s="10"/>
      <c r="B1411" s="10"/>
      <c r="C1411" s="18" t="s">
        <v>37</v>
      </c>
      <c r="D1411" s="10"/>
      <c r="F1411" s="10"/>
    </row>
    <row r="1412" ht="15.75" hidden="1" customHeight="1" outlineLevel="1">
      <c r="A1412" s="10"/>
      <c r="B1412" s="10"/>
      <c r="C1412" s="18" t="s">
        <v>39</v>
      </c>
      <c r="D1412" s="10"/>
      <c r="F1412" s="10"/>
    </row>
    <row r="1413" ht="15.75" hidden="1" customHeight="1" outlineLevel="1">
      <c r="A1413" s="10"/>
      <c r="B1413" s="10"/>
      <c r="C1413" s="18" t="s">
        <v>117</v>
      </c>
      <c r="D1413" s="10"/>
      <c r="F1413" s="10"/>
    </row>
    <row r="1414" ht="15.75" hidden="1" customHeight="1" outlineLevel="1">
      <c r="A1414" s="10"/>
      <c r="B1414" s="10"/>
      <c r="C1414" s="18" t="s">
        <v>43</v>
      </c>
      <c r="D1414" s="10"/>
      <c r="F1414" s="10"/>
    </row>
    <row r="1415" ht="15.75" hidden="1" customHeight="1" outlineLevel="1">
      <c r="A1415" s="10"/>
      <c r="B1415" s="10"/>
      <c r="C1415" s="18" t="s">
        <v>119</v>
      </c>
      <c r="D1415" s="10"/>
      <c r="F1415" s="10"/>
    </row>
    <row r="1416" ht="15.75" hidden="1" customHeight="1" outlineLevel="1">
      <c r="A1416" s="10"/>
      <c r="B1416" s="10"/>
      <c r="C1416" s="10"/>
      <c r="D1416" s="10"/>
      <c r="F1416" s="10"/>
    </row>
    <row r="1417" ht="15.75" hidden="1" customHeight="1" outlineLevel="1">
      <c r="A1417" s="10"/>
      <c r="B1417" s="10"/>
      <c r="C1417" s="10"/>
      <c r="D1417" s="10"/>
      <c r="F1417" s="10"/>
    </row>
    <row r="1418" ht="15.75" customHeight="1" collapsed="1">
      <c r="A1418" s="10"/>
      <c r="B1418" s="10"/>
      <c r="C1418" s="10"/>
      <c r="D1418" s="10"/>
      <c r="F1418" s="10"/>
    </row>
    <row r="1419" ht="15.75" hidden="1" customHeight="1" outlineLevel="1">
      <c r="A1419" s="10"/>
      <c r="B1419" s="10"/>
      <c r="C1419" s="18" t="s">
        <v>169</v>
      </c>
      <c r="D1419" s="10"/>
      <c r="F1419" s="10"/>
    </row>
    <row r="1420" ht="15.75" hidden="1" customHeight="1" outlineLevel="1">
      <c r="A1420" s="10"/>
      <c r="B1420" s="10"/>
      <c r="C1420" s="18" t="s">
        <v>1</v>
      </c>
      <c r="D1420" s="10"/>
      <c r="F1420" s="10"/>
    </row>
    <row r="1421" ht="15.75" hidden="1" customHeight="1" outlineLevel="1">
      <c r="A1421" s="10"/>
      <c r="B1421" s="10"/>
      <c r="C1421" s="18" t="s">
        <v>28</v>
      </c>
      <c r="D1421" s="10"/>
      <c r="F1421" s="10"/>
    </row>
    <row r="1422" ht="15.75" hidden="1" customHeight="1" outlineLevel="1">
      <c r="A1422" s="10"/>
      <c r="B1422" s="10"/>
      <c r="C1422" s="18" t="s">
        <v>5</v>
      </c>
      <c r="D1422" s="10"/>
      <c r="F1422" s="10"/>
    </row>
    <row r="1423" ht="15.75" hidden="1" customHeight="1" outlineLevel="1">
      <c r="A1423" s="10"/>
      <c r="B1423" s="10"/>
      <c r="C1423" s="18" t="s">
        <v>163</v>
      </c>
      <c r="D1423" s="10"/>
      <c r="F1423" s="10"/>
    </row>
    <row r="1424" ht="15.75" hidden="1" customHeight="1" outlineLevel="1">
      <c r="A1424" s="10"/>
      <c r="B1424" s="10"/>
      <c r="C1424" s="18" t="s">
        <v>80</v>
      </c>
      <c r="D1424" s="10"/>
      <c r="F1424" s="10"/>
    </row>
    <row r="1425" ht="15.75" hidden="1" customHeight="1" outlineLevel="1">
      <c r="A1425" s="10"/>
      <c r="B1425" s="10"/>
      <c r="C1425" s="18" t="s">
        <v>81</v>
      </c>
      <c r="D1425" s="10"/>
      <c r="F1425" s="10"/>
    </row>
    <row r="1426" ht="15.75" hidden="1" customHeight="1" outlineLevel="1">
      <c r="A1426" s="10"/>
      <c r="B1426" s="10"/>
      <c r="C1426" s="18" t="s">
        <v>79</v>
      </c>
      <c r="D1426" s="10"/>
      <c r="F1426" s="10"/>
    </row>
    <row r="1427" ht="15.75" hidden="1" customHeight="1" outlineLevel="1">
      <c r="A1427" s="10"/>
      <c r="B1427" s="10"/>
      <c r="C1427" s="18" t="s">
        <v>87</v>
      </c>
      <c r="D1427" s="10"/>
      <c r="F1427" s="10"/>
    </row>
    <row r="1428" ht="15.75" hidden="1" customHeight="1" outlineLevel="1">
      <c r="A1428" s="10"/>
      <c r="B1428" s="10"/>
      <c r="C1428" s="18" t="s">
        <v>164</v>
      </c>
      <c r="D1428" s="10"/>
      <c r="F1428" s="10"/>
    </row>
    <row r="1429" ht="15.75" hidden="1" customHeight="1" outlineLevel="1">
      <c r="A1429" s="10"/>
      <c r="B1429" s="10"/>
      <c r="C1429" s="18" t="s">
        <v>165</v>
      </c>
      <c r="D1429" s="10"/>
      <c r="F1429" s="10"/>
    </row>
    <row r="1430" ht="15.75" hidden="1" customHeight="1" outlineLevel="1">
      <c r="A1430" s="10"/>
      <c r="B1430" s="10"/>
      <c r="C1430" s="18" t="s">
        <v>31</v>
      </c>
      <c r="D1430" s="10"/>
      <c r="F1430" s="10"/>
    </row>
    <row r="1431" ht="15.75" hidden="1" customHeight="1" outlineLevel="1">
      <c r="A1431" s="10"/>
      <c r="B1431" s="10"/>
      <c r="C1431" s="18" t="s">
        <v>32</v>
      </c>
      <c r="D1431" s="10"/>
      <c r="F1431" s="10"/>
    </row>
    <row r="1432" ht="15.75" hidden="1" customHeight="1" outlineLevel="1">
      <c r="A1432" s="10"/>
      <c r="B1432" s="10"/>
      <c r="C1432" s="18" t="s">
        <v>34</v>
      </c>
      <c r="D1432" s="10"/>
      <c r="F1432" s="10"/>
    </row>
    <row r="1433" ht="15.75" hidden="1" customHeight="1" outlineLevel="1">
      <c r="A1433" s="10"/>
      <c r="B1433" s="10"/>
      <c r="C1433" s="18" t="s">
        <v>36</v>
      </c>
      <c r="D1433" s="10"/>
      <c r="F1433" s="10"/>
    </row>
    <row r="1434" ht="15.75" hidden="1" customHeight="1" outlineLevel="1">
      <c r="A1434" s="10"/>
      <c r="B1434" s="10"/>
      <c r="C1434" s="18" t="s">
        <v>37</v>
      </c>
      <c r="D1434" s="10"/>
      <c r="F1434" s="10"/>
    </row>
    <row r="1435" ht="15.75" hidden="1" customHeight="1" outlineLevel="1">
      <c r="A1435" s="10"/>
      <c r="B1435" s="10"/>
      <c r="C1435" s="18" t="s">
        <v>39</v>
      </c>
      <c r="D1435" s="10"/>
      <c r="F1435" s="10"/>
    </row>
    <row r="1436" ht="15.75" hidden="1" customHeight="1" outlineLevel="1">
      <c r="A1436" s="10"/>
      <c r="B1436" s="10"/>
      <c r="C1436" s="18" t="s">
        <v>117</v>
      </c>
      <c r="D1436" s="10"/>
      <c r="F1436" s="10"/>
    </row>
    <row r="1437" ht="15.75" hidden="1" customHeight="1" outlineLevel="1">
      <c r="A1437" s="10"/>
      <c r="B1437" s="10"/>
      <c r="C1437" s="18" t="s">
        <v>43</v>
      </c>
      <c r="D1437" s="10"/>
      <c r="F1437" s="10"/>
    </row>
    <row r="1438" ht="15.75" hidden="1" customHeight="1" outlineLevel="1">
      <c r="A1438" s="10"/>
      <c r="B1438" s="10"/>
      <c r="C1438" s="18" t="s">
        <v>119</v>
      </c>
      <c r="D1438" s="10"/>
      <c r="F1438" s="10"/>
    </row>
    <row r="1439" ht="15.75" hidden="1" customHeight="1" outlineLevel="1">
      <c r="A1439" s="10"/>
      <c r="B1439" s="10"/>
      <c r="C1439" s="10"/>
      <c r="D1439" s="10"/>
      <c r="F1439" s="10"/>
    </row>
    <row r="1440" ht="15.75" hidden="1" customHeight="1" outlineLevel="1">
      <c r="A1440" s="10"/>
      <c r="B1440" s="10"/>
      <c r="C1440" s="21" t="s">
        <v>58</v>
      </c>
      <c r="D1440" s="10"/>
      <c r="F1440" s="10"/>
    </row>
    <row r="1441" ht="15.75" hidden="1" customHeight="1" outlineLevel="1">
      <c r="A1441" s="10"/>
      <c r="B1441" s="10"/>
      <c r="C1441" s="21" t="s">
        <v>167</v>
      </c>
      <c r="D1441" s="10"/>
      <c r="F1441" s="10"/>
    </row>
    <row r="1442" ht="15.75" customHeight="1">
      <c r="A1442" s="10"/>
      <c r="B1442" s="10"/>
      <c r="C1442" s="10"/>
      <c r="D1442" s="10"/>
      <c r="F1442" s="10"/>
    </row>
    <row r="1443" ht="15.75" customHeight="1">
      <c r="A1443" s="10"/>
      <c r="B1443" s="10"/>
      <c r="C1443" s="10"/>
      <c r="D1443" s="10"/>
      <c r="F1443" s="10"/>
    </row>
    <row r="1444" ht="15.75" customHeight="1">
      <c r="A1444" s="37"/>
      <c r="B1444" s="37" t="s">
        <v>170</v>
      </c>
      <c r="C1444" s="40" t="s">
        <v>171</v>
      </c>
      <c r="D1444" s="26"/>
      <c r="F1444" s="26"/>
    </row>
    <row r="1445" ht="15.75" customHeight="1">
      <c r="A1445" s="4"/>
      <c r="B1445" s="4" t="s">
        <v>50</v>
      </c>
      <c r="C1445" s="4" t="s">
        <v>172</v>
      </c>
      <c r="D1445" s="4" t="s">
        <v>27</v>
      </c>
      <c r="F1445" s="10"/>
    </row>
    <row r="1446" ht="15.75" customHeight="1">
      <c r="A1446" s="18"/>
      <c r="B1446" s="18" t="s">
        <v>1</v>
      </c>
      <c r="D1446" s="10"/>
      <c r="F1446" s="41"/>
    </row>
    <row r="1447" ht="15.75" customHeight="1">
      <c r="C1447" s="18" t="s">
        <v>1</v>
      </c>
      <c r="D1447" s="10"/>
      <c r="F1447" s="42">
        <f t="array" ref="F1447">SUMIF('VO_PL(ORIGIN)'!$A$4:$A$100, XLOOKUP($C1447, 'マスタ'!$D$2:$D$318, 'マスタ'!$D$2:$D$318, $C1447), 'VO_PL(ORIGIN)'!J$4:J$100)</f>
        <v>76200504</v>
      </c>
    </row>
    <row r="1448" ht="15.75" customHeight="1">
      <c r="A1448" s="18"/>
      <c r="B1448" s="18" t="s">
        <v>67</v>
      </c>
      <c r="C1448" s="10"/>
      <c r="D1448" s="10"/>
      <c r="F1448" s="42">
        <f>F1447</f>
        <v>76200504</v>
      </c>
    </row>
    <row r="1449" ht="15.75" customHeight="1">
      <c r="A1449" s="18"/>
      <c r="B1449" s="18" t="s">
        <v>28</v>
      </c>
      <c r="C1449" s="10"/>
      <c r="D1449" s="10"/>
      <c r="F1449" s="42"/>
    </row>
    <row r="1450" ht="15.75" customHeight="1">
      <c r="A1450" s="10"/>
      <c r="B1450" s="10"/>
      <c r="C1450" s="18" t="s">
        <v>68</v>
      </c>
      <c r="D1450" s="10"/>
      <c r="F1450" s="42">
        <f t="array" ref="F1450">SUMIF('VO_PL(ORIGIN)'!$A$4:$A$100, XLOOKUP($C1450, 'マスタ'!$D$2:$D$318, 'マスタ'!$D$2:$D$318, $C1450), 'VO_PL(ORIGIN)'!J$4:J$100)</f>
        <v>0</v>
      </c>
    </row>
    <row r="1451" ht="15.75" customHeight="1">
      <c r="A1451" s="10"/>
      <c r="B1451" s="10"/>
      <c r="C1451" s="18" t="s">
        <v>69</v>
      </c>
      <c r="D1451" s="10"/>
      <c r="F1451" s="42">
        <f t="array" ref="F1451">SUMIF('VO_PL(ORIGIN)'!$A$4:$A$100, XLOOKUP($C1451, 'マスタ'!$D$2:$D$318, 'マスタ'!$D$2:$D$318, $C1451), 'VO_PL(ORIGIN)'!J$4:J$100)</f>
        <v>47062337</v>
      </c>
    </row>
    <row r="1452" ht="15.75" customHeight="1">
      <c r="A1452" s="10"/>
      <c r="B1452" s="10"/>
      <c r="C1452" s="27" t="s">
        <v>70</v>
      </c>
      <c r="D1452" s="10"/>
      <c r="F1452" s="43">
        <f t="array" ref="F1452">SUMIF('VO_PL(ORIGIN)'!$A$4:$A$100, XLOOKUP($C1452, 'マスタ'!$D$2:$D$318, 'マスタ'!$D$2:$D$318, $C1452), 'VO_PL(ORIGIN)'!J$4:J$100)</f>
        <v>0</v>
      </c>
    </row>
    <row r="1453" ht="15.75" customHeight="1">
      <c r="A1453" s="10"/>
      <c r="B1453" s="10"/>
      <c r="C1453" s="18" t="s">
        <v>71</v>
      </c>
      <c r="D1453" s="10"/>
      <c r="F1453" s="43">
        <f t="array" ref="F1453">SUMIF('VO_PL(ORIGIN)'!$A$4:$A$100, XLOOKUP($C1453, 'マスタ'!$D$2:$D$318, 'マスタ'!$D$2:$D$318, $C1453), 'VO_PL(ORIGIN)'!J$4:J$100)</f>
        <v>-1056609</v>
      </c>
    </row>
    <row r="1454" ht="15.75" customHeight="1">
      <c r="A1454" s="18"/>
      <c r="B1454" s="18" t="s">
        <v>28</v>
      </c>
      <c r="C1454" s="10"/>
      <c r="D1454" s="10"/>
      <c r="F1454" s="43">
        <f>F1451-F1453</f>
        <v>48118946</v>
      </c>
    </row>
    <row r="1455" ht="15.75" customHeight="1">
      <c r="A1455" s="18"/>
      <c r="B1455" s="18" t="s">
        <v>5</v>
      </c>
      <c r="C1455" s="10"/>
      <c r="D1455" s="10"/>
      <c r="F1455" s="43">
        <f>F1448-F1454</f>
        <v>28081558</v>
      </c>
    </row>
    <row r="1456" ht="15.75" customHeight="1" collapsed="1">
      <c r="A1456" s="18"/>
      <c r="B1456" s="18" t="s">
        <v>29</v>
      </c>
      <c r="C1456" s="10"/>
      <c r="D1456" s="10"/>
      <c r="F1456" s="20"/>
    </row>
    <row r="1457" ht="15.75" hidden="1" customHeight="1" outlineLevel="1">
      <c r="A1457" s="10"/>
      <c r="B1457" s="10"/>
      <c r="C1457" s="18" t="s">
        <v>72</v>
      </c>
      <c r="D1457" s="10"/>
      <c r="F1457" s="6">
        <f t="array" ref="F1457">IFERROR(SUMIF('VO_PL(ORIGIN)'!$A$4:$A$100, XLOOKUP($C1457, 'マスタ'!$D$2:$D$318, 'マスタ'!$D$2:$D$318, $C1457), 'VO_PL(ORIGIN)'!J$4:J$100), 0)</f>
        <v>0</v>
      </c>
    </row>
    <row r="1458" ht="15.75" hidden="1" customHeight="1" outlineLevel="1">
      <c r="A1458" s="10"/>
      <c r="B1458" s="10"/>
      <c r="C1458" s="18" t="s">
        <v>73</v>
      </c>
      <c r="D1458" s="10"/>
      <c r="F1458" s="6">
        <f t="array" ref="F1458">IFERROR(SUMIF('VO_PL(ORIGIN)'!$A$4:$A$100, XLOOKUP($C1458, 'マスタ'!$D$2:$D$318, 'マスタ'!$D$2:$D$318, $C1458), 'VO_PL(ORIGIN)'!J$4:J$100), 0)</f>
        <v>0</v>
      </c>
    </row>
    <row r="1459" ht="15.75" hidden="1" customHeight="1" outlineLevel="1">
      <c r="A1459" s="10"/>
      <c r="B1459" s="10"/>
      <c r="C1459" s="18" t="s">
        <v>74</v>
      </c>
      <c r="D1459" s="10"/>
      <c r="F1459" s="6">
        <f t="array" ref="F1459">IFERROR(SUMIF('VO_PL(ORIGIN)'!$A$4:$A$100, XLOOKUP($C1459, 'マスタ'!$D$2:$D$318, 'マスタ'!$D$2:$D$318, $C1459), 'VO_PL(ORIGIN)'!J$4:J$100), 0)</f>
        <v>0</v>
      </c>
    </row>
    <row r="1460" ht="15.75" hidden="1" customHeight="1" outlineLevel="1">
      <c r="A1460" s="10"/>
      <c r="B1460" s="10"/>
      <c r="C1460" s="18" t="s">
        <v>75</v>
      </c>
      <c r="D1460" s="10"/>
      <c r="F1460" s="6">
        <f t="array" ref="F1460">IFERROR(SUMIF('VO_PL(ORIGIN)'!$A$4:$A$100, XLOOKUP($C1460, 'マスタ'!$D$2:$D$318, 'マスタ'!$D$2:$D$318, $C1460), 'VO_PL(ORIGIN)'!J$4:J$100), 0)</f>
        <v>0</v>
      </c>
    </row>
    <row r="1461" ht="15.75" hidden="1" customHeight="1" outlineLevel="1">
      <c r="A1461" s="10"/>
      <c r="B1461" s="10"/>
      <c r="C1461" s="18" t="s">
        <v>76</v>
      </c>
      <c r="D1461" s="10"/>
      <c r="F1461" s="6">
        <f t="array" ref="F1461">IFERROR(SUMIF('VO_PL(ORIGIN)'!$A$4:$A$100, XLOOKUP($C1461, 'マスタ'!$D$2:$D$318, 'マスタ'!$D$2:$D$318, $C1461), 'VO_PL(ORIGIN)'!J$4:J$100), 0)</f>
        <v>0</v>
      </c>
    </row>
    <row r="1462" ht="15.75" hidden="1" customHeight="1" outlineLevel="1">
      <c r="A1462" s="10"/>
      <c r="B1462" s="10"/>
      <c r="C1462" s="18" t="s">
        <v>77</v>
      </c>
      <c r="D1462" s="10"/>
      <c r="F1462" s="6">
        <f t="array" ref="F1462">IFERROR(SUMIF('VO_PL(ORIGIN)'!$A$4:$A$100, XLOOKUP($C1462, 'マスタ'!$D$2:$D$318, 'マスタ'!$D$2:$D$318, $C1462), 'VO_PL(ORIGIN)'!J$4:J$100), 0)</f>
        <v>0</v>
      </c>
    </row>
    <row r="1463" ht="15.75" hidden="1" customHeight="1" outlineLevel="1">
      <c r="A1463" s="10"/>
      <c r="B1463" s="10"/>
      <c r="C1463" s="18" t="s">
        <v>78</v>
      </c>
      <c r="D1463" s="10"/>
      <c r="F1463" s="6">
        <f t="array" ref="F1463">IFERROR(SUMIF('VO_PL(ORIGIN)'!$A$4:$A$100, XLOOKUP($C1463, 'マスタ'!$D$2:$D$318, 'マスタ'!$D$2:$D$318, $C1463), 'VO_PL(ORIGIN)'!J$4:J$100), 0)</f>
        <v>0</v>
      </c>
    </row>
    <row r="1464" ht="15.75" hidden="1" customHeight="1" outlineLevel="1">
      <c r="A1464" s="10"/>
      <c r="B1464" s="10"/>
      <c r="C1464" s="18" t="s">
        <v>79</v>
      </c>
      <c r="D1464" s="10"/>
      <c r="F1464" s="6">
        <f t="array" ref="F1464">IFERROR(SUMIF('VO_PL(ORIGIN)'!$A$4:$A$100, XLOOKUP($C1464, 'マスタ'!$D$2:$D$318, 'マスタ'!$D$2:$D$318, $C1464), 'VO_PL(ORIGIN)'!J$4:J$100), 0)</f>
        <v>0</v>
      </c>
    </row>
    <row r="1465" ht="15.75" customHeight="1">
      <c r="A1465" s="10"/>
      <c r="B1465" s="10"/>
      <c r="C1465" s="18" t="s">
        <v>80</v>
      </c>
      <c r="D1465" s="10"/>
      <c r="F1465" s="6">
        <f t="array" ref="F1465">IFERROR(SUMIF('VO_PL(ORIGIN)'!$A$4:$A$100, XLOOKUP($C1465, 'マスタ'!$D$2:$D$318, 'マスタ'!$D$2:$D$318, $C1465), 'VO_PL(ORIGIN)'!J$4:J$100), 0)</f>
        <v>2406398</v>
      </c>
    </row>
    <row r="1466" ht="15.75" customHeight="1" collapsed="1">
      <c r="A1466" s="10"/>
      <c r="B1466" s="10"/>
      <c r="C1466" s="18" t="s">
        <v>81</v>
      </c>
      <c r="D1466" s="10"/>
      <c r="F1466" s="6">
        <f t="array" ref="F1466">IFERROR(SUMIF('VO_PL(ORIGIN)'!$A$4:$A$100, XLOOKUP($C1466, 'マスタ'!$D$2:$D$318, 'マスタ'!$D$2:$D$318, $C1466), 'VO_PL(ORIGIN)'!J$4:J$100), 0)</f>
        <v>117855</v>
      </c>
    </row>
    <row r="1467" ht="15.75" hidden="1" customHeight="1" outlineLevel="1">
      <c r="A1467" s="10"/>
      <c r="B1467" s="10"/>
      <c r="C1467" s="18" t="s">
        <v>82</v>
      </c>
      <c r="D1467" s="10"/>
      <c r="F1467" s="6">
        <f t="array" ref="F1467">IFERROR(SUMIF('VO_PL(ORIGIN)'!$A$4:$A$100, XLOOKUP($C1467, 'マスタ'!$D$2:$D$318, 'マスタ'!$D$2:$D$318, $C1467), 'VO_PL(ORIGIN)'!J$4:J$100), 0)</f>
        <v>0</v>
      </c>
    </row>
    <row r="1468" ht="15.75" hidden="1" customHeight="1" outlineLevel="1">
      <c r="A1468" s="10"/>
      <c r="B1468" s="10"/>
      <c r="C1468" s="18" t="s">
        <v>83</v>
      </c>
      <c r="D1468" s="10"/>
      <c r="F1468" s="6">
        <f t="array" ref="F1468">IFERROR(SUMIF('VO_PL(ORIGIN)'!$A$4:$A$100, XLOOKUP($C1468, 'マスタ'!$D$2:$D$318, 'マスタ'!$D$2:$D$318, $C1468), 'VO_PL(ORIGIN)'!J$4:J$100), 0)</f>
        <v>0</v>
      </c>
    </row>
    <row r="1469" ht="15.75" hidden="1" customHeight="1" outlineLevel="1">
      <c r="A1469" s="10"/>
      <c r="B1469" s="10"/>
      <c r="C1469" s="18" t="s">
        <v>84</v>
      </c>
      <c r="D1469" s="10"/>
      <c r="F1469" s="6">
        <f t="array" ref="F1469">IFERROR(SUMIF('VO_PL(ORIGIN)'!$A$4:$A$100, XLOOKUP($C1469, 'マスタ'!$D$2:$D$318, 'マスタ'!$D$2:$D$318, $C1469), 'VO_PL(ORIGIN)'!J$4:J$100), 0)</f>
        <v>0</v>
      </c>
    </row>
    <row r="1470" ht="15.75" hidden="1" customHeight="1" outlineLevel="1">
      <c r="A1470" s="10"/>
      <c r="B1470" s="10"/>
      <c r="C1470" s="18" t="s">
        <v>85</v>
      </c>
      <c r="D1470" s="10"/>
      <c r="F1470" s="6">
        <f t="array" ref="F1470">IFERROR(SUMIF('VO_PL(ORIGIN)'!$A$4:$A$100, XLOOKUP($C1470, 'マスタ'!$D$2:$D$318, 'マスタ'!$D$2:$D$318, $C1470), 'VO_PL(ORIGIN)'!J$4:J$100), 0)</f>
        <v>0</v>
      </c>
    </row>
    <row r="1471" ht="15.75" hidden="1" customHeight="1" outlineLevel="1">
      <c r="A1471" s="10"/>
      <c r="B1471" s="10"/>
      <c r="C1471" s="18" t="s">
        <v>86</v>
      </c>
      <c r="D1471" s="10"/>
      <c r="F1471" s="6">
        <f t="array" ref="F1471">IFERROR(SUMIF('VO_PL(ORIGIN)'!$A$4:$A$100, XLOOKUP($C1471, 'マスタ'!$D$2:$D$318, 'マスタ'!$D$2:$D$318, $C1471), 'VO_PL(ORIGIN)'!J$4:J$100), 0)</f>
        <v>0</v>
      </c>
    </row>
    <row r="1472" ht="15.75" hidden="1" customHeight="1" outlineLevel="1">
      <c r="A1472" s="10"/>
      <c r="B1472" s="10"/>
      <c r="C1472" s="18" t="s">
        <v>87</v>
      </c>
      <c r="D1472" s="10"/>
      <c r="F1472" s="6">
        <f t="array" ref="F1472">IFERROR(SUMIF('VO_PL(ORIGIN)'!$A$4:$A$100, XLOOKUP($C1472, 'マスタ'!$D$2:$D$318, 'マスタ'!$D$2:$D$318, $C1472), 'VO_PL(ORIGIN)'!J$4:J$100), 0)</f>
        <v>0</v>
      </c>
    </row>
    <row r="1473" ht="15.75" hidden="1" customHeight="1" outlineLevel="1">
      <c r="A1473" s="10"/>
      <c r="B1473" s="10"/>
      <c r="C1473" s="18" t="s">
        <v>88</v>
      </c>
      <c r="D1473" s="10"/>
      <c r="F1473" s="6">
        <f t="array" ref="F1473">IFERROR(SUMIF('VO_PL(ORIGIN)'!$A$4:$A$100, XLOOKUP($C1473, 'マスタ'!$D$2:$D$318, 'マスタ'!$D$2:$D$318, $C1473), 'VO_PL(ORIGIN)'!J$4:J$100), 0)</f>
        <v>0</v>
      </c>
    </row>
    <row r="1474" ht="15.75" hidden="1" customHeight="1" outlineLevel="1">
      <c r="A1474" s="10"/>
      <c r="B1474" s="10"/>
      <c r="C1474" s="18" t="s">
        <v>89</v>
      </c>
      <c r="D1474" s="10"/>
      <c r="F1474" s="6">
        <f t="array" ref="F1474">IFERROR(SUMIF('VO_PL(ORIGIN)'!$A$4:$A$100, XLOOKUP($C1474, 'マスタ'!$D$2:$D$318, 'マスタ'!$D$2:$D$318, $C1474), 'VO_PL(ORIGIN)'!J$4:J$100), 0)</f>
        <v>0</v>
      </c>
    </row>
    <row r="1475" ht="15.75" hidden="1" customHeight="1" outlineLevel="1">
      <c r="A1475" s="10"/>
      <c r="B1475" s="10"/>
      <c r="C1475" s="18" t="s">
        <v>90</v>
      </c>
      <c r="D1475" s="10"/>
      <c r="F1475" s="6">
        <f t="array" ref="F1475">IFERROR(SUMIF('VO_PL(ORIGIN)'!$A$4:$A$100, XLOOKUP($C1475, 'マスタ'!$D$2:$D$318, 'マスタ'!$D$2:$D$318, $C1475), 'VO_PL(ORIGIN)'!J$4:J$100), 0)</f>
        <v>0</v>
      </c>
    </row>
    <row r="1476" ht="15.75" customHeight="1">
      <c r="A1476" s="10"/>
      <c r="B1476" s="10"/>
      <c r="C1476" s="18" t="s">
        <v>91</v>
      </c>
      <c r="D1476" s="10"/>
      <c r="F1476" s="6">
        <f t="array" ref="F1476">IFERROR(SUMIF('VO_PL(ORIGIN)'!$A$4:$A$100, XLOOKUP($C1476, 'マスタ'!$D$2:$D$318, 'マスタ'!$D$2:$D$318, $C1476), 'VO_PL(ORIGIN)'!J$4:J$100), 0)</f>
        <v>2450</v>
      </c>
    </row>
    <row r="1477" ht="15.75" customHeight="1" collapsed="1">
      <c r="A1477" s="10"/>
      <c r="B1477" s="10"/>
      <c r="C1477" s="18" t="s">
        <v>92</v>
      </c>
      <c r="D1477" s="10"/>
      <c r="F1477" s="6">
        <f t="array" ref="F1477">IFERROR(SUMIF('VO_PL(ORIGIN)'!$A$4:$A$100, XLOOKUP($C1477, 'マスタ'!$D$2:$D$318, 'マスタ'!$D$2:$D$318, $C1477), 'VO_PL(ORIGIN)'!J$4:J$100), 0)</f>
        <v>4149491</v>
      </c>
    </row>
    <row r="1478" ht="15.75" hidden="1" customHeight="1" outlineLevel="1">
      <c r="A1478" s="10"/>
      <c r="B1478" s="10"/>
      <c r="C1478" s="18" t="s">
        <v>93</v>
      </c>
      <c r="D1478" s="10"/>
      <c r="F1478" s="6">
        <f t="array" ref="F1478">IFERROR(SUMIF('VO_PL(ORIGIN)'!$A$4:$A$100, XLOOKUP($C1478, 'マスタ'!$D$2:$D$318, 'マスタ'!$D$2:$D$318, $C1478), 'VO_PL(ORIGIN)'!J$4:J$100), 0)</f>
        <v>0</v>
      </c>
    </row>
    <row r="1479" ht="15.75" hidden="1" customHeight="1" outlineLevel="1">
      <c r="A1479" s="10"/>
      <c r="B1479" s="10"/>
      <c r="C1479" s="18" t="s">
        <v>94</v>
      </c>
      <c r="D1479" s="10"/>
      <c r="F1479" s="6">
        <f t="array" ref="F1479">IFERROR(SUMIF('VO_PL(ORIGIN)'!$A$4:$A$100, XLOOKUP($C1479, 'マスタ'!$D$2:$D$318, 'マスタ'!$D$2:$D$318, $C1479), 'VO_PL(ORIGIN)'!J$4:J$100), 0)</f>
        <v>0</v>
      </c>
    </row>
    <row r="1480" ht="15.75" hidden="1" customHeight="1" outlineLevel="1">
      <c r="A1480" s="10"/>
      <c r="B1480" s="10"/>
      <c r="C1480" s="18" t="s">
        <v>95</v>
      </c>
      <c r="D1480" s="10"/>
      <c r="F1480" s="6">
        <f t="array" ref="F1480">IFERROR(SUMIF('VO_PL(ORIGIN)'!$A$4:$A$100, XLOOKUP($C1480, 'マスタ'!$D$2:$D$318, 'マスタ'!$D$2:$D$318, $C1480), 'VO_PL(ORIGIN)'!J$4:J$100), 0)</f>
        <v>0</v>
      </c>
    </row>
    <row r="1481" ht="15.75" hidden="1" customHeight="1" outlineLevel="1">
      <c r="A1481" s="10"/>
      <c r="B1481" s="10"/>
      <c r="C1481" s="18" t="s">
        <v>96</v>
      </c>
      <c r="D1481" s="10"/>
      <c r="F1481" s="6">
        <f t="array" ref="F1481">IFERROR(SUMIF('VO_PL(ORIGIN)'!$A$4:$A$100, XLOOKUP($C1481, 'マスタ'!$D$2:$D$318, 'マスタ'!$D$2:$D$318, $C1481), 'VO_PL(ORIGIN)'!J$4:J$100), 0)</f>
        <v>0</v>
      </c>
    </row>
    <row r="1482" ht="15.75" hidden="1" customHeight="1" outlineLevel="1">
      <c r="A1482" s="10"/>
      <c r="B1482" s="10"/>
      <c r="C1482" s="18" t="s">
        <v>97</v>
      </c>
      <c r="D1482" s="10"/>
      <c r="F1482" s="6">
        <f t="array" ref="F1482">IFERROR(SUMIF('VO_PL(ORIGIN)'!$A$4:$A$100, XLOOKUP($C1482, 'マスタ'!$D$2:$D$318, 'マスタ'!$D$2:$D$318, $C1482), 'VO_PL(ORIGIN)'!J$4:J$100), 0)</f>
        <v>0</v>
      </c>
    </row>
    <row r="1483" ht="15.75" hidden="1" customHeight="1" outlineLevel="1">
      <c r="A1483" s="10"/>
      <c r="B1483" s="10"/>
      <c r="C1483" s="18" t="s">
        <v>98</v>
      </c>
      <c r="D1483" s="10"/>
      <c r="F1483" s="6">
        <f t="array" ref="F1483">IFERROR(SUMIF('VO_PL(ORIGIN)'!$A$4:$A$100, XLOOKUP($C1483, 'マスタ'!$D$2:$D$318, 'マスタ'!$D$2:$D$318, $C1483), 'VO_PL(ORIGIN)'!J$4:J$100), 0)</f>
        <v>0</v>
      </c>
    </row>
    <row r="1484" ht="15.75" hidden="1" customHeight="1" outlineLevel="1">
      <c r="A1484" s="10"/>
      <c r="B1484" s="10"/>
      <c r="C1484" s="18" t="s">
        <v>99</v>
      </c>
      <c r="D1484" s="10"/>
      <c r="F1484" s="6">
        <f t="array" ref="F1484">IFERROR(SUMIF('VO_PL(ORIGIN)'!$A$4:$A$100, XLOOKUP($C1484, 'マスタ'!$D$2:$D$318, 'マスタ'!$D$2:$D$318, $C1484), 'VO_PL(ORIGIN)'!J$4:J$100), 0)</f>
        <v>0</v>
      </c>
    </row>
    <row r="1485" ht="15.75" hidden="1" customHeight="1" outlineLevel="1">
      <c r="A1485" s="10"/>
      <c r="B1485" s="10"/>
      <c r="C1485" s="18" t="s">
        <v>100</v>
      </c>
      <c r="D1485" s="10"/>
      <c r="F1485" s="6">
        <f t="array" ref="F1485">IFERROR(SUMIF('VO_PL(ORIGIN)'!$A$4:$A$100, XLOOKUP($C1485, 'マスタ'!$D$2:$D$318, 'マスタ'!$D$2:$D$318, $C1485), 'VO_PL(ORIGIN)'!J$4:J$100), 0)</f>
        <v>0</v>
      </c>
    </row>
    <row r="1486" ht="15.75" customHeight="1">
      <c r="A1486" s="10"/>
      <c r="B1486" s="10"/>
      <c r="C1486" s="18" t="s">
        <v>101</v>
      </c>
      <c r="D1486" s="10"/>
      <c r="F1486" s="6">
        <f t="array" ref="F1486">SUMIF('VO_PL(ORIGIN)'!$A$4:$A$100, XLOOKUP($C1486, 'マスタ'!$D$2:$D$318, 'マスタ'!$D$2:$D$318, $C1486), 'VO_PL(ORIGIN)'!J$4:J$100)</f>
        <v>3109000</v>
      </c>
    </row>
    <row r="1487" ht="15.75" customHeight="1">
      <c r="A1487" s="18"/>
      <c r="B1487" s="18" t="s">
        <v>102</v>
      </c>
      <c r="C1487" s="10"/>
      <c r="D1487" s="10"/>
      <c r="F1487" s="6">
        <f>SUM(F1457:F1486)</f>
        <v>9785194</v>
      </c>
    </row>
    <row r="1488" ht="15.75" customHeight="1" collapsed="1">
      <c r="A1488" s="18"/>
      <c r="B1488" s="18" t="s">
        <v>31</v>
      </c>
      <c r="C1488" s="10"/>
      <c r="D1488" s="10"/>
      <c r="F1488" s="6">
        <f>F1455-F1487</f>
        <v>18296364</v>
      </c>
    </row>
    <row r="1489" ht="15.75" hidden="1" customHeight="1" outlineLevel="1">
      <c r="A1489" s="18"/>
      <c r="B1489" s="18" t="s">
        <v>32</v>
      </c>
      <c r="C1489" s="18"/>
      <c r="D1489" s="10"/>
      <c r="F1489" s="6">
        <f>SUM(F1490:F1495)</f>
        <v>0</v>
      </c>
    </row>
    <row r="1490" ht="15.75" hidden="1" customHeight="1" outlineLevel="1">
      <c r="A1490" s="10"/>
      <c r="B1490" s="10"/>
      <c r="C1490" s="18" t="s">
        <v>103</v>
      </c>
      <c r="D1490" s="10"/>
      <c r="F1490" s="6">
        <f t="array" ref="F1490">SUMIF('VO_PL(ORIGIN)'!$A$4:$A$100, XLOOKUP($C1490, 'マスタ'!$D$2:$D$318, 'マスタ'!$D$2:$D$318, $C1490), 'VO_PL(ORIGIN)'!J$4:J$100)</f>
        <v>0</v>
      </c>
    </row>
    <row r="1491" ht="15.75" hidden="1" customHeight="1" outlineLevel="1">
      <c r="A1491" s="10"/>
      <c r="B1491" s="10"/>
      <c r="C1491" s="10" t="s">
        <v>104</v>
      </c>
      <c r="D1491" s="10"/>
      <c r="F1491" s="6">
        <f t="array" ref="F1491">SUMIF('VO_PL(ORIGIN)'!$A$4:$A$100, XLOOKUP($C1491, 'マスタ'!$D$2:$D$318, 'マスタ'!$D$2:$D$318, $C1491), 'VO_PL(ORIGIN)'!J$4:J$100)</f>
        <v>0</v>
      </c>
    </row>
    <row r="1492" ht="15.75" hidden="1" customHeight="1" outlineLevel="1">
      <c r="A1492" s="10"/>
      <c r="B1492" s="10"/>
      <c r="C1492" s="18" t="s">
        <v>105</v>
      </c>
      <c r="D1492" s="10"/>
      <c r="F1492" s="6">
        <f t="array" ref="F1492">SUMIF('VO_PL(ORIGIN)'!$A$4:$A$100, XLOOKUP($C1492, 'マスタ'!$D$2:$D$318, 'マスタ'!$D$2:$D$318, $C1492), 'VO_PL(ORIGIN)'!J$4:J$100)</f>
        <v>0</v>
      </c>
    </row>
    <row r="1493" ht="15.75" hidden="1" customHeight="1" outlineLevel="1">
      <c r="A1493" s="10"/>
      <c r="B1493" s="10"/>
      <c r="C1493" s="10" t="s">
        <v>106</v>
      </c>
      <c r="D1493" s="10"/>
      <c r="F1493" s="6">
        <f t="array" ref="F1493">SUMIF('VO_PL(ORIGIN)'!$A$4:$A$100, XLOOKUP($C1493, 'マスタ'!$D$2:$D$318, 'マスタ'!$D$2:$D$318, $C1493), 'VO_PL(ORIGIN)'!J$4:J$100)</f>
        <v>0</v>
      </c>
    </row>
    <row r="1494" ht="15.75" hidden="1" customHeight="1" outlineLevel="1">
      <c r="A1494" s="10"/>
      <c r="B1494" s="10"/>
      <c r="C1494" s="18" t="s">
        <v>107</v>
      </c>
      <c r="D1494" s="10"/>
      <c r="F1494" s="6">
        <f t="array" ref="F1494">SUMIF('VO_PL(ORIGIN)'!$A$4:$A$100, XLOOKUP($C1494, 'マスタ'!$D$2:$D$318, 'マスタ'!$D$2:$D$318, $C1494), 'VO_PL(ORIGIN)'!J$4:J$100)</f>
        <v>0</v>
      </c>
    </row>
    <row r="1495" ht="15.75" hidden="1" customHeight="1" outlineLevel="1">
      <c r="A1495" s="10"/>
      <c r="B1495" s="10"/>
      <c r="C1495" s="18" t="s">
        <v>108</v>
      </c>
      <c r="D1495" s="10"/>
      <c r="E1495" s="44"/>
      <c r="F1495" s="6">
        <f t="array" ref="F1495">SUMIF('VO_PL(ORIGIN)'!$A$4:$A$100, XLOOKUP($C1495, 'マスタ'!$D$2:$D$318, 'マスタ'!$D$2:$D$318, $C1495), 'VO_PL(ORIGIN)'!J$4:J$100)</f>
        <v>0</v>
      </c>
    </row>
    <row r="1496" ht="15.75" hidden="1" customHeight="1" outlineLevel="1">
      <c r="A1496" s="18"/>
      <c r="B1496" s="18" t="s">
        <v>34</v>
      </c>
      <c r="C1496" s="18"/>
      <c r="D1496" s="10"/>
      <c r="F1496" s="6">
        <f>SUM(F1497:F1499)</f>
        <v>0</v>
      </c>
    </row>
    <row r="1497" ht="15.75" hidden="1" customHeight="1" outlineLevel="1">
      <c r="A1497" s="10"/>
      <c r="B1497" s="10"/>
      <c r="C1497" s="18" t="s">
        <v>109</v>
      </c>
      <c r="D1497" s="10"/>
      <c r="F1497" s="6">
        <f t="array" ref="F1497">SUMIF('VO_PL(ORIGIN)'!$A$4:$A$100, XLOOKUP($C1497, 'マスタ'!$D$2:$D$318, 'マスタ'!$D$2:$D$318, $C1497), 'VO_PL(ORIGIN)'!J$4:J$100)</f>
        <v>0</v>
      </c>
    </row>
    <row r="1498" ht="15.75" hidden="1" customHeight="1" outlineLevel="1">
      <c r="A1498" s="10"/>
      <c r="B1498" s="10"/>
      <c r="C1498" s="18" t="s">
        <v>110</v>
      </c>
      <c r="D1498" s="10"/>
      <c r="F1498" s="6">
        <f t="array" ref="F1498">SUMIF('VO_PL(ORIGIN)'!$A$4:$A$100, XLOOKUP($C1498, 'マスタ'!$D$2:$D$318, 'マスタ'!$D$2:$D$318, $C1498), 'VO_PL(ORIGIN)'!J$4:J$100)</f>
        <v>0</v>
      </c>
    </row>
    <row r="1499" ht="15.75" hidden="1" customHeight="1" outlineLevel="1">
      <c r="A1499" s="10"/>
      <c r="B1499" s="10"/>
      <c r="C1499" s="18" t="s">
        <v>111</v>
      </c>
      <c r="D1499" s="10"/>
      <c r="F1499" s="6">
        <f t="array" ref="F1499">SUMIF('VO_PL(ORIGIN)'!$A$4:$A$100, XLOOKUP($C1499, 'マスタ'!$D$2:$D$318, 'マスタ'!$D$2:$D$318, $C1499), 'VO_PL(ORIGIN)'!J$4:J$100)</f>
        <v>0</v>
      </c>
    </row>
    <row r="1500" ht="15.75" customHeight="1" collapsed="1">
      <c r="A1500" s="18"/>
      <c r="B1500" s="18" t="s">
        <v>112</v>
      </c>
      <c r="C1500" s="10"/>
      <c r="D1500" s="10"/>
      <c r="F1500" s="6">
        <f>F1488+F1489-F1496</f>
        <v>18296364</v>
      </c>
    </row>
    <row r="1501" ht="15.75" hidden="1" customHeight="1" outlineLevel="1">
      <c r="A1501" s="18"/>
      <c r="B1501" s="18" t="s">
        <v>37</v>
      </c>
      <c r="D1501" s="10"/>
      <c r="F1501" s="6">
        <f t="array" ref="F1501">SUMIF('VO_PL(ORIGIN)'!$A$4:$A$100, XLOOKUP($C1501, 'マスタ'!$D$2:$D$318, 'マスタ'!$D$2:$D$318, $C1501), 'VO_PL(ORIGIN)'!J$4:J$100)</f>
        <v>0</v>
      </c>
    </row>
    <row r="1502" ht="15.75" hidden="1" customHeight="1" outlineLevel="1">
      <c r="A1502" s="10"/>
      <c r="B1502" s="10"/>
      <c r="C1502" s="10" t="s">
        <v>113</v>
      </c>
      <c r="F1502" s="6">
        <f t="array" ref="F1502">SUMIF('VO_PL(ORIGIN)'!$A$4:$A$100, XLOOKUP($C1502, 'マスタ'!$D$2:$D$318, 'マスタ'!$D$2:$D$318, $C1502), 'VO_PL(ORIGIN)'!J$4:J$100)</f>
        <v>0</v>
      </c>
    </row>
    <row r="1503" ht="15.75" hidden="1" customHeight="1" outlineLevel="1">
      <c r="A1503" s="10"/>
      <c r="B1503" s="10"/>
      <c r="C1503" s="18"/>
      <c r="D1503" s="18"/>
      <c r="F1503" s="6">
        <f t="array" ref="F1503">SUMIF('VO_PL(ORIGIN)'!$A$4:$A$100, XLOOKUP($C1503, 'マスタ'!$D$2:$D$318, 'マスタ'!$D$2:$D$318, $C1503), 'VO_PL(ORIGIN)'!J$4:J$100)</f>
        <v>0</v>
      </c>
    </row>
    <row r="1504" ht="15.75" hidden="1" customHeight="1" outlineLevel="1">
      <c r="A1504" s="18"/>
      <c r="B1504" s="18" t="s">
        <v>39</v>
      </c>
      <c r="D1504" s="18"/>
      <c r="F1504" s="6">
        <f t="array" ref="F1504">SUMIF('VO_PL(ORIGIN)'!$A$4:$A$100, XLOOKUP($C1504, 'マスタ'!$D$2:$D$318, 'マスタ'!$D$2:$D$318, $C1504), 'VO_PL(ORIGIN)'!J$4:J$100)</f>
        <v>0</v>
      </c>
    </row>
    <row r="1505" ht="15.75" hidden="1" customHeight="1" outlineLevel="1">
      <c r="A1505" s="18"/>
      <c r="B1505" s="18"/>
      <c r="C1505" s="18" t="s">
        <v>114</v>
      </c>
      <c r="F1505" s="6">
        <f t="array" ref="F1505">SUMIF('VO_PL(ORIGIN)'!$A$4:$A$100, XLOOKUP($C1505, 'マスタ'!$D$2:$D$318, 'マスタ'!$D$2:$D$318, $C1505), 'VO_PL(ORIGIN)'!J$4:J$100)</f>
        <v>0</v>
      </c>
    </row>
    <row r="1506" ht="15.75" hidden="1" customHeight="1" outlineLevel="1">
      <c r="A1506" s="18"/>
      <c r="B1506" s="18"/>
      <c r="C1506" s="10" t="s">
        <v>115</v>
      </c>
      <c r="F1506" s="6">
        <f t="array" ref="F1506">SUMIF('VO_PL(ORIGIN)'!$A$4:$A$100, XLOOKUP($C1506, 'マスタ'!$D$2:$D$318, 'マスタ'!$D$2:$D$318, $C1506), 'VO_PL(ORIGIN)'!J$4:J$100)</f>
        <v>0</v>
      </c>
    </row>
    <row r="1507" ht="15.75" hidden="1" customHeight="1" outlineLevel="1">
      <c r="A1507" s="18"/>
      <c r="B1507" s="18"/>
      <c r="C1507" s="10" t="s">
        <v>116</v>
      </c>
      <c r="F1507" s="6">
        <f t="array" ref="F1507">SUMIF('VO_PL(ORIGIN)'!$A$4:$A$100, XLOOKUP($C1507, 'マスタ'!$D$2:$D$318, 'マスタ'!$D$2:$D$318, $C1507), 'VO_PL(ORIGIN)'!J$4:J$100)</f>
        <v>0</v>
      </c>
    </row>
    <row r="1508" ht="15.75" customHeight="1">
      <c r="A1508" s="18"/>
      <c r="B1508" s="18" t="s">
        <v>117</v>
      </c>
      <c r="C1508" s="10"/>
      <c r="F1508" s="6">
        <f>F1500+F1501-F1504</f>
        <v>18296364</v>
      </c>
    </row>
    <row r="1509" ht="15.75" customHeight="1">
      <c r="A1509" s="10"/>
      <c r="B1509" s="10"/>
      <c r="C1509" s="18" t="s">
        <v>43</v>
      </c>
      <c r="D1509" s="10"/>
      <c r="F1509" s="6">
        <f t="array" ref="F1509">SUMIF('VO_PL(ORIGIN)'!$A$4:$A$100, XLOOKUP($C1509, 'マスタ'!$D$2:$D$318, 'マスタ'!$D$2:$D$318, $C1509), 'VO_PL(ORIGIN)'!J$4:J$100)</f>
        <v>0</v>
      </c>
    </row>
    <row r="1510" ht="15.75" customHeight="1">
      <c r="A1510" s="10"/>
      <c r="B1510" s="10"/>
      <c r="C1510" s="18" t="s">
        <v>118</v>
      </c>
      <c r="D1510" s="10"/>
      <c r="F1510" s="6">
        <f t="array" ref="F1510">SUMIF('VO_PL(ORIGIN)'!$A$4:$A$100, XLOOKUP($C1510, 'マスタ'!$D$2:$D$318, 'マスタ'!$D$2:$D$318, $C1510), 'VO_PL(ORIGIN)'!J$4:J$100)</f>
        <v>0</v>
      </c>
    </row>
    <row r="1511" ht="15.75" customHeight="1">
      <c r="A1511" s="18"/>
      <c r="B1511" s="18" t="s">
        <v>119</v>
      </c>
      <c r="C1511" s="10"/>
      <c r="D1511" s="10"/>
      <c r="F1511" s="6">
        <f>F1508-(F1509-F1510)</f>
        <v>18296364</v>
      </c>
    </row>
    <row r="1512" ht="15.75" customHeight="1">
      <c r="A1512" s="25"/>
      <c r="B1512" s="25"/>
      <c r="C1512" s="26"/>
      <c r="D1512" s="26"/>
      <c r="E1512" s="45"/>
      <c r="F1512" s="46"/>
    </row>
    <row r="1513" ht="15.75" customHeight="1">
      <c r="A1513" s="4"/>
      <c r="B1513" s="4" t="s">
        <v>50</v>
      </c>
      <c r="C1513" s="4" t="s">
        <v>173</v>
      </c>
      <c r="D1513" s="4" t="s">
        <v>27</v>
      </c>
      <c r="F1513" s="10"/>
    </row>
    <row r="1514" ht="15.75" customHeight="1">
      <c r="A1514" s="18"/>
      <c r="B1514" s="18" t="s">
        <v>1</v>
      </c>
      <c r="D1514" s="10"/>
      <c r="F1514" s="41"/>
    </row>
    <row r="1515" ht="15.75" customHeight="1">
      <c r="C1515" s="18" t="s">
        <v>1</v>
      </c>
      <c r="D1515" s="10"/>
      <c r="F1515" s="42">
        <f t="array" ref="F1515">SUMIF('VO_PL(AIR)'!$A$4:$A$100, XLOOKUP($C1515, 'マスタ'!$D$2:$D$318, 'マスタ'!$D$2:$D$318, $C1515), 'VO_PL(AIR)'!J$4:J$100)</f>
        <v>7698962</v>
      </c>
    </row>
    <row r="1516" ht="15.75" customHeight="1">
      <c r="A1516" s="18"/>
      <c r="B1516" s="18" t="s">
        <v>67</v>
      </c>
      <c r="C1516" s="10"/>
      <c r="D1516" s="10"/>
      <c r="F1516" s="42">
        <f>F1515</f>
        <v>7698962</v>
      </c>
    </row>
    <row r="1517" ht="15.75" customHeight="1">
      <c r="A1517" s="18"/>
      <c r="B1517" s="18" t="s">
        <v>28</v>
      </c>
      <c r="C1517" s="10"/>
      <c r="D1517" s="10"/>
      <c r="F1517" s="42"/>
    </row>
    <row r="1518" ht="15.75" customHeight="1">
      <c r="A1518" s="10"/>
      <c r="B1518" s="10"/>
      <c r="C1518" s="18" t="s">
        <v>68</v>
      </c>
      <c r="D1518" s="10"/>
      <c r="F1518" s="42">
        <f t="array" ref="F1518">SUMIF('VO_PL(AIR)'!$A$4:$A$100, XLOOKUP($C1518, 'マスタ'!$D$2:$D$318, 'マスタ'!$D$2:$D$318, $C1518), 'VO_PL(AIR)'!J$4:J$100)</f>
        <v>0</v>
      </c>
    </row>
    <row r="1519" ht="15.75" customHeight="1">
      <c r="A1519" s="10"/>
      <c r="B1519" s="10"/>
      <c r="C1519" s="18" t="s">
        <v>69</v>
      </c>
      <c r="D1519" s="10"/>
      <c r="F1519" s="42">
        <f t="array" ref="F1519">SUMIF('VO_PL(AIR)'!$A$4:$A$100, XLOOKUP($C1519, 'マスタ'!$D$2:$D$318, 'マスタ'!$D$2:$D$318, $C1519), 'VO_PL(AIR)'!J$4:J$100)</f>
        <v>8794799</v>
      </c>
    </row>
    <row r="1520" ht="15.75" customHeight="1">
      <c r="A1520" s="10"/>
      <c r="B1520" s="10"/>
      <c r="C1520" s="27" t="s">
        <v>70</v>
      </c>
      <c r="D1520" s="10"/>
      <c r="F1520" s="42">
        <f t="array" ref="F1520">SUMIF('VO_PL(AIR)'!$A$4:$A$100, XLOOKUP($C1520, 'マスタ'!$D$2:$D$318, 'マスタ'!$D$2:$D$318, $C1520), 'VO_PL(AIR)'!J$4:J$100)</f>
        <v>0</v>
      </c>
    </row>
    <row r="1521" ht="15.75" customHeight="1">
      <c r="A1521" s="10"/>
      <c r="B1521" s="10"/>
      <c r="C1521" s="18" t="s">
        <v>71</v>
      </c>
      <c r="D1521" s="10"/>
      <c r="F1521" s="42">
        <f t="array" ref="F1521">SUMIF('VO_PL(AIR)'!$A$4:$A$100, XLOOKUP($C1521, 'マスタ'!$D$2:$D$318, 'マスタ'!$D$2:$D$318, $C1521), 'VO_PL(AIR)'!J$4:J$100)</f>
        <v>-3052780</v>
      </c>
    </row>
    <row r="1522" ht="15.75" customHeight="1">
      <c r="A1522" s="18"/>
      <c r="B1522" s="18" t="s">
        <v>28</v>
      </c>
      <c r="C1522" s="10"/>
      <c r="D1522" s="10"/>
      <c r="F1522" s="43">
        <f>F1519-F1521</f>
        <v>11847579</v>
      </c>
    </row>
    <row r="1523" ht="15.75" customHeight="1">
      <c r="A1523" s="18"/>
      <c r="B1523" s="18" t="s">
        <v>5</v>
      </c>
      <c r="C1523" s="10"/>
      <c r="D1523" s="10"/>
      <c r="F1523" s="43">
        <f>F1516-F1522</f>
        <v>-4148617</v>
      </c>
    </row>
    <row r="1524" ht="15.75" customHeight="1" collapsed="1">
      <c r="A1524" s="18"/>
      <c r="B1524" s="18" t="s">
        <v>29</v>
      </c>
      <c r="C1524" s="10"/>
      <c r="D1524" s="10"/>
      <c r="F1524" s="20"/>
    </row>
    <row r="1525" ht="15.75" hidden="1" customHeight="1" outlineLevel="1">
      <c r="A1525" s="10"/>
      <c r="B1525" s="10"/>
      <c r="C1525" s="18" t="s">
        <v>72</v>
      </c>
      <c r="D1525" s="10"/>
      <c r="F1525" s="6">
        <f t="array" ref="F1525">IFERROR(SUMIF('VO_PL(AIR)'!$A$4:$A$100, XLOOKUP($C1525, 'マスタ'!$D$2:$D$318, 'マスタ'!$D$2:$D$318, $C1525), 'VO_PL(AIR)'!J$4:J$100), 0)</f>
        <v>0</v>
      </c>
    </row>
    <row r="1526" ht="15.75" hidden="1" customHeight="1" outlineLevel="1">
      <c r="A1526" s="10"/>
      <c r="B1526" s="10"/>
      <c r="C1526" s="18" t="s">
        <v>73</v>
      </c>
      <c r="D1526" s="10"/>
      <c r="F1526" s="6">
        <f t="array" ref="F1526">IFERROR(SUMIF('VO_PL(AIR)'!$A$4:$A$100, XLOOKUP($C1526, 'マスタ'!$D$2:$D$318, 'マスタ'!$D$2:$D$318, $C1526), 'VO_PL(AIR)'!J$4:J$100), 0)</f>
        <v>0</v>
      </c>
    </row>
    <row r="1527" ht="15.75" hidden="1" customHeight="1" outlineLevel="1">
      <c r="A1527" s="10"/>
      <c r="B1527" s="10"/>
      <c r="C1527" s="18" t="s">
        <v>74</v>
      </c>
      <c r="D1527" s="10"/>
      <c r="F1527" s="6">
        <f t="array" ref="F1527">IFERROR(SUMIF('VO_PL(AIR)'!$A$4:$A$100, XLOOKUP($C1527, 'マスタ'!$D$2:$D$318, 'マスタ'!$D$2:$D$318, $C1527), 'VO_PL(AIR)'!J$4:J$100), 0)</f>
        <v>0</v>
      </c>
    </row>
    <row r="1528" ht="15.75" hidden="1" customHeight="1" outlineLevel="1">
      <c r="A1528" s="10"/>
      <c r="B1528" s="10"/>
      <c r="C1528" s="18" t="s">
        <v>75</v>
      </c>
      <c r="D1528" s="10"/>
      <c r="F1528" s="6">
        <f t="array" ref="F1528">IFERROR(SUMIF('VO_PL(AIR)'!$A$4:$A$100, XLOOKUP($C1528, 'マスタ'!$D$2:$D$318, 'マスタ'!$D$2:$D$318, $C1528), 'VO_PL(AIR)'!J$4:J$100), 0)</f>
        <v>0</v>
      </c>
    </row>
    <row r="1529" ht="15.75" hidden="1" customHeight="1" outlineLevel="1">
      <c r="A1529" s="10"/>
      <c r="B1529" s="10"/>
      <c r="C1529" s="18" t="s">
        <v>76</v>
      </c>
      <c r="D1529" s="10"/>
      <c r="F1529" s="6">
        <f t="array" ref="F1529">IFERROR(SUMIF('VO_PL(AIR)'!$A$4:$A$100, XLOOKUP($C1529, 'マスタ'!$D$2:$D$318, 'マスタ'!$D$2:$D$318, $C1529), 'VO_PL(AIR)'!J$4:J$100), 0)</f>
        <v>0</v>
      </c>
    </row>
    <row r="1530" ht="15.75" hidden="1" customHeight="1" outlineLevel="1">
      <c r="A1530" s="10"/>
      <c r="B1530" s="10"/>
      <c r="C1530" s="18" t="s">
        <v>77</v>
      </c>
      <c r="D1530" s="10"/>
      <c r="F1530" s="6">
        <f t="array" ref="F1530">IFERROR(SUMIF('VO_PL(AIR)'!$A$4:$A$100, XLOOKUP($C1530, 'マスタ'!$D$2:$D$318, 'マスタ'!$D$2:$D$318, $C1530), 'VO_PL(AIR)'!J$4:J$100), 0)</f>
        <v>0</v>
      </c>
    </row>
    <row r="1531" ht="15.75" hidden="1" customHeight="1" outlineLevel="1">
      <c r="A1531" s="10"/>
      <c r="B1531" s="10"/>
      <c r="C1531" s="18" t="s">
        <v>78</v>
      </c>
      <c r="D1531" s="10"/>
      <c r="F1531" s="6">
        <f t="array" ref="F1531">IFERROR(SUMIF('VO_PL(AIR)'!$A$4:$A$100, XLOOKUP($C1531, 'マスタ'!$D$2:$D$318, 'マスタ'!$D$2:$D$318, $C1531), 'VO_PL(AIR)'!J$4:J$100), 0)</f>
        <v>0</v>
      </c>
    </row>
    <row r="1532" ht="15.75" hidden="1" customHeight="1" outlineLevel="1">
      <c r="A1532" s="10"/>
      <c r="B1532" s="10"/>
      <c r="C1532" s="18" t="s">
        <v>79</v>
      </c>
      <c r="D1532" s="10"/>
      <c r="F1532" s="6">
        <f t="array" ref="F1532">IFERROR(SUMIF('VO_PL(AIR)'!$A$4:$A$100, XLOOKUP($C1532, 'マスタ'!$D$2:$D$318, 'マスタ'!$D$2:$D$318, $C1532), 'VO_PL(AIR)'!J$4:J$100), 0)</f>
        <v>0</v>
      </c>
    </row>
    <row r="1533" ht="15.75" customHeight="1">
      <c r="A1533" s="10"/>
      <c r="B1533" s="10"/>
      <c r="C1533" s="18" t="s">
        <v>80</v>
      </c>
      <c r="D1533" s="10"/>
      <c r="F1533" s="6">
        <f t="array" ref="F1533">IFERROR(SUMIF('VO_PL(AIR)'!$A$4:$A$100, XLOOKUP($C1533, 'マスタ'!$D$2:$D$318, 'マスタ'!$D$2:$D$318, $C1533), 'VO_PL(AIR)'!J$4:J$100), 0)</f>
        <v>454657</v>
      </c>
    </row>
    <row r="1534" ht="15.75" customHeight="1">
      <c r="A1534" s="10"/>
      <c r="B1534" s="10"/>
      <c r="C1534" s="18" t="s">
        <v>81</v>
      </c>
      <c r="D1534" s="10"/>
      <c r="F1534" s="6">
        <f t="array" ref="F1534">IFERROR(SUMIF('VO_PL(AIR)'!$A$4:$A$100, XLOOKUP($C1534, 'マスタ'!$D$2:$D$318, 'マスタ'!$D$2:$D$318, $C1534), 'VO_PL(AIR)'!J$4:J$100), 0)</f>
        <v>1414856</v>
      </c>
    </row>
    <row r="1535" ht="15.75" customHeight="1" collapsed="1">
      <c r="A1535" s="10"/>
      <c r="B1535" s="10"/>
      <c r="C1535" s="18" t="s">
        <v>82</v>
      </c>
      <c r="D1535" s="10"/>
      <c r="F1535" s="6">
        <f t="array" ref="F1535">IFERROR(SUMIF('VO_PL(AIR)'!$A$4:$A$100, XLOOKUP($C1535, 'マスタ'!$D$2:$D$318, 'マスタ'!$D$2:$D$318, $C1535), 'VO_PL(AIR)'!J$4:J$100), 0)</f>
        <v>81629</v>
      </c>
    </row>
    <row r="1536" ht="15.75" hidden="1" customHeight="1" outlineLevel="1">
      <c r="A1536" s="10"/>
      <c r="B1536" s="10"/>
      <c r="C1536" s="18" t="s">
        <v>83</v>
      </c>
      <c r="D1536" s="10"/>
      <c r="F1536" s="6">
        <f t="array" ref="F1536">IFERROR(SUMIF('VO_PL(AIR)'!$A$4:$A$100, XLOOKUP($C1536, 'マスタ'!$D$2:$D$318, 'マスタ'!$D$2:$D$318, $C1536), 'VO_PL(AIR)'!J$4:J$100), 0)</f>
        <v>0</v>
      </c>
    </row>
    <row r="1537" ht="15.75" hidden="1" customHeight="1" outlineLevel="1">
      <c r="A1537" s="10"/>
      <c r="B1537" s="10"/>
      <c r="C1537" s="18" t="s">
        <v>84</v>
      </c>
      <c r="D1537" s="10"/>
      <c r="F1537" s="6">
        <f t="array" ref="F1537">IFERROR(SUMIF('VO_PL(AIR)'!$A$4:$A$100, XLOOKUP($C1537, 'マスタ'!$D$2:$D$318, 'マスタ'!$D$2:$D$318, $C1537), 'VO_PL(AIR)'!J$4:J$100), 0)</f>
        <v>0</v>
      </c>
    </row>
    <row r="1538" ht="15.75" hidden="1" customHeight="1" outlineLevel="1">
      <c r="A1538" s="10"/>
      <c r="B1538" s="10"/>
      <c r="C1538" s="18" t="s">
        <v>85</v>
      </c>
      <c r="D1538" s="10"/>
      <c r="F1538" s="6">
        <f t="array" ref="F1538">IFERROR(SUMIF('VO_PL(AIR)'!$A$4:$A$100, XLOOKUP($C1538, 'マスタ'!$D$2:$D$318, 'マスタ'!$D$2:$D$318, $C1538), 'VO_PL(AIR)'!J$4:J$100), 0)</f>
        <v>0</v>
      </c>
    </row>
    <row r="1539" ht="15.75" hidden="1" customHeight="1" outlineLevel="1">
      <c r="A1539" s="10"/>
      <c r="B1539" s="10"/>
      <c r="C1539" s="18" t="s">
        <v>86</v>
      </c>
      <c r="D1539" s="10"/>
      <c r="F1539" s="6">
        <f t="array" ref="F1539">IFERROR(SUMIF('VO_PL(AIR)'!$A$4:$A$100, XLOOKUP($C1539, 'マスタ'!$D$2:$D$318, 'マスタ'!$D$2:$D$318, $C1539), 'VO_PL(AIR)'!J$4:J$100), 0)</f>
        <v>0</v>
      </c>
    </row>
    <row r="1540" ht="15.75" hidden="1" customHeight="1" outlineLevel="1">
      <c r="A1540" s="10"/>
      <c r="B1540" s="10"/>
      <c r="C1540" s="18" t="s">
        <v>87</v>
      </c>
      <c r="D1540" s="10"/>
      <c r="F1540" s="6">
        <f t="array" ref="F1540">IFERROR(SUMIF('VO_PL(AIR)'!$A$4:$A$100, XLOOKUP($C1540, 'マスタ'!$D$2:$D$318, 'マスタ'!$D$2:$D$318, $C1540), 'VO_PL(AIR)'!J$4:J$100), 0)</f>
        <v>0</v>
      </c>
    </row>
    <row r="1541" ht="15.75" hidden="1" customHeight="1" outlineLevel="1">
      <c r="A1541" s="10"/>
      <c r="B1541" s="10"/>
      <c r="C1541" s="18" t="s">
        <v>88</v>
      </c>
      <c r="D1541" s="10"/>
      <c r="F1541" s="6">
        <f t="array" ref="F1541">IFERROR(SUMIF('VO_PL(AIR)'!$A$4:$A$100, XLOOKUP($C1541, 'マスタ'!$D$2:$D$318, 'マスタ'!$D$2:$D$318, $C1541), 'VO_PL(AIR)'!J$4:J$100), 0)</f>
        <v>0</v>
      </c>
    </row>
    <row r="1542" ht="15.75" hidden="1" customHeight="1" outlineLevel="1">
      <c r="A1542" s="10"/>
      <c r="B1542" s="10"/>
      <c r="C1542" s="18" t="s">
        <v>89</v>
      </c>
      <c r="D1542" s="10"/>
      <c r="F1542" s="6">
        <f t="array" ref="F1542">IFERROR(SUMIF('VO_PL(AIR)'!$A$4:$A$100, XLOOKUP($C1542, 'マスタ'!$D$2:$D$318, 'マスタ'!$D$2:$D$318, $C1542), 'VO_PL(AIR)'!J$4:J$100), 0)</f>
        <v>0</v>
      </c>
    </row>
    <row r="1543" ht="15.75" hidden="1" customHeight="1" outlineLevel="1">
      <c r="A1543" s="10"/>
      <c r="B1543" s="10"/>
      <c r="C1543" s="18" t="s">
        <v>90</v>
      </c>
      <c r="D1543" s="10"/>
      <c r="F1543" s="6">
        <f t="array" ref="F1543">IFERROR(SUMIF('VO_PL(AIR)'!$A$4:$A$100, XLOOKUP($C1543, 'マスタ'!$D$2:$D$318, 'マスタ'!$D$2:$D$318, $C1543), 'VO_PL(AIR)'!J$4:J$100), 0)</f>
        <v>0</v>
      </c>
    </row>
    <row r="1544" ht="15.75" hidden="1" customHeight="1" outlineLevel="1">
      <c r="A1544" s="10"/>
      <c r="B1544" s="10"/>
      <c r="C1544" s="18" t="s">
        <v>91</v>
      </c>
      <c r="D1544" s="10"/>
      <c r="F1544" s="6">
        <f t="array" ref="F1544">IFERROR(SUMIF('VO_PL(AIR)'!$A$4:$A$100, XLOOKUP($C1544, 'マスタ'!$D$2:$D$318, 'マスタ'!$D$2:$D$318, $C1544), 'VO_PL(AIR)'!J$4:J$100), 0)</f>
        <v>0</v>
      </c>
    </row>
    <row r="1545" ht="15.75" customHeight="1">
      <c r="A1545" s="10"/>
      <c r="B1545" s="10"/>
      <c r="C1545" s="18" t="s">
        <v>92</v>
      </c>
      <c r="D1545" s="10"/>
      <c r="F1545" s="6">
        <f t="array" ref="F1545">IFERROR(SUMIF('VO_PL(AIR)'!$A$4:$A$100, XLOOKUP($C1545, 'マスタ'!$D$2:$D$318, 'マスタ'!$D$2:$D$318, $C1545), 'VO_PL(AIR)'!J$4:J$100), 0)</f>
        <v>296439</v>
      </c>
    </row>
    <row r="1546" ht="15.75" customHeight="1">
      <c r="A1546" s="10"/>
      <c r="B1546" s="10"/>
      <c r="C1546" s="18" t="s">
        <v>93</v>
      </c>
      <c r="D1546" s="10"/>
      <c r="F1546" s="6">
        <f t="array" ref="F1546">IFERROR(SUMIF('VO_PL(AIR)'!$A$4:$A$100, XLOOKUP($C1546, 'マスタ'!$D$2:$D$318, 'マスタ'!$D$2:$D$318, $C1546), 'VO_PL(AIR)'!J$4:J$100), 0)</f>
        <v>0</v>
      </c>
    </row>
    <row r="1547" ht="15.75" customHeight="1">
      <c r="A1547" s="10"/>
      <c r="B1547" s="10"/>
      <c r="C1547" s="18" t="s">
        <v>94</v>
      </c>
      <c r="D1547" s="10"/>
      <c r="F1547" s="6">
        <f t="array" ref="F1547">IFERROR(SUMIF('VO_PL(AIR)'!$A$4:$A$100, XLOOKUP($C1547, 'マスタ'!$D$2:$D$318, 'マスタ'!$D$2:$D$318, $C1547), 'VO_PL(AIR)'!J$4:J$100), 0)</f>
        <v>3280</v>
      </c>
    </row>
    <row r="1548" ht="15.75" customHeight="1" collapsed="1">
      <c r="A1548" s="10"/>
      <c r="B1548" s="10"/>
      <c r="C1548" s="18" t="s">
        <v>95</v>
      </c>
      <c r="D1548" s="10"/>
      <c r="F1548" s="6">
        <f t="array" ref="F1548">IFERROR(SUMIF('VO_PL(AIR)'!$A$4:$A$100, XLOOKUP($C1548, 'マスタ'!$D$2:$D$318, 'マスタ'!$D$2:$D$318, $C1548), 'VO_PL(AIR)'!J$4:J$100), 0)</f>
        <v>66879</v>
      </c>
    </row>
    <row r="1549" ht="15.75" hidden="1" customHeight="1" outlineLevel="1">
      <c r="A1549" s="10"/>
      <c r="B1549" s="10"/>
      <c r="C1549" s="18" t="s">
        <v>96</v>
      </c>
      <c r="D1549" s="10"/>
      <c r="F1549" s="6">
        <f t="array" ref="F1549">IFERROR(SUMIF('VO_PL(AIR)'!$A$4:$A$100, XLOOKUP($C1549, 'マスタ'!$D$2:$D$318, 'マスタ'!$D$2:$D$318, $C1549), 'VO_PL(AIR)'!J$4:J$100), 0)</f>
        <v>0</v>
      </c>
    </row>
    <row r="1550" ht="15.75" hidden="1" customHeight="1" outlineLevel="1">
      <c r="A1550" s="10"/>
      <c r="B1550" s="10"/>
      <c r="C1550" s="18" t="s">
        <v>97</v>
      </c>
      <c r="D1550" s="10"/>
      <c r="F1550" s="6">
        <f t="array" ref="F1550">IFERROR(SUMIF('VO_PL(AIR)'!$A$4:$A$100, XLOOKUP($C1550, 'マスタ'!$D$2:$D$318, 'マスタ'!$D$2:$D$318, $C1550), 'VO_PL(AIR)'!J$4:J$100), 0)</f>
        <v>0</v>
      </c>
    </row>
    <row r="1551" ht="15.75" hidden="1" customHeight="1" outlineLevel="1">
      <c r="A1551" s="10"/>
      <c r="B1551" s="10"/>
      <c r="C1551" s="18" t="s">
        <v>98</v>
      </c>
      <c r="D1551" s="10"/>
      <c r="F1551" s="6">
        <f t="array" ref="F1551">IFERROR(SUMIF('VO_PL(AIR)'!$A$4:$A$100, XLOOKUP($C1551, 'マスタ'!$D$2:$D$318, 'マスタ'!$D$2:$D$318, $C1551), 'VO_PL(AIR)'!J$4:J$100), 0)</f>
        <v>0</v>
      </c>
    </row>
    <row r="1552" ht="15.75" hidden="1" customHeight="1" outlineLevel="1">
      <c r="A1552" s="10"/>
      <c r="B1552" s="10"/>
      <c r="C1552" s="18" t="s">
        <v>99</v>
      </c>
      <c r="D1552" s="10"/>
      <c r="F1552" s="6">
        <f t="array" ref="F1552">IFERROR(SUMIF('VO_PL(AIR)'!$A$4:$A$100, XLOOKUP($C1552, 'マスタ'!$D$2:$D$318, 'マスタ'!$D$2:$D$318, $C1552), 'VO_PL(AIR)'!J$4:J$100), 0)</f>
        <v>0</v>
      </c>
    </row>
    <row r="1553" ht="15.75" hidden="1" customHeight="1" outlineLevel="1">
      <c r="A1553" s="10"/>
      <c r="B1553" s="10"/>
      <c r="C1553" s="18" t="s">
        <v>100</v>
      </c>
      <c r="D1553" s="10"/>
      <c r="F1553" s="6">
        <f t="array" ref="F1553">IFERROR(SUMIF('VO_PL(AIR)'!$A$4:$A$100, XLOOKUP($C1553, 'マスタ'!$D$2:$D$318, 'マスタ'!$D$2:$D$318, $C1553), 'VO_PL(AIR)'!J$4:J$100), 0)</f>
        <v>0</v>
      </c>
    </row>
    <row r="1554" ht="15.75" customHeight="1">
      <c r="A1554" s="10"/>
      <c r="B1554" s="10"/>
      <c r="C1554" s="18" t="s">
        <v>101</v>
      </c>
      <c r="D1554" s="10"/>
      <c r="F1554" s="6">
        <f t="array" ref="F1554">IFERROR(SUMIF('VO_PL(AIR)'!$A$4:$A$100, XLOOKUP($C1554, 'マスタ'!$D$2:$D$318, 'マスタ'!$D$2:$D$318, $C1554), 'VO_PL(AIR)'!J$4:J$100), 0)</f>
        <v>391000</v>
      </c>
    </row>
    <row r="1555" ht="15.75" customHeight="1">
      <c r="A1555" s="18"/>
      <c r="B1555" s="18" t="s">
        <v>102</v>
      </c>
      <c r="C1555" s="10"/>
      <c r="D1555" s="10"/>
      <c r="F1555" s="6">
        <f>SUM(F1525:F1554)</f>
        <v>2708740</v>
      </c>
    </row>
    <row r="1556" ht="15.75" customHeight="1" collapsed="1">
      <c r="A1556" s="18"/>
      <c r="B1556" s="18" t="s">
        <v>31</v>
      </c>
      <c r="C1556" s="10"/>
      <c r="D1556" s="10"/>
      <c r="F1556" s="6">
        <f>F1523-F1555</f>
        <v>-6857357</v>
      </c>
    </row>
    <row r="1557" ht="15.75" hidden="1" customHeight="1" outlineLevel="1">
      <c r="A1557" s="18"/>
      <c r="B1557" s="18" t="s">
        <v>32</v>
      </c>
      <c r="C1557" s="18"/>
      <c r="D1557" s="10"/>
      <c r="F1557" s="6">
        <f>SUM(F1558:F1563)</f>
        <v>0</v>
      </c>
    </row>
    <row r="1558" ht="15.75" hidden="1" customHeight="1" outlineLevel="1">
      <c r="A1558" s="10"/>
      <c r="B1558" s="10"/>
      <c r="C1558" s="18" t="s">
        <v>103</v>
      </c>
      <c r="D1558" s="10"/>
      <c r="F1558" s="6">
        <f t="array" ref="F1558">SUMIF('VO_PL(ORIGIN)'!$A$4:$A$100, XLOOKUP($C1558, 'マスタ'!$D$2:$D$318, 'マスタ'!$D$2:$D$318, $C1558), 'VO_PL(ORIGIN)'!J$4:J$100)</f>
        <v>0</v>
      </c>
    </row>
    <row r="1559" ht="15.75" hidden="1" customHeight="1" outlineLevel="1">
      <c r="A1559" s="10"/>
      <c r="B1559" s="10"/>
      <c r="C1559" s="10" t="s">
        <v>104</v>
      </c>
      <c r="D1559" s="10"/>
      <c r="F1559" s="6">
        <f t="array" ref="F1559">SUMIF('VO_PL(ORIGIN)'!$A$4:$A$100, XLOOKUP($C1559, 'マスタ'!$D$2:$D$318, 'マスタ'!$D$2:$D$318, $C1559), 'VO_PL(ORIGIN)'!J$4:J$100)</f>
        <v>0</v>
      </c>
    </row>
    <row r="1560" ht="15.75" hidden="1" customHeight="1" outlineLevel="1">
      <c r="A1560" s="10"/>
      <c r="B1560" s="10"/>
      <c r="C1560" s="18" t="s">
        <v>105</v>
      </c>
      <c r="D1560" s="10"/>
      <c r="F1560" s="6">
        <f t="array" ref="F1560">SUMIF('VO_PL(ORIGIN)'!$A$4:$A$100, XLOOKUP($C1560, 'マスタ'!$D$2:$D$318, 'マスタ'!$D$2:$D$318, $C1560), 'VO_PL(ORIGIN)'!J$4:J$100)</f>
        <v>0</v>
      </c>
    </row>
    <row r="1561" ht="15.75" hidden="1" customHeight="1" outlineLevel="1">
      <c r="A1561" s="10"/>
      <c r="B1561" s="10"/>
      <c r="C1561" s="10" t="s">
        <v>106</v>
      </c>
      <c r="D1561" s="10"/>
      <c r="F1561" s="6">
        <f t="array" ref="F1561">SUMIF('VO_PL(ORIGIN)'!$A$4:$A$100, XLOOKUP($C1561, 'マスタ'!$D$2:$D$318, 'マスタ'!$D$2:$D$318, $C1561), 'VO_PL(ORIGIN)'!J$4:J$100)</f>
        <v>0</v>
      </c>
    </row>
    <row r="1562" ht="15.75" hidden="1" customHeight="1" outlineLevel="1">
      <c r="A1562" s="10"/>
      <c r="B1562" s="10"/>
      <c r="C1562" s="18" t="s">
        <v>107</v>
      </c>
      <c r="D1562" s="10"/>
      <c r="F1562" s="6">
        <f t="array" ref="F1562">SUMIF('VO_PL(ORIGIN)'!$A$4:$A$100, XLOOKUP($C1562, 'マスタ'!$D$2:$D$318, 'マスタ'!$D$2:$D$318, $C1562), 'VO_PL(ORIGIN)'!J$4:J$100)</f>
        <v>0</v>
      </c>
    </row>
    <row r="1563" ht="15.75" hidden="1" customHeight="1" outlineLevel="1">
      <c r="A1563" s="10"/>
      <c r="B1563" s="10"/>
      <c r="C1563" s="18" t="s">
        <v>108</v>
      </c>
      <c r="D1563" s="10"/>
      <c r="E1563" s="44"/>
      <c r="F1563" s="6">
        <f t="array" ref="F1563">SUMIF('VO_PL(ORIGIN)'!$A$4:$A$100, XLOOKUP($C1563, 'マスタ'!$D$2:$D$318, 'マスタ'!$D$2:$D$318, $C1563), 'VO_PL(ORIGIN)'!J$4:J$100)</f>
        <v>0</v>
      </c>
    </row>
    <row r="1564" ht="15.75" hidden="1" customHeight="1" outlineLevel="1">
      <c r="A1564" s="18"/>
      <c r="B1564" s="18" t="s">
        <v>34</v>
      </c>
      <c r="C1564" s="18"/>
      <c r="D1564" s="10"/>
      <c r="F1564" s="6">
        <f>SUM(F1565:F1567)</f>
        <v>0</v>
      </c>
    </row>
    <row r="1565" ht="15.75" hidden="1" customHeight="1" outlineLevel="1">
      <c r="A1565" s="10"/>
      <c r="B1565" s="10"/>
      <c r="C1565" s="18" t="s">
        <v>109</v>
      </c>
      <c r="D1565" s="10"/>
      <c r="F1565" s="6">
        <f t="array" ref="F1565">SUMIF('VO_PL(ORIGIN)'!$A$4:$A$100, XLOOKUP($C1565, 'マスタ'!$D$2:$D$318, 'マスタ'!$D$2:$D$318, $C1565), 'VO_PL(ORIGIN)'!J$4:J$100)</f>
        <v>0</v>
      </c>
    </row>
    <row r="1566" ht="15.75" hidden="1" customHeight="1" outlineLevel="1">
      <c r="A1566" s="10"/>
      <c r="B1566" s="10"/>
      <c r="C1566" s="18" t="s">
        <v>110</v>
      </c>
      <c r="D1566" s="10"/>
      <c r="F1566" s="6">
        <f t="array" ref="F1566">SUMIF('VO_PL(ORIGIN)'!$A$4:$A$100, XLOOKUP($C1566, 'マスタ'!$D$2:$D$318, 'マスタ'!$D$2:$D$318, $C1566), 'VO_PL(ORIGIN)'!J$4:J$100)</f>
        <v>0</v>
      </c>
    </row>
    <row r="1567" ht="15.75" hidden="1" customHeight="1" outlineLevel="1">
      <c r="A1567" s="10"/>
      <c r="B1567" s="10"/>
      <c r="C1567" s="18" t="s">
        <v>111</v>
      </c>
      <c r="D1567" s="10"/>
      <c r="F1567" s="6">
        <f t="array" ref="F1567">SUMIF('VO_PL(ORIGIN)'!$A$4:$A$100, XLOOKUP($C1567, 'マスタ'!$D$2:$D$318, 'マスタ'!$D$2:$D$318, $C1567), 'VO_PL(ORIGIN)'!J$4:J$100)</f>
        <v>0</v>
      </c>
    </row>
    <row r="1568" ht="15.75" customHeight="1" collapsed="1">
      <c r="A1568" s="18"/>
      <c r="B1568" s="18" t="s">
        <v>112</v>
      </c>
      <c r="C1568" s="10"/>
      <c r="D1568" s="10"/>
      <c r="F1568" s="6">
        <f>F1556+F1557-F1564</f>
        <v>-6857357</v>
      </c>
    </row>
    <row r="1569" ht="15.75" hidden="1" customHeight="1" outlineLevel="1">
      <c r="A1569" s="18"/>
      <c r="B1569" s="18" t="s">
        <v>37</v>
      </c>
      <c r="D1569" s="10"/>
      <c r="F1569" s="6">
        <f t="array" ref="F1569">SUMIF('VO_PL(ORIGIN)'!$A$4:$A$100, XLOOKUP($C1569, 'マスタ'!$D$2:$D$318, 'マスタ'!$D$2:$D$318, $C1569), 'VO_PL(ORIGIN)'!J$4:J$100)</f>
        <v>0</v>
      </c>
    </row>
    <row r="1570" ht="15.75" hidden="1" customHeight="1" outlineLevel="1">
      <c r="A1570" s="10"/>
      <c r="B1570" s="10"/>
      <c r="C1570" s="10" t="s">
        <v>113</v>
      </c>
      <c r="F1570" s="6">
        <f t="array" ref="F1570">SUMIF('VO_PL(ORIGIN)'!$A$4:$A$100, XLOOKUP($C1570, 'マスタ'!$D$2:$D$318, 'マスタ'!$D$2:$D$318, $C1570), 'VO_PL(ORIGIN)'!J$4:J$100)</f>
        <v>0</v>
      </c>
    </row>
    <row r="1571" ht="15.75" hidden="1" customHeight="1" outlineLevel="1">
      <c r="A1571" s="10"/>
      <c r="B1571" s="10"/>
      <c r="C1571" s="18"/>
      <c r="D1571" s="18"/>
      <c r="F1571" s="6">
        <f t="array" ref="F1571">SUMIF('VO_PL(ORIGIN)'!$A$4:$A$100, XLOOKUP($C1571, 'マスタ'!$D$2:$D$318, 'マスタ'!$D$2:$D$318, $C1571), 'VO_PL(ORIGIN)'!J$4:J$100)</f>
        <v>0</v>
      </c>
    </row>
    <row r="1572" ht="15.75" hidden="1" customHeight="1" outlineLevel="1">
      <c r="A1572" s="18"/>
      <c r="B1572" s="18" t="s">
        <v>39</v>
      </c>
      <c r="D1572" s="18"/>
      <c r="F1572" s="6">
        <f t="array" ref="F1572">SUMIF('VO_PL(ORIGIN)'!$A$4:$A$100, XLOOKUP($C1572, 'マスタ'!$D$2:$D$318, 'マスタ'!$D$2:$D$318, $C1572), 'VO_PL(ORIGIN)'!J$4:J$100)</f>
        <v>0</v>
      </c>
    </row>
    <row r="1573" ht="15.75" hidden="1" customHeight="1" outlineLevel="1">
      <c r="A1573" s="18"/>
      <c r="B1573" s="18"/>
      <c r="C1573" s="18" t="s">
        <v>114</v>
      </c>
      <c r="F1573" s="6">
        <f t="array" ref="F1573">SUMIF('VO_PL(ORIGIN)'!$A$4:$A$100, XLOOKUP($C1573, 'マスタ'!$D$2:$D$318, 'マスタ'!$D$2:$D$318, $C1573), 'VO_PL(ORIGIN)'!J$4:J$100)</f>
        <v>0</v>
      </c>
    </row>
    <row r="1574" ht="15.75" hidden="1" customHeight="1" outlineLevel="1">
      <c r="A1574" s="18"/>
      <c r="B1574" s="18"/>
      <c r="C1574" s="10" t="s">
        <v>115</v>
      </c>
      <c r="F1574" s="6">
        <f t="array" ref="F1574">SUMIF('VO_PL(ORIGIN)'!$A$4:$A$100, XLOOKUP($C1574, 'マスタ'!$D$2:$D$318, 'マスタ'!$D$2:$D$318, $C1574), 'VO_PL(ORIGIN)'!J$4:J$100)</f>
        <v>0</v>
      </c>
    </row>
    <row r="1575" ht="15.75" hidden="1" customHeight="1" outlineLevel="1">
      <c r="A1575" s="18"/>
      <c r="B1575" s="18"/>
      <c r="C1575" s="10" t="s">
        <v>116</v>
      </c>
      <c r="F1575" s="6">
        <f t="array" ref="F1575">SUMIF('VO_PL(ORIGIN)'!$A$4:$A$100, XLOOKUP($C1575, 'マスタ'!$D$2:$D$318, 'マスタ'!$D$2:$D$318, $C1575), 'VO_PL(ORIGIN)'!J$4:J$100)</f>
        <v>0</v>
      </c>
    </row>
    <row r="1576" ht="15.75" customHeight="1">
      <c r="A1576" s="18"/>
      <c r="B1576" s="18" t="s">
        <v>117</v>
      </c>
      <c r="C1576" s="10"/>
      <c r="F1576" s="6">
        <f>F1568+F1569-F1572</f>
        <v>-6857357</v>
      </c>
    </row>
    <row r="1577" ht="15.75" customHeight="1">
      <c r="A1577" s="10"/>
      <c r="B1577" s="10"/>
      <c r="C1577" s="18" t="s">
        <v>43</v>
      </c>
      <c r="D1577" s="10"/>
      <c r="F1577" s="6">
        <f t="array" ref="F1577">SUMIF('VO_PL(ORIGIN)'!$A$4:$A$100, XLOOKUP($C1577, 'マスタ'!$D$2:$D$318, 'マスタ'!$D$2:$D$318, $C1577), 'VO_PL(ORIGIN)'!J$4:J$100)</f>
        <v>0</v>
      </c>
    </row>
    <row r="1578" ht="15.75" customHeight="1">
      <c r="A1578" s="10"/>
      <c r="B1578" s="10"/>
      <c r="C1578" s="18" t="s">
        <v>118</v>
      </c>
      <c r="D1578" s="10"/>
      <c r="F1578" s="6">
        <f t="array" ref="F1578">SUMIF('VO_PL(ORIGIN)'!$A$4:$A$100, XLOOKUP($C1578, 'マスタ'!$D$2:$D$318, 'マスタ'!$D$2:$D$318, $C1578), 'VO_PL(ORIGIN)'!J$4:J$100)</f>
        <v>0</v>
      </c>
    </row>
    <row r="1579" ht="15.75" customHeight="1">
      <c r="A1579" s="18"/>
      <c r="B1579" s="18" t="s">
        <v>119</v>
      </c>
      <c r="C1579" s="10"/>
      <c r="D1579" s="10"/>
      <c r="F1579" s="6">
        <f>F1576-(F1577-F1578)</f>
        <v>-6857357</v>
      </c>
    </row>
    <row r="1580" ht="15.75" customHeight="1">
      <c r="A1580" s="18"/>
      <c r="B1580" s="18"/>
      <c r="C1580" s="10"/>
      <c r="D1580" s="10"/>
      <c r="F1580" s="20"/>
    </row>
    <row r="1581" ht="15.75" customHeight="1">
      <c r="A1581" s="25"/>
      <c r="B1581" s="25"/>
      <c r="C1581" s="26"/>
      <c r="D1581" s="26"/>
      <c r="E1581" s="45"/>
      <c r="F1581" s="46"/>
    </row>
    <row r="1582" ht="15.75" customHeight="1">
      <c r="A1582" s="4"/>
      <c r="B1582" s="4" t="s">
        <v>50</v>
      </c>
      <c r="C1582" s="4" t="s">
        <v>174</v>
      </c>
      <c r="D1582" s="4" t="s">
        <v>27</v>
      </c>
      <c r="F1582" s="10"/>
    </row>
    <row r="1583" ht="15.75" customHeight="1">
      <c r="A1583" s="18"/>
      <c r="B1583" s="18" t="s">
        <v>1</v>
      </c>
      <c r="D1583" s="10"/>
      <c r="F1583" s="41"/>
    </row>
    <row r="1584" ht="15.75" customHeight="1">
      <c r="C1584" s="18" t="s">
        <v>1</v>
      </c>
      <c r="D1584" s="10"/>
      <c r="F1584" s="42">
        <f t="array" ref="F1584">SUMIF('VO_PL(GLASS)'!$A$4:$A$100, XLOOKUP($C1584, 'マスタ'!$D$2:$D$318, 'マスタ'!$D$2:$D$318, $C1584), 'VO_PL(GLASS)'!J$4:J$100)</f>
        <v>49031091</v>
      </c>
    </row>
    <row r="1585" ht="15.75" customHeight="1">
      <c r="A1585" s="18"/>
      <c r="B1585" s="18" t="s">
        <v>67</v>
      </c>
      <c r="C1585" s="10"/>
      <c r="D1585" s="10"/>
      <c r="F1585" s="42">
        <f>F1584</f>
        <v>49031091</v>
      </c>
    </row>
    <row r="1586" ht="15.75" customHeight="1">
      <c r="A1586" s="18"/>
      <c r="B1586" s="18" t="s">
        <v>28</v>
      </c>
      <c r="C1586" s="10"/>
      <c r="D1586" s="10"/>
      <c r="F1586" s="42"/>
    </row>
    <row r="1587" ht="15.75" customHeight="1">
      <c r="A1587" s="10"/>
      <c r="B1587" s="10"/>
      <c r="C1587" s="18" t="s">
        <v>68</v>
      </c>
      <c r="D1587" s="10"/>
      <c r="F1587" s="42">
        <f t="array" ref="F1587">SUMIF('VO_PL(AIR)'!$A$4:$A$100, XLOOKUP($C1587, 'マスタ'!$D$2:$D$318, 'マスタ'!$D$2:$D$318, $C1587), 'VO_PL(AIR)'!J$4:J$100)</f>
        <v>0</v>
      </c>
    </row>
    <row r="1588" ht="15.75" customHeight="1">
      <c r="A1588" s="10"/>
      <c r="B1588" s="10"/>
      <c r="C1588" s="18" t="s">
        <v>69</v>
      </c>
      <c r="D1588" s="10"/>
      <c r="F1588" s="42">
        <f t="array" ref="F1588">SUMIF('VO_PL(GLASS)'!$A$4:$A$100, XLOOKUP($C1588, 'マスタ'!$D$2:$D$318, 'マスタ'!$D$2:$D$318, $C1588), 'VO_PL(GLASS)'!J$4:J$100)</f>
        <v>33538543</v>
      </c>
    </row>
    <row r="1589" ht="15.75" customHeight="1">
      <c r="A1589" s="10"/>
      <c r="B1589" s="10"/>
      <c r="C1589" s="27" t="s">
        <v>70</v>
      </c>
      <c r="D1589" s="10"/>
      <c r="F1589" s="42">
        <f t="array" ref="F1589">SUMIF('VO_PL(AIR)'!$A$4:$A$100, XLOOKUP($C1589, 'マスタ'!$D$2:$D$318, 'マスタ'!$D$2:$D$318, $C1589), 'VO_PL(AIR)'!J$4:J$100)</f>
        <v>0</v>
      </c>
    </row>
    <row r="1590" ht="15.75" customHeight="1">
      <c r="A1590" s="10"/>
      <c r="B1590" s="10"/>
      <c r="C1590" s="18" t="s">
        <v>71</v>
      </c>
      <c r="D1590" s="10"/>
      <c r="F1590" s="42">
        <f t="array" ref="F1590">SUMIF('VO_PL(GLASS)'!$A$4:$A$100, XLOOKUP($C1590, 'マスタ'!$D$2:$D$318, 'マスタ'!$D$2:$D$318, $C1590), 'VO_PL(GLASS)'!J$4:J$100)</f>
        <v>90646</v>
      </c>
    </row>
    <row r="1591" ht="15.75" customHeight="1">
      <c r="A1591" s="18"/>
      <c r="B1591" s="18" t="s">
        <v>28</v>
      </c>
      <c r="C1591" s="10"/>
      <c r="D1591" s="10"/>
      <c r="F1591" s="43">
        <f>F1588-F1590</f>
        <v>33447897</v>
      </c>
    </row>
    <row r="1592" ht="15.75" customHeight="1">
      <c r="A1592" s="18"/>
      <c r="B1592" s="18" t="s">
        <v>5</v>
      </c>
      <c r="C1592" s="10"/>
      <c r="D1592" s="10"/>
      <c r="F1592" s="43">
        <f>F1585-F1591</f>
        <v>15583194</v>
      </c>
    </row>
    <row r="1593" ht="15.75" customHeight="1" collapsed="1">
      <c r="A1593" s="18"/>
      <c r="B1593" s="18" t="s">
        <v>29</v>
      </c>
      <c r="C1593" s="10"/>
      <c r="D1593" s="10"/>
      <c r="F1593" s="20"/>
    </row>
    <row r="1594" ht="15.75" hidden="1" customHeight="1" outlineLevel="1">
      <c r="A1594" s="10"/>
      <c r="B1594" s="10"/>
      <c r="C1594" s="18" t="s">
        <v>72</v>
      </c>
      <c r="D1594" s="10"/>
      <c r="F1594" s="6">
        <f t="array" ref="F1594">IFERROR(SUMIF('VO_PL(GLASS)'!$A$4:$A$100, XLOOKUP($C1594, 'マスタ'!$D$2:$D$318, 'マスタ'!$D$2:$D$318, $C1594), 'VO_PL(GLASS)'!J$4:J$100), 0)</f>
        <v>0</v>
      </c>
    </row>
    <row r="1595" ht="15.75" hidden="1" customHeight="1" outlineLevel="1">
      <c r="A1595" s="10"/>
      <c r="B1595" s="10"/>
      <c r="C1595" s="18" t="s">
        <v>73</v>
      </c>
      <c r="D1595" s="10"/>
      <c r="F1595" s="6">
        <f t="array" ref="F1595">IFERROR(SUMIF('VO_PL(GLASS)'!$A$4:$A$100, XLOOKUP($C1595, 'マスタ'!$D$2:$D$318, 'マスタ'!$D$2:$D$318, $C1595), 'VO_PL(GLASS)'!J$4:J$100), 0)</f>
        <v>0</v>
      </c>
    </row>
    <row r="1596" ht="15.75" hidden="1" customHeight="1" outlineLevel="1">
      <c r="A1596" s="10"/>
      <c r="B1596" s="10"/>
      <c r="C1596" s="18" t="s">
        <v>74</v>
      </c>
      <c r="D1596" s="10"/>
      <c r="F1596" s="6">
        <f t="array" ref="F1596">IFERROR(SUMIF('VO_PL(GLASS)'!$A$4:$A$100, XLOOKUP($C1596, 'マスタ'!$D$2:$D$318, 'マスタ'!$D$2:$D$318, $C1596), 'VO_PL(GLASS)'!J$4:J$100), 0)</f>
        <v>0</v>
      </c>
    </row>
    <row r="1597" ht="15.75" hidden="1" customHeight="1" outlineLevel="1">
      <c r="A1597" s="10"/>
      <c r="B1597" s="10"/>
      <c r="C1597" s="18" t="s">
        <v>75</v>
      </c>
      <c r="D1597" s="10"/>
      <c r="F1597" s="6">
        <f t="array" ref="F1597">IFERROR(SUMIF('VO_PL(GLASS)'!$A$4:$A$100, XLOOKUP($C1597, 'マスタ'!$D$2:$D$318, 'マスタ'!$D$2:$D$318, $C1597), 'VO_PL(GLASS)'!J$4:J$100), 0)</f>
        <v>0</v>
      </c>
    </row>
    <row r="1598" ht="15.75" hidden="1" customHeight="1" outlineLevel="1">
      <c r="A1598" s="10"/>
      <c r="B1598" s="10"/>
      <c r="C1598" s="18" t="s">
        <v>76</v>
      </c>
      <c r="D1598" s="10"/>
      <c r="F1598" s="6">
        <f t="array" ref="F1598">IFERROR(SUMIF('VO_PL(GLASS)'!$A$4:$A$100, XLOOKUP($C1598, 'マスタ'!$D$2:$D$318, 'マスタ'!$D$2:$D$318, $C1598), 'VO_PL(GLASS)'!J$4:J$100), 0)</f>
        <v>0</v>
      </c>
    </row>
    <row r="1599" ht="15.75" hidden="1" customHeight="1" outlineLevel="1">
      <c r="A1599" s="10"/>
      <c r="B1599" s="10"/>
      <c r="C1599" s="18" t="s">
        <v>77</v>
      </c>
      <c r="D1599" s="10"/>
      <c r="F1599" s="6">
        <f t="array" ref="F1599">IFERROR(SUMIF('VO_PL(GLASS)'!$A$4:$A$100, XLOOKUP($C1599, 'マスタ'!$D$2:$D$318, 'マスタ'!$D$2:$D$318, $C1599), 'VO_PL(GLASS)'!J$4:J$100), 0)</f>
        <v>0</v>
      </c>
    </row>
    <row r="1600" ht="15.75" hidden="1" customHeight="1" outlineLevel="1">
      <c r="A1600" s="10"/>
      <c r="B1600" s="10"/>
      <c r="C1600" s="18" t="s">
        <v>78</v>
      </c>
      <c r="D1600" s="10"/>
      <c r="F1600" s="6">
        <f t="array" ref="F1600">IFERROR(SUMIF('VO_PL(GLASS)'!$A$4:$A$100, XLOOKUP($C1600, 'マスタ'!$D$2:$D$318, 'マスタ'!$D$2:$D$318, $C1600), 'VO_PL(GLASS)'!J$4:J$100), 0)</f>
        <v>0</v>
      </c>
    </row>
    <row r="1601" ht="15.75" hidden="1" customHeight="1" outlineLevel="1">
      <c r="A1601" s="10"/>
      <c r="B1601" s="10"/>
      <c r="C1601" s="18" t="s">
        <v>79</v>
      </c>
      <c r="D1601" s="10"/>
      <c r="F1601" s="6">
        <f t="array" ref="F1601">IFERROR(SUMIF('VO_PL(GLASS)'!$A$4:$A$100, XLOOKUP($C1601, 'マスタ'!$D$2:$D$318, 'マスタ'!$D$2:$D$318, $C1601), 'VO_PL(GLASS)'!J$4:J$100), 0)</f>
        <v>0</v>
      </c>
    </row>
    <row r="1602" ht="15.75" customHeight="1">
      <c r="A1602" s="10"/>
      <c r="B1602" s="10"/>
      <c r="C1602" s="18" t="s">
        <v>80</v>
      </c>
      <c r="D1602" s="10"/>
      <c r="F1602" s="6">
        <f t="array" ref="F1602">IFERROR(SUMIF('VO_PL(GLASS)'!$A$4:$A$100, XLOOKUP($C1602, 'マスタ'!$D$2:$D$318, 'マスタ'!$D$2:$D$318, $C1602), 'VO_PL(GLASS)'!J$4:J$100), 0)</f>
        <v>1431202</v>
      </c>
    </row>
    <row r="1603" ht="15.75" customHeight="1">
      <c r="A1603" s="10"/>
      <c r="B1603" s="10"/>
      <c r="C1603" s="18" t="s">
        <v>81</v>
      </c>
      <c r="D1603" s="10"/>
      <c r="F1603" s="6">
        <f t="array" ref="F1603">IFERROR(SUMIF('VO_PL(GLASS)'!$A$4:$A$100, XLOOKUP($C1603, 'マスタ'!$D$2:$D$318, 'マスタ'!$D$2:$D$318, $C1603), 'VO_PL(GLASS)'!J$4:J$100), 0)</f>
        <v>89975</v>
      </c>
    </row>
    <row r="1604" ht="15.75" customHeight="1" collapsed="1">
      <c r="A1604" s="10"/>
      <c r="B1604" s="10"/>
      <c r="C1604" s="18" t="s">
        <v>82</v>
      </c>
      <c r="D1604" s="10"/>
      <c r="F1604" s="6">
        <f t="array" ref="F1604">IFERROR(SUMIF('VO_PL(GLASS)'!$A$4:$A$100, XLOOKUP($C1604, 'マスタ'!$D$2:$D$318, 'マスタ'!$D$2:$D$318, $C1604), 'VO_PL(GLASS)'!J$4:J$100), 0)</f>
        <v>21637</v>
      </c>
    </row>
    <row r="1605" ht="15.75" hidden="1" customHeight="1" outlineLevel="1">
      <c r="A1605" s="10"/>
      <c r="B1605" s="10"/>
      <c r="C1605" s="18" t="s">
        <v>83</v>
      </c>
      <c r="D1605" s="10"/>
      <c r="F1605" s="6">
        <f t="array" ref="F1605">IFERROR(SUMIF('VO_PL(GLASS)'!$A$4:$A$100, XLOOKUP($C1605, 'マスタ'!$D$2:$D$318, 'マスタ'!$D$2:$D$318, $C1605), 'VO_PL(GLASS)'!J$4:J$100), 0)</f>
        <v>0</v>
      </c>
    </row>
    <row r="1606" ht="15.75" hidden="1" customHeight="1" outlineLevel="1">
      <c r="A1606" s="10"/>
      <c r="B1606" s="10"/>
      <c r="C1606" s="18" t="s">
        <v>84</v>
      </c>
      <c r="D1606" s="10"/>
      <c r="F1606" s="6">
        <f t="array" ref="F1606">IFERROR(SUMIF('VO_PL(GLASS)'!$A$4:$A$100, XLOOKUP($C1606, 'マスタ'!$D$2:$D$318, 'マスタ'!$D$2:$D$318, $C1606), 'VO_PL(GLASS)'!J$4:J$100), 0)</f>
        <v>0</v>
      </c>
    </row>
    <row r="1607" ht="15.75" hidden="1" customHeight="1" outlineLevel="1">
      <c r="A1607" s="10"/>
      <c r="B1607" s="10"/>
      <c r="C1607" s="18" t="s">
        <v>85</v>
      </c>
      <c r="D1607" s="10"/>
      <c r="F1607" s="6">
        <f t="array" ref="F1607">IFERROR(SUMIF('VO_PL(GLASS)'!$A$4:$A$100, XLOOKUP($C1607, 'マスタ'!$D$2:$D$318, 'マスタ'!$D$2:$D$318, $C1607), 'VO_PL(GLASS)'!J$4:J$100), 0)</f>
        <v>0</v>
      </c>
    </row>
    <row r="1608" ht="15.75" hidden="1" customHeight="1" outlineLevel="1">
      <c r="A1608" s="10"/>
      <c r="B1608" s="10"/>
      <c r="C1608" s="18" t="s">
        <v>86</v>
      </c>
      <c r="D1608" s="10"/>
      <c r="F1608" s="6">
        <f t="array" ref="F1608">IFERROR(SUMIF('VO_PL(GLASS)'!$A$4:$A$100, XLOOKUP($C1608, 'マスタ'!$D$2:$D$318, 'マスタ'!$D$2:$D$318, $C1608), 'VO_PL(GLASS)'!J$4:J$100), 0)</f>
        <v>0</v>
      </c>
    </row>
    <row r="1609" ht="15.75" hidden="1" customHeight="1" outlineLevel="1">
      <c r="A1609" s="10"/>
      <c r="B1609" s="10"/>
      <c r="C1609" s="18" t="s">
        <v>87</v>
      </c>
      <c r="D1609" s="10"/>
      <c r="F1609" s="6">
        <f t="array" ref="F1609">IFERROR(SUMIF('VO_PL(GLASS)'!$A$4:$A$100, XLOOKUP($C1609, 'マスタ'!$D$2:$D$318, 'マスタ'!$D$2:$D$318, $C1609), 'VO_PL(GLASS)'!J$4:J$100), 0)</f>
        <v>0</v>
      </c>
    </row>
    <row r="1610" ht="15.75" hidden="1" customHeight="1" outlineLevel="1">
      <c r="A1610" s="10"/>
      <c r="B1610" s="10"/>
      <c r="C1610" s="18" t="s">
        <v>88</v>
      </c>
      <c r="D1610" s="10"/>
      <c r="F1610" s="6">
        <f t="array" ref="F1610">IFERROR(SUMIF('VO_PL(GLASS)'!$A$4:$A$100, XLOOKUP($C1610, 'マスタ'!$D$2:$D$318, 'マスタ'!$D$2:$D$318, $C1610), 'VO_PL(GLASS)'!J$4:J$100), 0)</f>
        <v>0</v>
      </c>
    </row>
    <row r="1611" ht="15.75" hidden="1" customHeight="1" outlineLevel="1">
      <c r="A1611" s="10"/>
      <c r="B1611" s="10"/>
      <c r="C1611" s="18" t="s">
        <v>89</v>
      </c>
      <c r="D1611" s="10"/>
      <c r="F1611" s="6">
        <f t="array" ref="F1611">IFERROR(SUMIF('VO_PL(GLASS)'!$A$4:$A$100, XLOOKUP($C1611, 'マスタ'!$D$2:$D$318, 'マスタ'!$D$2:$D$318, $C1611), 'VO_PL(GLASS)'!J$4:J$100), 0)</f>
        <v>0</v>
      </c>
    </row>
    <row r="1612" ht="15.75" hidden="1" customHeight="1" outlineLevel="1">
      <c r="A1612" s="10"/>
      <c r="B1612" s="10"/>
      <c r="C1612" s="18" t="s">
        <v>90</v>
      </c>
      <c r="D1612" s="10"/>
      <c r="F1612" s="6">
        <f t="array" ref="F1612">IFERROR(SUMIF('VO_PL(GLASS)'!$A$4:$A$100, XLOOKUP($C1612, 'マスタ'!$D$2:$D$318, 'マスタ'!$D$2:$D$318, $C1612), 'VO_PL(GLASS)'!J$4:J$100), 0)</f>
        <v>0</v>
      </c>
    </row>
    <row r="1613" ht="15.75" hidden="1" customHeight="1" outlineLevel="1">
      <c r="A1613" s="10"/>
      <c r="B1613" s="10"/>
      <c r="C1613" s="18" t="s">
        <v>91</v>
      </c>
      <c r="D1613" s="10"/>
      <c r="F1613" s="6">
        <f t="array" ref="F1613">IFERROR(SUMIF('VO_PL(GLASS)'!$A$4:$A$100, XLOOKUP($C1613, 'マスタ'!$D$2:$D$318, 'マスタ'!$D$2:$D$318, $C1613), 'VO_PL(GLASS)'!J$4:J$100), 0)</f>
        <v>0</v>
      </c>
    </row>
    <row r="1614" ht="15.75" customHeight="1">
      <c r="A1614" s="10"/>
      <c r="B1614" s="10"/>
      <c r="C1614" s="18" t="s">
        <v>92</v>
      </c>
      <c r="D1614" s="10"/>
      <c r="F1614" s="6">
        <f t="array" ref="F1614">IFERROR(SUMIF('VO_PL(GLASS)'!$A$4:$A$100, XLOOKUP($C1614, 'マスタ'!$D$2:$D$318, 'マスタ'!$D$2:$D$318, $C1614), 'VO_PL(GLASS)'!J$4:J$100), 0)</f>
        <v>1273507</v>
      </c>
    </row>
    <row r="1615" ht="15.75" customHeight="1">
      <c r="A1615" s="10"/>
      <c r="B1615" s="10"/>
      <c r="C1615" s="18" t="s">
        <v>93</v>
      </c>
      <c r="D1615" s="10"/>
      <c r="F1615" s="6">
        <f t="array" ref="F1615">IFERROR(SUMIF('VO_PL(GLASS)'!$A$4:$A$100, XLOOKUP($C1615, 'マスタ'!$D$2:$D$318, 'マスタ'!$D$2:$D$318, $C1615), 'VO_PL(GLASS)'!J$4:J$100), 0)</f>
        <v>0</v>
      </c>
    </row>
    <row r="1616" ht="15.75" customHeight="1">
      <c r="A1616" s="10"/>
      <c r="B1616" s="10"/>
      <c r="C1616" s="18" t="s">
        <v>94</v>
      </c>
      <c r="D1616" s="10"/>
      <c r="F1616" s="6">
        <f t="array" ref="F1616">IFERROR(SUMIF('VO_PL(GLASS)'!$A$4:$A$100, XLOOKUP($C1616, 'マスタ'!$D$2:$D$318, 'マスタ'!$D$2:$D$318, $C1616), 'VO_PL(GLASS)'!J$4:J$100), 0)</f>
        <v>0</v>
      </c>
    </row>
    <row r="1617" ht="15.75" customHeight="1">
      <c r="A1617" s="10"/>
      <c r="B1617" s="10"/>
      <c r="C1617" s="18" t="s">
        <v>95</v>
      </c>
      <c r="D1617" s="10"/>
      <c r="F1617" s="6">
        <f t="array" ref="F1617">IFERROR(SUMIF('VO_PL(GLASS)'!$A$4:$A$100, XLOOKUP($C1617, 'マスタ'!$D$2:$D$318, 'マスタ'!$D$2:$D$318, $C1617), 'VO_PL(GLASS)'!J$4:J$100), 0)</f>
        <v>66480</v>
      </c>
    </row>
    <row r="1618" ht="15.75" customHeight="1">
      <c r="A1618" s="10"/>
      <c r="B1618" s="10"/>
      <c r="C1618" s="18" t="s">
        <v>96</v>
      </c>
      <c r="D1618" s="10"/>
      <c r="F1618" s="6">
        <f t="array" ref="F1618">IFERROR(SUMIF('VO_PL(GLASS)'!$A$4:$A$100, XLOOKUP($C1618, 'マスタ'!$D$2:$D$318, 'マスタ'!$D$2:$D$318, $C1618), 'VO_PL(GLASS)'!J$4:J$100), 0)</f>
        <v>0</v>
      </c>
    </row>
    <row r="1619" ht="15.75" customHeight="1">
      <c r="A1619" s="10"/>
      <c r="B1619" s="10"/>
      <c r="C1619" s="18" t="s">
        <v>97</v>
      </c>
      <c r="D1619" s="10"/>
      <c r="F1619" s="6">
        <f t="array" ref="F1619">IFERROR(SUMIF('VO_PL(GLASS)'!$A$4:$A$100, XLOOKUP($C1619, 'マスタ'!$D$2:$D$318, 'マスタ'!$D$2:$D$318, $C1619), 'VO_PL(GLASS)'!J$4:J$100), 0)</f>
        <v>0</v>
      </c>
    </row>
    <row r="1620" ht="15.75" customHeight="1">
      <c r="A1620" s="10"/>
      <c r="B1620" s="10"/>
      <c r="C1620" s="18" t="s">
        <v>98</v>
      </c>
      <c r="D1620" s="10"/>
      <c r="F1620" s="6">
        <f t="array" ref="F1620">IFERROR(SUMIF('VO_PL(GLASS)'!$A$4:$A$100, XLOOKUP($C1620, 'マスタ'!$D$2:$D$318, 'マスタ'!$D$2:$D$318, $C1620), 'VO_PL(GLASS)'!J$4:J$100), 0)</f>
        <v>0</v>
      </c>
    </row>
    <row r="1621" ht="15.75" customHeight="1">
      <c r="A1621" s="10"/>
      <c r="B1621" s="10"/>
      <c r="C1621" s="18" t="s">
        <v>99</v>
      </c>
      <c r="D1621" s="10"/>
      <c r="F1621" s="6">
        <f t="array" ref="F1621">IFERROR(SUMIF('VO_PL(GLASS)'!$A$4:$A$100, XLOOKUP($C1621, 'マスタ'!$D$2:$D$318, 'マスタ'!$D$2:$D$318, $C1621), 'VO_PL(GLASS)'!J$4:J$100), 0)</f>
        <v>0</v>
      </c>
    </row>
    <row r="1622" ht="15.75" customHeight="1">
      <c r="A1622" s="10"/>
      <c r="B1622" s="10"/>
      <c r="C1622" s="18" t="s">
        <v>100</v>
      </c>
      <c r="D1622" s="10"/>
      <c r="F1622" s="6">
        <f t="array" ref="F1622">IFERROR(SUMIF('VO_PL(GLASS)'!$A$4:$A$100, XLOOKUP($C1622, 'マスタ'!$D$2:$D$318, 'マスタ'!$D$2:$D$318, $C1622), 'VO_PL(GLASS)'!J$4:J$100), 0)</f>
        <v>0</v>
      </c>
    </row>
    <row r="1623" ht="15.75" customHeight="1">
      <c r="A1623" s="10"/>
      <c r="B1623" s="10"/>
      <c r="C1623" s="18" t="s">
        <v>101</v>
      </c>
      <c r="D1623" s="10"/>
      <c r="F1623" s="6">
        <f t="array" ref="F1623">IFERROR(SUMIF('VO_PL(GLASS)'!$A$4:$A$100, XLOOKUP($C1623, 'マスタ'!$D$2:$D$318, 'マスタ'!$D$2:$D$318, $C1623), 'VO_PL(GLASS)'!J$4:J$100), 0)</f>
        <v>630080</v>
      </c>
    </row>
    <row r="1624" ht="15.75" customHeight="1">
      <c r="A1624" s="18"/>
      <c r="B1624" s="18" t="s">
        <v>102</v>
      </c>
      <c r="C1624" s="10"/>
      <c r="D1624" s="10"/>
      <c r="F1624" s="6">
        <f>SUM(F1594:F1623)</f>
        <v>3512881</v>
      </c>
    </row>
    <row r="1625" ht="15.75" customHeight="1">
      <c r="A1625" s="18"/>
      <c r="B1625" s="18" t="s">
        <v>31</v>
      </c>
      <c r="C1625" s="10"/>
      <c r="D1625" s="10"/>
      <c r="F1625" s="6">
        <f>F1592-F1624</f>
        <v>12070313</v>
      </c>
    </row>
    <row r="1626" ht="15.75" customHeight="1">
      <c r="A1626" s="18"/>
      <c r="B1626" s="18" t="s">
        <v>32</v>
      </c>
      <c r="C1626" s="18"/>
      <c r="D1626" s="10"/>
      <c r="F1626" s="6">
        <f>SUM(F1627:F1632)</f>
        <v>6701</v>
      </c>
    </row>
    <row r="1627" ht="15.75" customHeight="1" collapsed="1">
      <c r="A1627" s="10"/>
      <c r="B1627" s="10"/>
      <c r="C1627" s="18" t="s">
        <v>103</v>
      </c>
      <c r="D1627" s="10"/>
      <c r="F1627" s="6">
        <f t="array" ref="F1627">SUMIF('VO_PL(GLASS)'!$A$4:$A$100, XLOOKUP($C1627, 'マスタ'!$D$2:$D$318, 'マスタ'!$D$2:$D$318, $C1627), 'VO_PL(GLASS)'!J$4:J$100)</f>
        <v>6701</v>
      </c>
    </row>
    <row r="1628" ht="15.75" hidden="1" customHeight="1" outlineLevel="1">
      <c r="A1628" s="10"/>
      <c r="B1628" s="10"/>
      <c r="C1628" s="10" t="s">
        <v>104</v>
      </c>
      <c r="D1628" s="10"/>
      <c r="F1628" s="6">
        <f t="array" ref="F1628">SUMIF('VO_PL(GLASS)'!$A$4:$A$100, XLOOKUP($C1628, 'マスタ'!$D$2:$D$318, 'マスタ'!$D$2:$D$318, $C1628), 'VO_PL(GLASS)'!J$4:J$100)</f>
        <v>0</v>
      </c>
    </row>
    <row r="1629" ht="15.75" hidden="1" customHeight="1" outlineLevel="1">
      <c r="A1629" s="10"/>
      <c r="B1629" s="10"/>
      <c r="C1629" s="18" t="s">
        <v>105</v>
      </c>
      <c r="D1629" s="10"/>
      <c r="F1629" s="6">
        <f t="array" ref="F1629">SUMIF('VO_PL(GLASS)'!$A$4:$A$100, XLOOKUP($C1629, 'マスタ'!$D$2:$D$318, 'マスタ'!$D$2:$D$318, $C1629), 'VO_PL(GLASS)'!J$4:J$100)</f>
        <v>0</v>
      </c>
    </row>
    <row r="1630" ht="15.75" hidden="1" customHeight="1" outlineLevel="1">
      <c r="A1630" s="10"/>
      <c r="B1630" s="10"/>
      <c r="C1630" s="10" t="s">
        <v>106</v>
      </c>
      <c r="D1630" s="10"/>
      <c r="F1630" s="6">
        <f t="array" ref="F1630">SUMIF('VO_PL(GLASS)'!$A$4:$A$100, XLOOKUP($C1630, 'マスタ'!$D$2:$D$318, 'マスタ'!$D$2:$D$318, $C1630), 'VO_PL(GLASS)'!J$4:J$100)</f>
        <v>0</v>
      </c>
    </row>
    <row r="1631" ht="15.75" hidden="1" customHeight="1" outlineLevel="1">
      <c r="A1631" s="10"/>
      <c r="B1631" s="10"/>
      <c r="C1631" s="18" t="s">
        <v>107</v>
      </c>
      <c r="D1631" s="10"/>
      <c r="F1631" s="6">
        <f t="array" ref="F1631">SUMIF('VO_PL(GLASS)'!$A$4:$A$100, XLOOKUP($C1631, 'マスタ'!$D$2:$D$318, 'マスタ'!$D$2:$D$318, $C1631), 'VO_PL(GLASS)'!J$4:J$100)</f>
        <v>0</v>
      </c>
    </row>
    <row r="1632" ht="15.75" hidden="1" customHeight="1" outlineLevel="1">
      <c r="A1632" s="10"/>
      <c r="B1632" s="10"/>
      <c r="C1632" s="18" t="s">
        <v>108</v>
      </c>
      <c r="D1632" s="10"/>
      <c r="E1632" s="44"/>
      <c r="F1632" s="6">
        <f t="array" ref="F1632">SUMIF('VO_PL(GLASS)'!$A$4:$A$100, XLOOKUP($C1632, 'マスタ'!$D$2:$D$318, 'マスタ'!$D$2:$D$318, $C1632), 'VO_PL(GLASS)'!J$4:J$100)</f>
        <v>0</v>
      </c>
    </row>
    <row r="1633" ht="15.75" customHeight="1" collapsed="1">
      <c r="A1633" s="18"/>
      <c r="B1633" s="18" t="s">
        <v>34</v>
      </c>
      <c r="C1633" s="18"/>
      <c r="D1633" s="10"/>
      <c r="F1633" s="6">
        <f>SUM(F1634:F1636)</f>
        <v>0</v>
      </c>
    </row>
    <row r="1634" ht="15.75" hidden="1" customHeight="1" outlineLevel="1">
      <c r="A1634" s="10"/>
      <c r="B1634" s="10"/>
      <c r="C1634" s="18" t="s">
        <v>109</v>
      </c>
      <c r="D1634" s="10"/>
      <c r="F1634" s="6">
        <f t="array" ref="F1634">SUMIF('VO_PL(GLASS)'!$A$4:$A$100, XLOOKUP($C1634, 'マスタ'!$D$2:$D$318, 'マスタ'!$D$2:$D$318, $C1634), 'VO_PL(GLASS)'!J$4:J$100)</f>
        <v>0</v>
      </c>
    </row>
    <row r="1635" ht="15.75" hidden="1" customHeight="1" outlineLevel="1">
      <c r="A1635" s="10"/>
      <c r="B1635" s="10"/>
      <c r="C1635" s="18" t="s">
        <v>110</v>
      </c>
      <c r="D1635" s="10"/>
      <c r="F1635" s="6">
        <f t="array" ref="F1635">SUMIF('VO_PL(GLASS)'!$A$4:$A$100, XLOOKUP($C1635, 'マスタ'!$D$2:$D$318, 'マスタ'!$D$2:$D$318, $C1635), 'VO_PL(GLASS)'!J$4:J$100)</f>
        <v>0</v>
      </c>
    </row>
    <row r="1636" ht="15.75" hidden="1" customHeight="1" outlineLevel="1">
      <c r="A1636" s="10"/>
      <c r="B1636" s="10"/>
      <c r="C1636" s="18" t="s">
        <v>111</v>
      </c>
      <c r="D1636" s="10"/>
      <c r="F1636" s="6">
        <f t="array" ref="F1636">SUMIF('VO_PL(GLASS)'!$A$4:$A$100, XLOOKUP($C1636, 'マスタ'!$D$2:$D$318, 'マスタ'!$D$2:$D$318, $C1636), 'VO_PL(GLASS)'!J$4:J$100)</f>
        <v>0</v>
      </c>
    </row>
    <row r="1637" ht="15.75" customHeight="1">
      <c r="A1637" s="18"/>
      <c r="B1637" s="18" t="s">
        <v>112</v>
      </c>
      <c r="C1637" s="10"/>
      <c r="D1637" s="10"/>
      <c r="F1637" s="6">
        <f>F1625+F1626-F1633</f>
        <v>12077014</v>
      </c>
    </row>
    <row r="1638" ht="15.75" customHeight="1">
      <c r="A1638" s="18"/>
      <c r="B1638" s="18" t="s">
        <v>37</v>
      </c>
      <c r="D1638" s="10"/>
      <c r="F1638" s="6">
        <f t="array" ref="F1638">SUMIF('VO_PL(ORIGIN)'!$A$4:$A$100, XLOOKUP($C1638, 'マスタ'!$D$2:$D$318, 'マスタ'!$D$2:$D$318, $C1638), 'VO_PL(ORIGIN)'!J$4:J$100)</f>
        <v>0</v>
      </c>
    </row>
    <row r="1639" ht="15.75" customHeight="1">
      <c r="A1639" s="10"/>
      <c r="B1639" s="10"/>
      <c r="C1639" s="10" t="s">
        <v>113</v>
      </c>
      <c r="F1639" s="6">
        <f t="array" ref="F1639">SUMIF('VO_PL(GLASS)'!$A$4:$A$100, XLOOKUP($C1639, 'マスタ'!$D$2:$D$318, 'マスタ'!$D$2:$D$318, $C1639), 'VO_PL(GLASS)'!J$4:J$100)</f>
        <v>0</v>
      </c>
    </row>
    <row r="1640" ht="15.75" customHeight="1">
      <c r="A1640" s="10"/>
      <c r="B1640" s="10"/>
      <c r="C1640" s="18"/>
      <c r="D1640" s="18"/>
      <c r="F1640" s="6">
        <f t="array" ref="F1640">SUMIF('VO_PL(ORIGIN)'!$A$4:$A$100, XLOOKUP($C1640, 'マスタ'!$D$2:$D$318, 'マスタ'!$D$2:$D$318, $C1640), 'VO_PL(ORIGIN)'!J$4:J$100)</f>
        <v>0</v>
      </c>
    </row>
    <row r="1641" ht="15.75" customHeight="1" collapsed="1">
      <c r="A1641" s="18"/>
      <c r="B1641" s="18" t="s">
        <v>39</v>
      </c>
      <c r="D1641" s="18"/>
      <c r="F1641" s="6">
        <f t="array" ref="F1641">SUMIF('VO_PL(ORIGIN)'!$A$4:$A$100, XLOOKUP($C1641, 'マスタ'!$D$2:$D$318, 'マスタ'!$D$2:$D$318, $C1641), 'VO_PL(ORIGIN)'!J$4:J$100)</f>
        <v>0</v>
      </c>
    </row>
    <row r="1642" ht="15.75" hidden="1" customHeight="1" outlineLevel="1">
      <c r="A1642" s="18"/>
      <c r="B1642" s="18"/>
      <c r="C1642" s="18" t="s">
        <v>114</v>
      </c>
      <c r="F1642" s="6">
        <f t="array" ref="F1642">SUMIF('VO_PL(GLASS)'!$A$4:$A$100, XLOOKUP($C1642, 'マスタ'!$D$2:$D$318, 'マスタ'!$D$2:$D$318, $C1642), 'VO_PL(GLASS)'!J$4:J$100)</f>
        <v>0</v>
      </c>
    </row>
    <row r="1643" ht="15.75" hidden="1" customHeight="1" outlineLevel="1">
      <c r="A1643" s="18"/>
      <c r="B1643" s="18"/>
      <c r="C1643" s="10" t="s">
        <v>115</v>
      </c>
      <c r="F1643" s="6">
        <f t="array" ref="F1643">SUMIF('VO_PL(GLASS)'!$A$4:$A$100, XLOOKUP($C1643, 'マスタ'!$D$2:$D$318, 'マスタ'!$D$2:$D$318, $C1643), 'VO_PL(GLASS)'!J$4:J$100)</f>
        <v>0</v>
      </c>
    </row>
    <row r="1644" ht="15.75" hidden="1" customHeight="1" outlineLevel="1">
      <c r="A1644" s="18"/>
      <c r="B1644" s="18"/>
      <c r="C1644" s="10" t="s">
        <v>116</v>
      </c>
      <c r="F1644" s="6">
        <f t="array" ref="F1644">SUMIF('VO_PL(GLASS)'!$A$4:$A$100, XLOOKUP($C1644, 'マスタ'!$D$2:$D$318, 'マスタ'!$D$2:$D$318, $C1644), 'VO_PL(GLASS)'!J$4:J$100)</f>
        <v>0</v>
      </c>
    </row>
    <row r="1645" ht="15.75" customHeight="1">
      <c r="A1645" s="18"/>
      <c r="B1645" s="18" t="s">
        <v>117</v>
      </c>
      <c r="C1645" s="10"/>
      <c r="F1645" s="6">
        <f>F1637+F1638-F1641</f>
        <v>12077014</v>
      </c>
    </row>
    <row r="1646" ht="15.75" customHeight="1">
      <c r="A1646" s="10"/>
      <c r="B1646" s="10"/>
      <c r="C1646" s="18" t="s">
        <v>43</v>
      </c>
      <c r="D1646" s="10"/>
      <c r="F1646" s="6">
        <f t="array" ref="F1646">SUMIF('VO_PL(GLASS)'!$A$4:$A$100, XLOOKUP($C1646, 'マスタ'!$D$2:$D$318, 'マスタ'!$D$2:$D$318, $C1646), 'VO_PL(GLASS)'!J$4:J$100)</f>
        <v>0</v>
      </c>
    </row>
    <row r="1647" ht="15.75" customHeight="1">
      <c r="A1647" s="10"/>
      <c r="B1647" s="10"/>
      <c r="C1647" s="18" t="s">
        <v>118</v>
      </c>
      <c r="D1647" s="10"/>
      <c r="F1647" s="6">
        <f t="array" ref="F1647">SUMIF('VO_PL(GLASS)'!$A$4:$A$100, XLOOKUP($C1647, 'マスタ'!$D$2:$D$318, 'マスタ'!$D$2:$D$318, $C1647), 'VO_PL(GLASS)'!J$4:J$100)</f>
        <v>0</v>
      </c>
    </row>
    <row r="1648" ht="15.75" customHeight="1">
      <c r="A1648" s="18"/>
      <c r="B1648" s="18" t="s">
        <v>119</v>
      </c>
      <c r="C1648" s="10"/>
      <c r="D1648" s="10"/>
      <c r="F1648" s="6">
        <f>F1645-(F1646-F1647)</f>
        <v>12077014</v>
      </c>
    </row>
    <row r="1649" ht="15.75" customHeight="1">
      <c r="A1649" s="25"/>
      <c r="B1649" s="25"/>
      <c r="C1649" s="26"/>
      <c r="D1649" s="26"/>
      <c r="E1649" s="45"/>
      <c r="F1649" s="46"/>
      <c r="G1649" s="44"/>
    </row>
    <row r="1650" ht="15.75" customHeight="1">
      <c r="A1650" s="4"/>
      <c r="B1650" s="4" t="s">
        <v>50</v>
      </c>
      <c r="C1650" s="4" t="s">
        <v>175</v>
      </c>
      <c r="D1650" s="4" t="s">
        <v>27</v>
      </c>
      <c r="F1650" s="10"/>
    </row>
    <row r="1651" ht="15.75" customHeight="1">
      <c r="A1651" s="18"/>
      <c r="B1651" s="18" t="s">
        <v>1</v>
      </c>
      <c r="D1651" s="10"/>
      <c r="F1651" s="41"/>
    </row>
    <row r="1652" ht="15.75" customHeight="1">
      <c r="C1652" s="18" t="s">
        <v>1</v>
      </c>
      <c r="D1652" s="10"/>
      <c r="F1652" s="42">
        <f t="array" ref="F1652">SUMIF('VO_PL(ABYSS)'!$A$4:$A$100, XLOOKUP($C1652, 'マスタ'!$D$2:$D$318, 'マスタ'!$D$2:$D$318, $C1652), 'VO_PL(ABYSS)'!J$4:J$100)</f>
        <v>2937106</v>
      </c>
    </row>
    <row r="1653" ht="15.75" customHeight="1">
      <c r="A1653" s="18"/>
      <c r="B1653" s="18" t="s">
        <v>67</v>
      </c>
      <c r="C1653" s="10"/>
      <c r="D1653" s="10"/>
      <c r="F1653" s="42">
        <f>F1652</f>
        <v>2937106</v>
      </c>
    </row>
    <row r="1654" ht="15.75" customHeight="1">
      <c r="A1654" s="18"/>
      <c r="B1654" s="18" t="s">
        <v>28</v>
      </c>
      <c r="C1654" s="10"/>
      <c r="D1654" s="10"/>
      <c r="F1654" s="42"/>
    </row>
    <row r="1655" ht="15.75" customHeight="1">
      <c r="A1655" s="10"/>
      <c r="B1655" s="10"/>
      <c r="C1655" s="18" t="s">
        <v>68</v>
      </c>
      <c r="D1655" s="10"/>
      <c r="F1655" s="42">
        <f t="array" ref="F1655">SUMIF('VO_PL(ABYSS)'!$A$4:$A$100, XLOOKUP($C1655, 'マスタ'!$D$2:$D$318, 'マスタ'!$D$2:$D$318, $C1655), 'VO_PL(ABYSS)'!J$4:J$100)</f>
        <v>0</v>
      </c>
    </row>
    <row r="1656" ht="15.75" customHeight="1">
      <c r="A1656" s="10"/>
      <c r="B1656" s="10"/>
      <c r="C1656" s="18" t="s">
        <v>69</v>
      </c>
      <c r="D1656" s="10"/>
      <c r="F1656" s="42">
        <f t="array" ref="F1656">SUMIF('VO_PL(ABYSS)'!$A$4:$A$100, XLOOKUP($C1656, 'マスタ'!$D$2:$D$318, 'マスタ'!$D$2:$D$318, $C1656), 'VO_PL(ABYSS)'!J$4:J$100)</f>
        <v>6774413</v>
      </c>
    </row>
    <row r="1657" ht="15.75" customHeight="1">
      <c r="A1657" s="10"/>
      <c r="B1657" s="10"/>
      <c r="C1657" s="27" t="s">
        <v>70</v>
      </c>
      <c r="D1657" s="10"/>
      <c r="F1657" s="42">
        <f t="array" ref="F1657">SUMIF('VO_PL(ABYSS)'!$A$4:$A$100, XLOOKUP($C1657, 'マスタ'!$D$2:$D$318, 'マスタ'!$D$2:$D$318, $C1657), 'VO_PL(ABYSS)'!J$4:J$100)</f>
        <v>0</v>
      </c>
    </row>
    <row r="1658" ht="15.75" customHeight="1">
      <c r="A1658" s="10"/>
      <c r="B1658" s="10"/>
      <c r="C1658" s="18" t="s">
        <v>71</v>
      </c>
      <c r="D1658" s="10"/>
      <c r="F1658" s="42">
        <f t="array" ref="F1658">SUMIF('VO_PL(ABYSS)'!$A$4:$A$100, XLOOKUP($C1658, 'マスタ'!$D$2:$D$318, 'マスタ'!$D$2:$D$318, $C1658), 'VO_PL(ABYSS)'!J$4:J$100)</f>
        <v>-270524</v>
      </c>
    </row>
    <row r="1659" ht="15.75" customHeight="1">
      <c r="A1659" s="18"/>
      <c r="B1659" s="18" t="s">
        <v>28</v>
      </c>
      <c r="C1659" s="10"/>
      <c r="D1659" s="10"/>
      <c r="F1659" s="43">
        <f>F1656-F1658</f>
        <v>7044937</v>
      </c>
    </row>
    <row r="1660" ht="15.75" customHeight="1">
      <c r="A1660" s="18"/>
      <c r="B1660" s="18" t="s">
        <v>5</v>
      </c>
      <c r="C1660" s="10"/>
      <c r="D1660" s="10"/>
      <c r="F1660" s="43">
        <f>F1653-F1659</f>
        <v>-4107831</v>
      </c>
    </row>
    <row r="1661" ht="15.75" customHeight="1" collapsed="1">
      <c r="A1661" s="18"/>
      <c r="B1661" s="18" t="s">
        <v>29</v>
      </c>
      <c r="C1661" s="10"/>
      <c r="D1661" s="10"/>
      <c r="F1661" s="20"/>
    </row>
    <row r="1662" ht="15.75" hidden="1" customHeight="1" outlineLevel="1">
      <c r="A1662" s="10"/>
      <c r="B1662" s="10"/>
      <c r="C1662" s="18" t="s">
        <v>72</v>
      </c>
      <c r="D1662" s="10"/>
      <c r="F1662" s="6">
        <f t="array" ref="F1662">IFERROR(SUMIF('VO_PL(ABYSS)'!$A$4:$A$100, XLOOKUP($C1662, 'マスタ'!$D$2:$D$318, 'マスタ'!$D$2:$D$318, $C1662), 'VO_PL(ABYSS)'!J$4:J$100), 0)</f>
        <v>0</v>
      </c>
    </row>
    <row r="1663" ht="15.75" hidden="1" customHeight="1" outlineLevel="1">
      <c r="A1663" s="10"/>
      <c r="B1663" s="10"/>
      <c r="C1663" s="18" t="s">
        <v>73</v>
      </c>
      <c r="D1663" s="10"/>
      <c r="F1663" s="6">
        <f t="array" ref="F1663">IFERROR(SUMIF('VO_PL(ABYSS)'!$A$4:$A$100, XLOOKUP($C1663, 'マスタ'!$D$2:$D$318, 'マスタ'!$D$2:$D$318, $C1663), 'VO_PL(ABYSS)'!J$4:J$100), 0)</f>
        <v>0</v>
      </c>
    </row>
    <row r="1664" ht="15.75" hidden="1" customHeight="1" outlineLevel="1">
      <c r="A1664" s="10"/>
      <c r="B1664" s="10"/>
      <c r="C1664" s="18" t="s">
        <v>74</v>
      </c>
      <c r="D1664" s="10"/>
      <c r="F1664" s="6">
        <f t="array" ref="F1664">IFERROR(SUMIF('VO_PL(ABYSS)'!$A$4:$A$100, XLOOKUP($C1664, 'マスタ'!$D$2:$D$318, 'マスタ'!$D$2:$D$318, $C1664), 'VO_PL(ABYSS)'!J$4:J$100), 0)</f>
        <v>0</v>
      </c>
    </row>
    <row r="1665" ht="15.75" hidden="1" customHeight="1" outlineLevel="1">
      <c r="A1665" s="10"/>
      <c r="B1665" s="10"/>
      <c r="C1665" s="18" t="s">
        <v>75</v>
      </c>
      <c r="D1665" s="10"/>
      <c r="F1665" s="6">
        <f t="array" ref="F1665">IFERROR(SUMIF('VO_PL(ABYSS)'!$A$4:$A$100, XLOOKUP($C1665, 'マスタ'!$D$2:$D$318, 'マスタ'!$D$2:$D$318, $C1665), 'VO_PL(ABYSS)'!J$4:J$100), 0)</f>
        <v>0</v>
      </c>
    </row>
    <row r="1666" ht="15.75" hidden="1" customHeight="1" outlineLevel="1">
      <c r="A1666" s="10"/>
      <c r="B1666" s="10"/>
      <c r="C1666" s="18" t="s">
        <v>76</v>
      </c>
      <c r="D1666" s="10"/>
      <c r="F1666" s="6">
        <f t="array" ref="F1666">IFERROR(SUMIF('VO_PL(ABYSS)'!$A$4:$A$100, XLOOKUP($C1666, 'マスタ'!$D$2:$D$318, 'マスタ'!$D$2:$D$318, $C1666), 'VO_PL(ABYSS)'!J$4:J$100), 0)</f>
        <v>0</v>
      </c>
    </row>
    <row r="1667" ht="15.75" hidden="1" customHeight="1" outlineLevel="1">
      <c r="A1667" s="10"/>
      <c r="B1667" s="10"/>
      <c r="C1667" s="18" t="s">
        <v>77</v>
      </c>
      <c r="D1667" s="10"/>
      <c r="F1667" s="6">
        <f t="array" ref="F1667">IFERROR(SUMIF('VO_PL(ABYSS)'!$A$4:$A$100, XLOOKUP($C1667, 'マスタ'!$D$2:$D$318, 'マスタ'!$D$2:$D$318, $C1667), 'VO_PL(ABYSS)'!J$4:J$100), 0)</f>
        <v>0</v>
      </c>
    </row>
    <row r="1668" ht="15.75" hidden="1" customHeight="1" outlineLevel="1">
      <c r="A1668" s="10"/>
      <c r="B1668" s="10"/>
      <c r="C1668" s="18" t="s">
        <v>78</v>
      </c>
      <c r="D1668" s="10"/>
      <c r="F1668" s="6">
        <f t="array" ref="F1668">IFERROR(SUMIF('VO_PL(ABYSS)'!$A$4:$A$100, XLOOKUP($C1668, 'マスタ'!$D$2:$D$318, 'マスタ'!$D$2:$D$318, $C1668), 'VO_PL(ABYSS)'!J$4:J$100), 0)</f>
        <v>0</v>
      </c>
    </row>
    <row r="1669" ht="15.75" hidden="1" customHeight="1" outlineLevel="1">
      <c r="A1669" s="10"/>
      <c r="B1669" s="10"/>
      <c r="C1669" s="18" t="s">
        <v>79</v>
      </c>
      <c r="D1669" s="10"/>
      <c r="F1669" s="6">
        <f t="array" ref="F1669">IFERROR(SUMIF('VO_PL(ABYSS)'!$A$4:$A$100, XLOOKUP($C1669, 'マスタ'!$D$2:$D$318, 'マスタ'!$D$2:$D$318, $C1669), 'VO_PL(ABYSS)'!J$4:J$100), 0)</f>
        <v>0</v>
      </c>
    </row>
    <row r="1670" ht="15.75" customHeight="1">
      <c r="A1670" s="10"/>
      <c r="B1670" s="10"/>
      <c r="C1670" s="18" t="s">
        <v>80</v>
      </c>
      <c r="D1670" s="10"/>
      <c r="F1670" s="6">
        <f t="array" ref="F1670">IFERROR(SUMIF('VO_PL(ABYSS)'!$A$4:$A$100, XLOOKUP($C1670, 'マスタ'!$D$2:$D$318, 'マスタ'!$D$2:$D$318, $C1670), 'VO_PL(ABYSS)'!J$4:J$100), 0)</f>
        <v>286140</v>
      </c>
    </row>
    <row r="1671" ht="15.75" customHeight="1">
      <c r="A1671" s="10"/>
      <c r="B1671" s="10"/>
      <c r="C1671" s="18" t="s">
        <v>81</v>
      </c>
      <c r="D1671" s="10"/>
      <c r="F1671" s="6">
        <f t="array" ref="F1671">IFERROR(SUMIF('VO_PL(ABYSS)'!$A$4:$A$100, XLOOKUP($C1671, 'マスタ'!$D$2:$D$318, 'マスタ'!$D$2:$D$318, $C1671), 'VO_PL(ABYSS)'!J$4:J$100), 0)</f>
        <v>17469</v>
      </c>
    </row>
    <row r="1672" ht="15.75" customHeight="1">
      <c r="A1672" s="10"/>
      <c r="B1672" s="10"/>
      <c r="C1672" s="18" t="s">
        <v>82</v>
      </c>
      <c r="D1672" s="10"/>
      <c r="F1672" s="6">
        <f t="array" ref="F1672">IFERROR(SUMIF('VO_PL(ABYSS)'!$A$4:$A$100, XLOOKUP($C1672, 'マスタ'!$D$2:$D$318, 'マスタ'!$D$2:$D$318, $C1672), 'VO_PL(ABYSS)'!J$4:J$100), 0)</f>
        <v>27819</v>
      </c>
    </row>
    <row r="1673" ht="15.75" customHeight="1">
      <c r="A1673" s="10"/>
      <c r="B1673" s="10"/>
      <c r="C1673" s="18" t="s">
        <v>83</v>
      </c>
      <c r="D1673" s="10"/>
      <c r="F1673" s="6">
        <f t="array" ref="F1673">IFERROR(SUMIF('VO_PL(ABYSS)'!$A$4:$A$100, XLOOKUP($C1673, 'マスタ'!$D$2:$D$318, 'マスタ'!$D$2:$D$318, $C1673), 'VO_PL(ABYSS)'!J$4:J$100), 0)</f>
        <v>0</v>
      </c>
    </row>
    <row r="1674" ht="15.75" customHeight="1" collapsed="1">
      <c r="A1674" s="10"/>
      <c r="B1674" s="10"/>
      <c r="C1674" s="18" t="s">
        <v>84</v>
      </c>
      <c r="D1674" s="10"/>
      <c r="F1674" s="6">
        <f t="array" ref="F1674">IFERROR(SUMIF('VO_PL(ABYSS)'!$A$4:$A$100, XLOOKUP($C1674, 'マスタ'!$D$2:$D$318, 'マスタ'!$D$2:$D$318, $C1674), 'VO_PL(ABYSS)'!J$4:J$100), 0)</f>
        <v>2346</v>
      </c>
    </row>
    <row r="1675" ht="15.75" hidden="1" customHeight="1" outlineLevel="1">
      <c r="A1675" s="10"/>
      <c r="B1675" s="10"/>
      <c r="C1675" s="18" t="s">
        <v>85</v>
      </c>
      <c r="D1675" s="10"/>
      <c r="F1675" s="6">
        <f t="array" ref="F1675">IFERROR(SUMIF('VO_PL(ABYSS)'!$A$4:$A$100, XLOOKUP($C1675, 'マスタ'!$D$2:$D$318, 'マスタ'!$D$2:$D$318, $C1675), 'VO_PL(ABYSS)'!J$4:J$100), 0)</f>
        <v>0</v>
      </c>
    </row>
    <row r="1676" ht="15.75" hidden="1" customHeight="1" outlineLevel="1">
      <c r="A1676" s="10"/>
      <c r="B1676" s="10"/>
      <c r="C1676" s="18" t="s">
        <v>86</v>
      </c>
      <c r="D1676" s="10"/>
      <c r="F1676" s="6">
        <f t="array" ref="F1676">IFERROR(SUMIF('VO_PL(ABYSS)'!$A$4:$A$100, XLOOKUP($C1676, 'マスタ'!$D$2:$D$318, 'マスタ'!$D$2:$D$318, $C1676), 'VO_PL(ABYSS)'!J$4:J$100), 0)</f>
        <v>0</v>
      </c>
    </row>
    <row r="1677" ht="15.75" hidden="1" customHeight="1" outlineLevel="1">
      <c r="A1677" s="10"/>
      <c r="B1677" s="10"/>
      <c r="C1677" s="18" t="s">
        <v>87</v>
      </c>
      <c r="D1677" s="10"/>
      <c r="F1677" s="6">
        <f t="array" ref="F1677">IFERROR(SUMIF('VO_PL(ABYSS)'!$A$4:$A$100, XLOOKUP($C1677, 'マスタ'!$D$2:$D$318, 'マスタ'!$D$2:$D$318, $C1677), 'VO_PL(ABYSS)'!J$4:J$100), 0)</f>
        <v>0</v>
      </c>
    </row>
    <row r="1678" ht="15.75" hidden="1" customHeight="1" outlineLevel="1">
      <c r="A1678" s="10"/>
      <c r="B1678" s="10"/>
      <c r="C1678" s="18" t="s">
        <v>88</v>
      </c>
      <c r="D1678" s="10"/>
      <c r="F1678" s="6">
        <f t="array" ref="F1678">IFERROR(SUMIF('VO_PL(ABYSS)'!$A$4:$A$100, XLOOKUP($C1678, 'マスタ'!$D$2:$D$318, 'マスタ'!$D$2:$D$318, $C1678), 'VO_PL(ABYSS)'!J$4:J$100), 0)</f>
        <v>0</v>
      </c>
    </row>
    <row r="1679" ht="15.75" hidden="1" customHeight="1" outlineLevel="1">
      <c r="A1679" s="10"/>
      <c r="B1679" s="10"/>
      <c r="C1679" s="18" t="s">
        <v>89</v>
      </c>
      <c r="D1679" s="10"/>
      <c r="F1679" s="6">
        <f t="array" ref="F1679">IFERROR(SUMIF('VO_PL(ABYSS)'!$A$4:$A$100, XLOOKUP($C1679, 'マスタ'!$D$2:$D$318, 'マスタ'!$D$2:$D$318, $C1679), 'VO_PL(ABYSS)'!J$4:J$100), 0)</f>
        <v>0</v>
      </c>
    </row>
    <row r="1680" ht="15.75" hidden="1" customHeight="1" outlineLevel="1">
      <c r="A1680" s="10"/>
      <c r="B1680" s="10"/>
      <c r="C1680" s="18" t="s">
        <v>90</v>
      </c>
      <c r="D1680" s="10"/>
      <c r="F1680" s="6">
        <f t="array" ref="F1680">IFERROR(SUMIF('VO_PL(ABYSS)'!$A$4:$A$100, XLOOKUP($C1680, 'マスタ'!$D$2:$D$318, 'マスタ'!$D$2:$D$318, $C1680), 'VO_PL(ABYSS)'!J$4:J$100), 0)</f>
        <v>0</v>
      </c>
    </row>
    <row r="1681" ht="15.75" hidden="1" customHeight="1" outlineLevel="1">
      <c r="A1681" s="10"/>
      <c r="B1681" s="10"/>
      <c r="C1681" s="18" t="s">
        <v>91</v>
      </c>
      <c r="D1681" s="10"/>
      <c r="F1681" s="6">
        <f t="array" ref="F1681">IFERROR(SUMIF('VO_PL(ABYSS)'!$A$4:$A$100, XLOOKUP($C1681, 'マスタ'!$D$2:$D$318, 'マスタ'!$D$2:$D$318, $C1681), 'VO_PL(ABYSS)'!J$4:J$100), 0)</f>
        <v>0</v>
      </c>
    </row>
    <row r="1682" ht="15.75" customHeight="1" collapsed="1">
      <c r="A1682" s="10"/>
      <c r="B1682" s="10"/>
      <c r="C1682" s="18" t="s">
        <v>92</v>
      </c>
      <c r="D1682" s="10"/>
      <c r="F1682" s="6">
        <f t="array" ref="F1682">IFERROR(SUMIF('VO_PL(ABYSS)'!$A$4:$A$100, XLOOKUP($C1682, 'マスタ'!$D$2:$D$318, 'マスタ'!$D$2:$D$318, $C1682), 'VO_PL(ABYSS)'!J$4:J$100), 0)</f>
        <v>145924</v>
      </c>
    </row>
    <row r="1683" ht="15.75" hidden="1" customHeight="1" outlineLevel="1">
      <c r="A1683" s="10"/>
      <c r="B1683" s="10"/>
      <c r="C1683" s="18" t="s">
        <v>93</v>
      </c>
      <c r="D1683" s="10"/>
      <c r="F1683" s="6">
        <f t="array" ref="F1683">IFERROR(SUMIF('VO_PL(ABYSS)'!$A$4:$A$100, XLOOKUP($C1683, 'マスタ'!$D$2:$D$318, 'マスタ'!$D$2:$D$318, $C1683), 'VO_PL(ABYSS)'!J$4:J$100), 0)</f>
        <v>0</v>
      </c>
    </row>
    <row r="1684" ht="15.75" hidden="1" customHeight="1" outlineLevel="1">
      <c r="A1684" s="10"/>
      <c r="B1684" s="10"/>
      <c r="C1684" s="18" t="s">
        <v>94</v>
      </c>
      <c r="D1684" s="10"/>
      <c r="F1684" s="6">
        <f t="array" ref="F1684">IFERROR(SUMIF('VO_PL(ABYSS)'!$A$4:$A$100, XLOOKUP($C1684, 'マスタ'!$D$2:$D$318, 'マスタ'!$D$2:$D$318, $C1684), 'VO_PL(ABYSS)'!J$4:J$100), 0)</f>
        <v>0</v>
      </c>
    </row>
    <row r="1685" ht="15.75" hidden="1" customHeight="1" outlineLevel="1">
      <c r="A1685" s="10"/>
      <c r="B1685" s="10"/>
      <c r="C1685" s="18" t="s">
        <v>95</v>
      </c>
      <c r="D1685" s="10"/>
      <c r="F1685" s="6">
        <f t="array" ref="F1685">IFERROR(SUMIF('VO_PL(ABYSS)'!$A$4:$A$100, XLOOKUP($C1685, 'マスタ'!$D$2:$D$318, 'マスタ'!$D$2:$D$318, $C1685), 'VO_PL(ABYSS)'!J$4:J$100), 0)</f>
        <v>0</v>
      </c>
    </row>
    <row r="1686" ht="15.75" hidden="1" customHeight="1" outlineLevel="1">
      <c r="A1686" s="10"/>
      <c r="B1686" s="10"/>
      <c r="C1686" s="18" t="s">
        <v>96</v>
      </c>
      <c r="D1686" s="10"/>
      <c r="F1686" s="6">
        <f t="array" ref="F1686">IFERROR(SUMIF('VO_PL(ABYSS)'!$A$4:$A$100, XLOOKUP($C1686, 'マスタ'!$D$2:$D$318, 'マスタ'!$D$2:$D$318, $C1686), 'VO_PL(ABYSS)'!J$4:J$100), 0)</f>
        <v>0</v>
      </c>
    </row>
    <row r="1687" ht="15.75" hidden="1" customHeight="1" outlineLevel="1">
      <c r="A1687" s="10"/>
      <c r="B1687" s="10"/>
      <c r="C1687" s="18" t="s">
        <v>97</v>
      </c>
      <c r="D1687" s="10"/>
      <c r="F1687" s="6">
        <f t="array" ref="F1687">IFERROR(SUMIF('VO_PL(ABYSS)'!$A$4:$A$100, XLOOKUP($C1687, 'マスタ'!$D$2:$D$318, 'マスタ'!$D$2:$D$318, $C1687), 'VO_PL(ABYSS)'!J$4:J$100), 0)</f>
        <v>0</v>
      </c>
    </row>
    <row r="1688" ht="15.75" hidden="1" customHeight="1" outlineLevel="1">
      <c r="A1688" s="10"/>
      <c r="B1688" s="10"/>
      <c r="C1688" s="18" t="s">
        <v>98</v>
      </c>
      <c r="D1688" s="10"/>
      <c r="F1688" s="6">
        <f t="array" ref="F1688">IFERROR(SUMIF('VO_PL(ABYSS)'!$A$4:$A$100, XLOOKUP($C1688, 'マスタ'!$D$2:$D$318, 'マスタ'!$D$2:$D$318, $C1688), 'VO_PL(ABYSS)'!J$4:J$100), 0)</f>
        <v>0</v>
      </c>
    </row>
    <row r="1689" ht="15.75" hidden="1" customHeight="1" outlineLevel="1">
      <c r="A1689" s="10"/>
      <c r="B1689" s="10"/>
      <c r="C1689" s="18" t="s">
        <v>99</v>
      </c>
      <c r="D1689" s="10"/>
      <c r="F1689" s="6">
        <f t="array" ref="F1689">IFERROR(SUMIF('VO_PL(ABYSS)'!$A$4:$A$100, XLOOKUP($C1689, 'マスタ'!$D$2:$D$318, 'マスタ'!$D$2:$D$318, $C1689), 'VO_PL(ABYSS)'!J$4:J$100), 0)</f>
        <v>0</v>
      </c>
    </row>
    <row r="1690" ht="15.75" hidden="1" customHeight="1" outlineLevel="1">
      <c r="A1690" s="10"/>
      <c r="B1690" s="10"/>
      <c r="C1690" s="18" t="s">
        <v>100</v>
      </c>
      <c r="D1690" s="10"/>
      <c r="F1690" s="6">
        <f t="array" ref="F1690">IFERROR(SUMIF('VO_PL(ABYSS)'!$A$4:$A$100, XLOOKUP($C1690, 'マスタ'!$D$2:$D$318, 'マスタ'!$D$2:$D$318, $C1690), 'VO_PL(ABYSS)'!J$4:J$100), 0)</f>
        <v>0</v>
      </c>
    </row>
    <row r="1691" ht="15.75" hidden="1" customHeight="1" outlineLevel="1">
      <c r="A1691" s="10"/>
      <c r="B1691" s="10"/>
      <c r="C1691" s="18" t="s">
        <v>101</v>
      </c>
      <c r="D1691" s="10"/>
      <c r="F1691" s="6">
        <f t="array" ref="F1691">IFERROR(SUMIF('VO_PL(ABYSS)'!$A$4:$A$100, XLOOKUP($C1691, 'マスタ'!$D$2:$D$318, 'マスタ'!$D$2:$D$318, $C1691), 'VO_PL(ABYSS)'!J$4:J$100), 0)</f>
        <v>0</v>
      </c>
    </row>
    <row r="1692" ht="15.75" customHeight="1">
      <c r="A1692" s="18"/>
      <c r="B1692" s="18" t="s">
        <v>102</v>
      </c>
      <c r="C1692" s="10"/>
      <c r="D1692" s="10"/>
      <c r="F1692" s="6">
        <f>SUM(F1662:F1691)</f>
        <v>479698</v>
      </c>
    </row>
    <row r="1693" ht="15.75" customHeight="1">
      <c r="A1693" s="18"/>
      <c r="B1693" s="18" t="s">
        <v>31</v>
      </c>
      <c r="C1693" s="10"/>
      <c r="D1693" s="10"/>
      <c r="F1693" s="6">
        <f>F1660-F1692</f>
        <v>-4587529</v>
      </c>
    </row>
    <row r="1694" ht="15.75" customHeight="1">
      <c r="A1694" s="18"/>
      <c r="B1694" s="18" t="s">
        <v>32</v>
      </c>
      <c r="C1694" s="18"/>
      <c r="D1694" s="10"/>
      <c r="F1694" s="6">
        <f>SUM(F1695:F1700)</f>
        <v>610</v>
      </c>
    </row>
    <row r="1695" ht="15.75" customHeight="1" collapsed="1">
      <c r="A1695" s="10"/>
      <c r="B1695" s="10"/>
      <c r="C1695" s="18" t="s">
        <v>103</v>
      </c>
      <c r="D1695" s="10"/>
      <c r="F1695" s="6">
        <f t="array" ref="F1695">SUMIF('VO_PL(ABYSS)'!$A$4:$A$100, XLOOKUP($C1695, 'マスタ'!$D$2:$D$318, 'マスタ'!$D$2:$D$318, $C1695), 'VO_PL(ABYSS)'!J$4:J$100)</f>
        <v>610</v>
      </c>
    </row>
    <row r="1696" ht="15.75" hidden="1" customHeight="1" outlineLevel="1">
      <c r="A1696" s="10"/>
      <c r="B1696" s="10"/>
      <c r="C1696" s="10" t="s">
        <v>104</v>
      </c>
      <c r="D1696" s="10"/>
      <c r="F1696" s="6">
        <f t="array" ref="F1696">SUMIF('VO_PL(ABYSS)'!$A$4:$A$100, XLOOKUP($C1696, 'マスタ'!$D$2:$D$318, 'マスタ'!$D$2:$D$318, $C1696), 'VO_PL(ABYSS)'!J$4:J$100)</f>
        <v>0</v>
      </c>
    </row>
    <row r="1697" ht="15.75" hidden="1" customHeight="1" outlineLevel="1">
      <c r="A1697" s="10"/>
      <c r="B1697" s="10"/>
      <c r="C1697" s="18" t="s">
        <v>105</v>
      </c>
      <c r="D1697" s="10"/>
      <c r="F1697" s="6">
        <f t="array" ref="F1697">SUMIF('VO_PL(ABYSS)'!$A$4:$A$100, XLOOKUP($C1697, 'マスタ'!$D$2:$D$318, 'マスタ'!$D$2:$D$318, $C1697), 'VO_PL(ABYSS)'!J$4:J$100)</f>
        <v>0</v>
      </c>
    </row>
    <row r="1698" ht="15.75" hidden="1" customHeight="1" outlineLevel="1">
      <c r="A1698" s="10"/>
      <c r="B1698" s="10"/>
      <c r="C1698" s="10" t="s">
        <v>106</v>
      </c>
      <c r="D1698" s="10"/>
      <c r="F1698" s="6">
        <f t="array" ref="F1698">SUMIF('VO_PL(ABYSS)'!$A$4:$A$100, XLOOKUP($C1698, 'マスタ'!$D$2:$D$318, 'マスタ'!$D$2:$D$318, $C1698), 'VO_PL(ABYSS)'!J$4:J$100)</f>
        <v>0</v>
      </c>
    </row>
    <row r="1699" ht="15.75" hidden="1" customHeight="1" outlineLevel="1">
      <c r="A1699" s="10"/>
      <c r="B1699" s="10"/>
      <c r="C1699" s="18" t="s">
        <v>107</v>
      </c>
      <c r="D1699" s="10"/>
      <c r="F1699" s="6">
        <f t="array" ref="F1699">SUMIF('VO_PL(ABYSS)'!$A$4:$A$100, XLOOKUP($C1699, 'マスタ'!$D$2:$D$318, 'マスタ'!$D$2:$D$318, $C1699), 'VO_PL(ABYSS)'!J$4:J$100)</f>
        <v>0</v>
      </c>
    </row>
    <row r="1700" ht="15.75" hidden="1" customHeight="1" outlineLevel="1">
      <c r="A1700" s="10"/>
      <c r="B1700" s="10"/>
      <c r="C1700" s="18" t="s">
        <v>108</v>
      </c>
      <c r="D1700" s="10"/>
      <c r="E1700" s="44"/>
      <c r="F1700" s="6">
        <f t="array" ref="F1700">SUMIF('VO_PL(ABYSS)'!$A$4:$A$100, XLOOKUP($C1700, 'マスタ'!$D$2:$D$318, 'マスタ'!$D$2:$D$318, $C1700), 'VO_PL(ABYSS)'!J$4:J$100)</f>
        <v>0</v>
      </c>
    </row>
    <row r="1701" ht="15.75" customHeight="1" collapsed="1">
      <c r="A1701" s="18"/>
      <c r="B1701" s="18" t="s">
        <v>34</v>
      </c>
      <c r="C1701" s="18"/>
      <c r="D1701" s="10"/>
      <c r="F1701" s="6">
        <f>SUM(F1702:F1704)</f>
        <v>0</v>
      </c>
    </row>
    <row r="1702" ht="15.75" hidden="1" customHeight="1" outlineLevel="1">
      <c r="A1702" s="10"/>
      <c r="B1702" s="10"/>
      <c r="C1702" s="18" t="s">
        <v>109</v>
      </c>
      <c r="D1702" s="10"/>
      <c r="F1702" s="6">
        <f t="array" ref="F1702">SUMIF('VO_PL(ABYSS)'!$A$4:$A$100, XLOOKUP($C1702, 'マスタ'!$D$2:$D$318, 'マスタ'!$D$2:$D$318, $C1702), 'VO_PL(ABYSS)'!J$4:J$100)</f>
        <v>0</v>
      </c>
    </row>
    <row r="1703" ht="15.75" hidden="1" customHeight="1" outlineLevel="1">
      <c r="A1703" s="10"/>
      <c r="B1703" s="10"/>
      <c r="C1703" s="18" t="s">
        <v>110</v>
      </c>
      <c r="D1703" s="10"/>
      <c r="F1703" s="6">
        <f t="array" ref="F1703">SUMIF('VO_PL(ABYSS)'!$A$4:$A$100, XLOOKUP($C1703, 'マスタ'!$D$2:$D$318, 'マスタ'!$D$2:$D$318, $C1703), 'VO_PL(ABYSS)'!J$4:J$100)</f>
        <v>0</v>
      </c>
    </row>
    <row r="1704" ht="15.75" hidden="1" customHeight="1" outlineLevel="1">
      <c r="A1704" s="10"/>
      <c r="B1704" s="10"/>
      <c r="C1704" s="18" t="s">
        <v>111</v>
      </c>
      <c r="D1704" s="10"/>
      <c r="F1704" s="6">
        <f t="array" ref="F1704">SUMIF('VO_PL(ABYSS)'!$A$4:$A$100, XLOOKUP($C1704, 'マスタ'!$D$2:$D$318, 'マスタ'!$D$2:$D$318, $C1704), 'VO_PL(ABYSS)'!J$4:J$100)</f>
        <v>0</v>
      </c>
    </row>
    <row r="1705" ht="15.75" customHeight="1">
      <c r="A1705" s="18"/>
      <c r="B1705" s="18" t="s">
        <v>112</v>
      </c>
      <c r="C1705" s="10"/>
      <c r="D1705" s="10"/>
      <c r="F1705" s="6">
        <f>F1693+F1694-F1701</f>
        <v>-4586919</v>
      </c>
    </row>
    <row r="1706" ht="15.75" customHeight="1" collapsed="1">
      <c r="A1706" s="18"/>
      <c r="B1706" s="18" t="s">
        <v>37</v>
      </c>
      <c r="D1706" s="10"/>
      <c r="F1706" s="6">
        <f t="array" ref="F1706">SUMIF('VO_PL(ORIGIN)'!$A$4:$A$100, XLOOKUP($C1706, 'マスタ'!$D$2:$D$318, 'マスタ'!$D$2:$D$318, $C1706), 'VO_PL(ORIGIN)'!J$4:J$100)</f>
        <v>0</v>
      </c>
    </row>
    <row r="1707" ht="15.75" hidden="1" customHeight="1" outlineLevel="1">
      <c r="A1707" s="10"/>
      <c r="B1707" s="10"/>
      <c r="C1707" s="10" t="s">
        <v>113</v>
      </c>
      <c r="F1707" s="6">
        <f t="array" ref="F1707">SUMIF('VO_PL(ABYSS)'!$A$4:$A$100, XLOOKUP($C1707, 'マスタ'!$D$2:$D$318, 'マスタ'!$D$2:$D$318, $C1707), 'VO_PL(ABYSS)'!J$4:J$100)</f>
        <v>0</v>
      </c>
    </row>
    <row r="1708" ht="15.75" hidden="1" customHeight="1" outlineLevel="1">
      <c r="A1708" s="10"/>
      <c r="B1708" s="10"/>
      <c r="C1708" s="18"/>
      <c r="D1708" s="18"/>
      <c r="F1708" s="6">
        <f t="array" ref="F1708">SUMIF('VO_PL(ORIGIN)'!$A$4:$A$100, XLOOKUP($C1708, 'マスタ'!$D$2:$D$318, 'マスタ'!$D$2:$D$318, $C1708), 'VO_PL(ORIGIN)'!J$4:J$100)</f>
        <v>0</v>
      </c>
    </row>
    <row r="1709" ht="15.75" customHeight="1" collapsed="1">
      <c r="A1709" s="18"/>
      <c r="B1709" s="18" t="s">
        <v>39</v>
      </c>
      <c r="D1709" s="18"/>
      <c r="F1709" s="6">
        <f t="array" ref="F1709">SUMIF('VO_PL(ORIGIN)'!$A$4:$A$100, XLOOKUP($C1709, 'マスタ'!$D$2:$D$318, 'マスタ'!$D$2:$D$318, $C1709), 'VO_PL(ORIGIN)'!J$4:J$100)</f>
        <v>0</v>
      </c>
    </row>
    <row r="1710" ht="15.75" hidden="1" customHeight="1" outlineLevel="1">
      <c r="A1710" s="18"/>
      <c r="B1710" s="18"/>
      <c r="C1710" s="18" t="s">
        <v>114</v>
      </c>
      <c r="F1710" s="6">
        <f t="array" ref="F1710">SUMIF('VO_PL(ABYSS)'!$A$4:$A$100, XLOOKUP($C1710, 'マスタ'!$D$2:$D$318, 'マスタ'!$D$2:$D$318, $C1710), 'VO_PL(ABYSS)'!J$4:J$100)</f>
        <v>0</v>
      </c>
    </row>
    <row r="1711" ht="15.75" hidden="1" customHeight="1" outlineLevel="1">
      <c r="A1711" s="18"/>
      <c r="B1711" s="18"/>
      <c r="C1711" s="10" t="s">
        <v>115</v>
      </c>
      <c r="F1711" s="6">
        <f t="array" ref="F1711">SUMIF('VO_PL(ABYSS)'!$A$4:$A$100, XLOOKUP($C1711, 'マスタ'!$D$2:$D$318, 'マスタ'!$D$2:$D$318, $C1711), 'VO_PL(ABYSS)'!J$4:J$100)</f>
        <v>0</v>
      </c>
    </row>
    <row r="1712" ht="15.75" hidden="1" customHeight="1" outlineLevel="1">
      <c r="A1712" s="18"/>
      <c r="B1712" s="18"/>
      <c r="C1712" s="10" t="s">
        <v>116</v>
      </c>
      <c r="F1712" s="6">
        <f t="array" ref="F1712">SUMIF('VO_PL(ABYSS)'!$A$4:$A$100, XLOOKUP($C1712, 'マスタ'!$D$2:$D$318, 'マスタ'!$D$2:$D$318, $C1712), 'VO_PL(ABYSS)'!J$4:J$100)</f>
        <v>0</v>
      </c>
    </row>
    <row r="1713" ht="15.75" customHeight="1">
      <c r="A1713" s="18"/>
      <c r="B1713" s="18" t="s">
        <v>117</v>
      </c>
      <c r="C1713" s="10"/>
      <c r="F1713" s="6">
        <f>F1705+F1706-F1709</f>
        <v>-4586919</v>
      </c>
    </row>
    <row r="1714" ht="15.75" customHeight="1">
      <c r="A1714" s="10"/>
      <c r="B1714" s="10"/>
      <c r="C1714" s="18" t="s">
        <v>43</v>
      </c>
      <c r="D1714" s="10"/>
      <c r="F1714" s="6">
        <f t="array" ref="F1714">SUMIF('VO_PL(ORIGIN)'!$A$4:$A$100, XLOOKUP($C1714, 'マスタ'!$D$2:$D$318, 'マスタ'!$D$2:$D$318, $C1714), 'VO_PL(ORIGIN)'!J$4:J$100)</f>
        <v>0</v>
      </c>
    </row>
    <row r="1715" ht="15.75" customHeight="1">
      <c r="A1715" s="10"/>
      <c r="B1715" s="10"/>
      <c r="C1715" s="18" t="s">
        <v>118</v>
      </c>
      <c r="D1715" s="10"/>
      <c r="F1715" s="6">
        <f t="array" ref="F1715">SUMIF('VO_PL(ORIGIN)'!$A$4:$A$100, XLOOKUP($C1715, 'マスタ'!$D$2:$D$318, 'マスタ'!$D$2:$D$318, $C1715), 'VO_PL(ORIGIN)'!J$4:J$100)</f>
        <v>0</v>
      </c>
    </row>
    <row r="1716" ht="15.75" customHeight="1">
      <c r="A1716" s="18"/>
      <c r="B1716" s="18" t="s">
        <v>119</v>
      </c>
      <c r="C1716" s="10"/>
      <c r="D1716" s="10"/>
      <c r="F1716" s="6">
        <f>F1713-(F1714-F1715)</f>
        <v>-4586919</v>
      </c>
    </row>
    <row r="1717" ht="15.75" customHeight="1">
      <c r="A1717" s="25"/>
      <c r="B1717" s="25"/>
      <c r="C1717" s="26"/>
      <c r="D1717" s="26"/>
      <c r="E1717" s="45"/>
      <c r="F1717" s="46"/>
    </row>
    <row r="1718" ht="15.75" customHeight="1">
      <c r="A1718" s="4"/>
      <c r="B1718" s="4" t="s">
        <v>50</v>
      </c>
      <c r="C1718" s="4" t="s">
        <v>176</v>
      </c>
      <c r="D1718" s="4" t="s">
        <v>27</v>
      </c>
      <c r="F1718" s="10"/>
    </row>
    <row r="1719" ht="15.75" customHeight="1">
      <c r="A1719" s="18"/>
      <c r="B1719" s="18" t="s">
        <v>1</v>
      </c>
      <c r="D1719" s="10"/>
      <c r="F1719" s="41"/>
    </row>
    <row r="1720" ht="15.75" customHeight="1">
      <c r="C1720" s="18" t="s">
        <v>1</v>
      </c>
      <c r="D1720" s="10"/>
      <c r="F1720" s="42">
        <f t="array" ref="F1720">SUMIF('VO_PL(CANON)'!$A$4:$A$100, XLOOKUP($C1720, 'マスタ'!$D$2:$D$318, 'マスタ'!$D$2:$D$318, $C1720), 'VO_PL(CANON)'!J$4:J$100)</f>
        <v>0</v>
      </c>
    </row>
    <row r="1721" ht="15.75" customHeight="1">
      <c r="A1721" s="18"/>
      <c r="B1721" s="18" t="s">
        <v>67</v>
      </c>
      <c r="C1721" s="10"/>
      <c r="D1721" s="10"/>
      <c r="F1721" s="42">
        <f>F1720</f>
        <v>0</v>
      </c>
    </row>
    <row r="1722" ht="15.75" customHeight="1">
      <c r="A1722" s="18"/>
      <c r="B1722" s="18" t="s">
        <v>28</v>
      </c>
      <c r="C1722" s="10"/>
      <c r="D1722" s="10"/>
      <c r="F1722" s="42"/>
    </row>
    <row r="1723" ht="15.75" customHeight="1">
      <c r="A1723" s="10"/>
      <c r="B1723" s="10"/>
      <c r="C1723" s="18" t="s">
        <v>68</v>
      </c>
      <c r="D1723" s="10"/>
      <c r="F1723" s="42">
        <f t="array" ref="F1723">SUMIF('VO_PL(CANON)'!$A$4:$A$100, XLOOKUP($C1723, 'マスタ'!$D$2:$D$318, 'マスタ'!$D$2:$D$318, $C1723), 'VO_PL(CANON)'!J$4:J$100)</f>
        <v>0</v>
      </c>
    </row>
    <row r="1724" ht="15.75" customHeight="1">
      <c r="A1724" s="10"/>
      <c r="B1724" s="10"/>
      <c r="C1724" s="18" t="s">
        <v>69</v>
      </c>
      <c r="D1724" s="10"/>
      <c r="F1724" s="42">
        <f t="array" ref="F1724">SUMIF('VO_PL(CANON)'!$A$4:$A$100, XLOOKUP($C1724, 'マスタ'!$D$2:$D$318, 'マスタ'!$D$2:$D$318, $C1724), 'VO_PL(CANON)'!J$4:J$100)</f>
        <v>2272468</v>
      </c>
    </row>
    <row r="1725" ht="15.75" customHeight="1">
      <c r="A1725" s="10"/>
      <c r="B1725" s="10"/>
      <c r="C1725" s="27" t="s">
        <v>70</v>
      </c>
      <c r="D1725" s="10"/>
      <c r="F1725" s="42">
        <f t="array" ref="F1725">SUMIF('VO_PL(CANON)'!$A$4:$A$100, XLOOKUP($C1725, 'マスタ'!$D$2:$D$318, 'マスタ'!$D$2:$D$318, $C1725), 'VO_PL(CANON)'!J$4:J$100)</f>
        <v>0</v>
      </c>
    </row>
    <row r="1726" ht="15.75" customHeight="1">
      <c r="A1726" s="10"/>
      <c r="B1726" s="10"/>
      <c r="C1726" s="18" t="s">
        <v>71</v>
      </c>
      <c r="D1726" s="10"/>
      <c r="F1726" s="42">
        <f t="array" ref="F1726">SUMIF('VO_PL(CANON)'!$A$4:$A$100, XLOOKUP($C1726, 'マスタ'!$D$2:$D$318, 'マスタ'!$D$2:$D$318, $C1726), 'VO_PL(CANON)'!J$4:J$100)</f>
        <v>0</v>
      </c>
    </row>
    <row r="1727" ht="15.75" customHeight="1">
      <c r="A1727" s="18"/>
      <c r="B1727" s="18" t="s">
        <v>28</v>
      </c>
      <c r="C1727" s="10"/>
      <c r="D1727" s="10"/>
      <c r="F1727" s="43">
        <f>F1724-F1726</f>
        <v>2272468</v>
      </c>
    </row>
    <row r="1728" ht="15.75" customHeight="1">
      <c r="A1728" s="18"/>
      <c r="B1728" s="18" t="s">
        <v>5</v>
      </c>
      <c r="C1728" s="10"/>
      <c r="D1728" s="10"/>
      <c r="F1728" s="43">
        <f>F1721-F1727</f>
        <v>-2272468</v>
      </c>
    </row>
    <row r="1729" ht="15.75" customHeight="1" collapsed="1">
      <c r="A1729" s="18"/>
      <c r="B1729" s="18" t="s">
        <v>29</v>
      </c>
      <c r="C1729" s="10"/>
      <c r="D1729" s="10"/>
      <c r="F1729" s="20"/>
    </row>
    <row r="1730" ht="15.75" hidden="1" customHeight="1" outlineLevel="1">
      <c r="A1730" s="10"/>
      <c r="B1730" s="10"/>
      <c r="C1730" s="18" t="s">
        <v>72</v>
      </c>
      <c r="D1730" s="10"/>
      <c r="F1730" s="6">
        <f t="array" ref="F1730">IFERROR(SUMIF('VO_PL(CANON)'!$A$4:$A$100, XLOOKUP($C1730, 'マスタ'!$D$2:$D$318, 'マスタ'!$D$2:$D$318, $C1730), 'VO_PL(CANON)'!J$4:J$100), 0)</f>
        <v>0</v>
      </c>
    </row>
    <row r="1731" ht="15.75" hidden="1" customHeight="1" outlineLevel="1">
      <c r="A1731" s="10"/>
      <c r="B1731" s="10"/>
      <c r="C1731" s="18" t="s">
        <v>73</v>
      </c>
      <c r="D1731" s="10"/>
      <c r="F1731" s="6">
        <f t="array" ref="F1731">IFERROR(SUMIF('VO_PL(CANON)'!$A$4:$A$100, XLOOKUP($C1731, 'マスタ'!$D$2:$D$318, 'マスタ'!$D$2:$D$318, $C1731), 'VO_PL(CANON)'!J$4:J$100), 0)</f>
        <v>0</v>
      </c>
    </row>
    <row r="1732" ht="15.75" hidden="1" customHeight="1" outlineLevel="1">
      <c r="A1732" s="10"/>
      <c r="B1732" s="10"/>
      <c r="C1732" s="18" t="s">
        <v>74</v>
      </c>
      <c r="D1732" s="10"/>
      <c r="F1732" s="6">
        <f t="array" ref="F1732">IFERROR(SUMIF('VO_PL(CANON)'!$A$4:$A$100, XLOOKUP($C1732, 'マスタ'!$D$2:$D$318, 'マスタ'!$D$2:$D$318, $C1732), 'VO_PL(CANON)'!J$4:J$100), 0)</f>
        <v>0</v>
      </c>
    </row>
    <row r="1733" ht="15.75" hidden="1" customHeight="1" outlineLevel="1">
      <c r="A1733" s="10"/>
      <c r="B1733" s="10"/>
      <c r="C1733" s="18" t="s">
        <v>75</v>
      </c>
      <c r="D1733" s="10"/>
      <c r="F1733" s="6">
        <f t="array" ref="F1733">IFERROR(SUMIF('VO_PL(CANON)'!$A$4:$A$100, XLOOKUP($C1733, 'マスタ'!$D$2:$D$318, 'マスタ'!$D$2:$D$318, $C1733), 'VO_PL(CANON)'!J$4:J$100), 0)</f>
        <v>0</v>
      </c>
    </row>
    <row r="1734" ht="15.75" hidden="1" customHeight="1" outlineLevel="1">
      <c r="A1734" s="10"/>
      <c r="B1734" s="10"/>
      <c r="C1734" s="18" t="s">
        <v>76</v>
      </c>
      <c r="D1734" s="10"/>
      <c r="F1734" s="6">
        <f t="array" ref="F1734">IFERROR(SUMIF('VO_PL(CANON)'!$A$4:$A$100, XLOOKUP($C1734, 'マスタ'!$D$2:$D$318, 'マスタ'!$D$2:$D$318, $C1734), 'VO_PL(CANON)'!J$4:J$100), 0)</f>
        <v>0</v>
      </c>
    </row>
    <row r="1735" ht="15.75" hidden="1" customHeight="1" outlineLevel="1">
      <c r="A1735" s="10"/>
      <c r="B1735" s="10"/>
      <c r="C1735" s="18" t="s">
        <v>77</v>
      </c>
      <c r="D1735" s="10"/>
      <c r="F1735" s="6">
        <f t="array" ref="F1735">IFERROR(SUMIF('VO_PL(CANON)'!$A$4:$A$100, XLOOKUP($C1735, 'マスタ'!$D$2:$D$318, 'マスタ'!$D$2:$D$318, $C1735), 'VO_PL(CANON)'!J$4:J$100), 0)</f>
        <v>0</v>
      </c>
    </row>
    <row r="1736" ht="15.75" hidden="1" customHeight="1" outlineLevel="1">
      <c r="A1736" s="10"/>
      <c r="B1736" s="10"/>
      <c r="C1736" s="18" t="s">
        <v>78</v>
      </c>
      <c r="D1736" s="10"/>
      <c r="F1736" s="6">
        <f t="array" ref="F1736">IFERROR(SUMIF('VO_PL(CANON)'!$A$4:$A$100, XLOOKUP($C1736, 'マスタ'!$D$2:$D$318, 'マスタ'!$D$2:$D$318, $C1736), 'VO_PL(CANON)'!J$4:J$100), 0)</f>
        <v>0</v>
      </c>
    </row>
    <row r="1737" ht="15.75" hidden="1" customHeight="1" outlineLevel="1">
      <c r="A1737" s="10"/>
      <c r="B1737" s="10"/>
      <c r="C1737" s="18" t="s">
        <v>79</v>
      </c>
      <c r="D1737" s="10"/>
      <c r="F1737" s="6">
        <f t="array" ref="F1737">IFERROR(SUMIF('VO_PL(CANON)'!$A$4:$A$100, XLOOKUP($C1737, 'マスタ'!$D$2:$D$318, 'マスタ'!$D$2:$D$318, $C1737), 'VO_PL(CANON)'!J$4:J$100), 0)</f>
        <v>0</v>
      </c>
    </row>
    <row r="1738" ht="15.75" hidden="1" customHeight="1" outlineLevel="1">
      <c r="A1738" s="10"/>
      <c r="B1738" s="10"/>
      <c r="C1738" s="18" t="s">
        <v>80</v>
      </c>
      <c r="D1738" s="10"/>
      <c r="F1738" s="6">
        <f t="array" ref="F1738">IFERROR(SUMIF('VO_PL(CANON)'!$A$4:$A$100, XLOOKUP($C1738, 'マスタ'!$D$2:$D$318, 'マスタ'!$D$2:$D$318, $C1738), 'VO_PL(CANON)'!J$4:J$100), 0)</f>
        <v>0</v>
      </c>
    </row>
    <row r="1739" ht="15.75" hidden="1" customHeight="1" outlineLevel="1">
      <c r="A1739" s="10"/>
      <c r="B1739" s="10"/>
      <c r="C1739" s="18" t="s">
        <v>81</v>
      </c>
      <c r="D1739" s="10"/>
      <c r="F1739" s="6">
        <f t="array" ref="F1739">IFERROR(SUMIF('VO_PL(CANON)'!$A$4:$A$100, XLOOKUP($C1739, 'マスタ'!$D$2:$D$318, 'マスタ'!$D$2:$D$318, $C1739), 'VO_PL(CANON)'!J$4:J$100), 0)</f>
        <v>0</v>
      </c>
    </row>
    <row r="1740" ht="15.75" hidden="1" customHeight="1" outlineLevel="1">
      <c r="A1740" s="10"/>
      <c r="B1740" s="10"/>
      <c r="C1740" s="18" t="s">
        <v>82</v>
      </c>
      <c r="D1740" s="10"/>
      <c r="F1740" s="6">
        <f t="array" ref="F1740">IFERROR(SUMIF('VO_PL(CANON)'!$A$4:$A$100, XLOOKUP($C1740, 'マスタ'!$D$2:$D$318, 'マスタ'!$D$2:$D$318, $C1740), 'VO_PL(CANON)'!J$4:J$100), 0)</f>
        <v>0</v>
      </c>
    </row>
    <row r="1741" ht="15.75" hidden="1" customHeight="1" outlineLevel="1">
      <c r="A1741" s="10"/>
      <c r="B1741" s="10"/>
      <c r="C1741" s="18" t="s">
        <v>83</v>
      </c>
      <c r="D1741" s="10"/>
      <c r="F1741" s="6">
        <f t="array" ref="F1741">IFERROR(SUMIF('VO_PL(CANON)'!$A$4:$A$100, XLOOKUP($C1741, 'マスタ'!$D$2:$D$318, 'マスタ'!$D$2:$D$318, $C1741), 'VO_PL(CANON)'!J$4:J$100), 0)</f>
        <v>0</v>
      </c>
    </row>
    <row r="1742" ht="15.75" hidden="1" customHeight="1" outlineLevel="1">
      <c r="A1742" s="10"/>
      <c r="B1742" s="10"/>
      <c r="C1742" s="18" t="s">
        <v>84</v>
      </c>
      <c r="D1742" s="10"/>
      <c r="F1742" s="6">
        <f t="array" ref="F1742">IFERROR(SUMIF('VO_PL(CANON)'!$A$4:$A$100, XLOOKUP($C1742, 'マスタ'!$D$2:$D$318, 'マスタ'!$D$2:$D$318, $C1742), 'VO_PL(CANON)'!J$4:J$100), 0)</f>
        <v>0</v>
      </c>
    </row>
    <row r="1743" ht="15.75" hidden="1" customHeight="1" outlineLevel="1">
      <c r="A1743" s="10"/>
      <c r="B1743" s="10"/>
      <c r="C1743" s="18" t="s">
        <v>85</v>
      </c>
      <c r="D1743" s="10"/>
      <c r="F1743" s="6">
        <f t="array" ref="F1743">IFERROR(SUMIF('VO_PL(CANON)'!$A$4:$A$100, XLOOKUP($C1743, 'マスタ'!$D$2:$D$318, 'マスタ'!$D$2:$D$318, $C1743), 'VO_PL(CANON)'!J$4:J$100), 0)</f>
        <v>0</v>
      </c>
    </row>
    <row r="1744" ht="15.75" hidden="1" customHeight="1" outlineLevel="1">
      <c r="A1744" s="10"/>
      <c r="B1744" s="10"/>
      <c r="C1744" s="18" t="s">
        <v>86</v>
      </c>
      <c r="D1744" s="10"/>
      <c r="F1744" s="6">
        <f t="array" ref="F1744">IFERROR(SUMIF('VO_PL(CANON)'!$A$4:$A$100, XLOOKUP($C1744, 'マスタ'!$D$2:$D$318, 'マスタ'!$D$2:$D$318, $C1744), 'VO_PL(CANON)'!J$4:J$100), 0)</f>
        <v>0</v>
      </c>
    </row>
    <row r="1745" ht="15.75" hidden="1" customHeight="1" outlineLevel="1">
      <c r="A1745" s="10"/>
      <c r="B1745" s="10"/>
      <c r="C1745" s="18" t="s">
        <v>87</v>
      </c>
      <c r="D1745" s="10"/>
      <c r="F1745" s="6">
        <f t="array" ref="F1745">IFERROR(SUMIF('VO_PL(CANON)'!$A$4:$A$100, XLOOKUP($C1745, 'マスタ'!$D$2:$D$318, 'マスタ'!$D$2:$D$318, $C1745), 'VO_PL(CANON)'!J$4:J$100), 0)</f>
        <v>0</v>
      </c>
    </row>
    <row r="1746" ht="15.75" hidden="1" customHeight="1" outlineLevel="1">
      <c r="A1746" s="10"/>
      <c r="B1746" s="10"/>
      <c r="C1746" s="18" t="s">
        <v>88</v>
      </c>
      <c r="D1746" s="10"/>
      <c r="F1746" s="6">
        <f t="array" ref="F1746">IFERROR(SUMIF('VO_PL(CANON)'!$A$4:$A$100, XLOOKUP($C1746, 'マスタ'!$D$2:$D$318, 'マスタ'!$D$2:$D$318, $C1746), 'VO_PL(CANON)'!J$4:J$100), 0)</f>
        <v>0</v>
      </c>
    </row>
    <row r="1747" ht="15.75" hidden="1" customHeight="1" outlineLevel="1">
      <c r="A1747" s="10"/>
      <c r="B1747" s="10"/>
      <c r="C1747" s="18" t="s">
        <v>89</v>
      </c>
      <c r="D1747" s="10"/>
      <c r="F1747" s="6">
        <f t="array" ref="F1747">IFERROR(SUMIF('VO_PL(CANON)'!$A$4:$A$100, XLOOKUP($C1747, 'マスタ'!$D$2:$D$318, 'マスタ'!$D$2:$D$318, $C1747), 'VO_PL(CANON)'!J$4:J$100), 0)</f>
        <v>0</v>
      </c>
    </row>
    <row r="1748" ht="15.75" hidden="1" customHeight="1" outlineLevel="1">
      <c r="A1748" s="10"/>
      <c r="B1748" s="10"/>
      <c r="C1748" s="18" t="s">
        <v>90</v>
      </c>
      <c r="D1748" s="10"/>
      <c r="F1748" s="6">
        <f t="array" ref="F1748">IFERROR(SUMIF('VO_PL(CANON)'!$A$4:$A$100, XLOOKUP($C1748, 'マスタ'!$D$2:$D$318, 'マスタ'!$D$2:$D$318, $C1748), 'VO_PL(CANON)'!J$4:J$100), 0)</f>
        <v>0</v>
      </c>
    </row>
    <row r="1749" ht="15.75" hidden="1" customHeight="1" outlineLevel="1">
      <c r="A1749" s="10"/>
      <c r="B1749" s="10"/>
      <c r="C1749" s="18" t="s">
        <v>91</v>
      </c>
      <c r="D1749" s="10"/>
      <c r="F1749" s="6">
        <f t="array" ref="F1749">IFERROR(SUMIF('VO_PL(CANON)'!$A$4:$A$100, XLOOKUP($C1749, 'マスタ'!$D$2:$D$318, 'マスタ'!$D$2:$D$318, $C1749), 'VO_PL(CANON)'!J$4:J$100), 0)</f>
        <v>0</v>
      </c>
    </row>
    <row r="1750" ht="15.75" hidden="1" customHeight="1" outlineLevel="1">
      <c r="A1750" s="10"/>
      <c r="B1750" s="10"/>
      <c r="C1750" s="18" t="s">
        <v>92</v>
      </c>
      <c r="D1750" s="10"/>
      <c r="F1750" s="6">
        <f t="array" ref="F1750">IFERROR(SUMIF('VO_PL(CANON)'!$A$4:$A$100, XLOOKUP($C1750, 'マスタ'!$D$2:$D$318, 'マスタ'!$D$2:$D$318, $C1750), 'VO_PL(CANON)'!J$4:J$100), 0)</f>
        <v>0</v>
      </c>
    </row>
    <row r="1751" ht="15.75" hidden="1" customHeight="1" outlineLevel="1">
      <c r="A1751" s="10"/>
      <c r="B1751" s="10"/>
      <c r="C1751" s="18" t="s">
        <v>93</v>
      </c>
      <c r="D1751" s="10"/>
      <c r="F1751" s="6">
        <f t="array" ref="F1751">IFERROR(SUMIF('VO_PL(CANON)'!$A$4:$A$100, XLOOKUP($C1751, 'マスタ'!$D$2:$D$318, 'マスタ'!$D$2:$D$318, $C1751), 'VO_PL(CANON)'!J$4:J$100), 0)</f>
        <v>0</v>
      </c>
    </row>
    <row r="1752" ht="15.75" hidden="1" customHeight="1" outlineLevel="1">
      <c r="A1752" s="10"/>
      <c r="B1752" s="10"/>
      <c r="C1752" s="18" t="s">
        <v>94</v>
      </c>
      <c r="D1752" s="10"/>
      <c r="F1752" s="6">
        <f t="array" ref="F1752">IFERROR(SUMIF('VO_PL(CANON)'!$A$4:$A$100, XLOOKUP($C1752, 'マスタ'!$D$2:$D$318, 'マスタ'!$D$2:$D$318, $C1752), 'VO_PL(CANON)'!J$4:J$100), 0)</f>
        <v>0</v>
      </c>
    </row>
    <row r="1753" ht="15.75" hidden="1" customHeight="1" outlineLevel="1">
      <c r="A1753" s="10"/>
      <c r="B1753" s="10"/>
      <c r="C1753" s="18" t="s">
        <v>95</v>
      </c>
      <c r="D1753" s="10"/>
      <c r="F1753" s="6">
        <f t="array" ref="F1753">IFERROR(SUMIF('VO_PL(CANON)'!$A$4:$A$100, XLOOKUP($C1753, 'マスタ'!$D$2:$D$318, 'マスタ'!$D$2:$D$318, $C1753), 'VO_PL(CANON)'!J$4:J$100), 0)</f>
        <v>0</v>
      </c>
    </row>
    <row r="1754" ht="15.75" hidden="1" customHeight="1" outlineLevel="1">
      <c r="A1754" s="10"/>
      <c r="B1754" s="10"/>
      <c r="C1754" s="18" t="s">
        <v>96</v>
      </c>
      <c r="D1754" s="10"/>
      <c r="F1754" s="6">
        <f t="array" ref="F1754">IFERROR(SUMIF('VO_PL(CANON)'!$A$4:$A$100, XLOOKUP($C1754, 'マスタ'!$D$2:$D$318, 'マスタ'!$D$2:$D$318, $C1754), 'VO_PL(CANON)'!J$4:J$100), 0)</f>
        <v>0</v>
      </c>
    </row>
    <row r="1755" ht="15.75" hidden="1" customHeight="1" outlineLevel="1">
      <c r="A1755" s="10"/>
      <c r="B1755" s="10"/>
      <c r="C1755" s="18" t="s">
        <v>97</v>
      </c>
      <c r="D1755" s="10"/>
      <c r="F1755" s="6">
        <f t="array" ref="F1755">IFERROR(SUMIF('VO_PL(CANON)'!$A$4:$A$100, XLOOKUP($C1755, 'マスタ'!$D$2:$D$318, 'マスタ'!$D$2:$D$318, $C1755), 'VO_PL(CANON)'!J$4:J$100), 0)</f>
        <v>0</v>
      </c>
    </row>
    <row r="1756" ht="15.75" hidden="1" customHeight="1" outlineLevel="1">
      <c r="A1756" s="10"/>
      <c r="B1756" s="10"/>
      <c r="C1756" s="18" t="s">
        <v>98</v>
      </c>
      <c r="D1756" s="10"/>
      <c r="F1756" s="6">
        <f t="array" ref="F1756">IFERROR(SUMIF('VO_PL(CANON)'!$A$4:$A$100, XLOOKUP($C1756, 'マスタ'!$D$2:$D$318, 'マスタ'!$D$2:$D$318, $C1756), 'VO_PL(CANON)'!J$4:J$100), 0)</f>
        <v>0</v>
      </c>
    </row>
    <row r="1757" ht="15.75" hidden="1" customHeight="1" outlineLevel="1">
      <c r="A1757" s="10"/>
      <c r="B1757" s="10"/>
      <c r="C1757" s="18" t="s">
        <v>99</v>
      </c>
      <c r="D1757" s="10"/>
      <c r="F1757" s="6">
        <f t="array" ref="F1757">IFERROR(SUMIF('VO_PL(CANON)'!$A$4:$A$100, XLOOKUP($C1757, 'マスタ'!$D$2:$D$318, 'マスタ'!$D$2:$D$318, $C1757), 'VO_PL(CANON)'!J$4:J$100), 0)</f>
        <v>0</v>
      </c>
    </row>
    <row r="1758" ht="15.75" hidden="1" customHeight="1" outlineLevel="1">
      <c r="A1758" s="10"/>
      <c r="B1758" s="10"/>
      <c r="C1758" s="18" t="s">
        <v>100</v>
      </c>
      <c r="D1758" s="10"/>
      <c r="F1758" s="6">
        <f t="array" ref="F1758">IFERROR(SUMIF('VO_PL(CANON)'!$A$4:$A$100, XLOOKUP($C1758, 'マスタ'!$D$2:$D$318, 'マスタ'!$D$2:$D$318, $C1758), 'VO_PL(CANON)'!J$4:J$100), 0)</f>
        <v>0</v>
      </c>
    </row>
    <row r="1759" ht="15.75" hidden="1" customHeight="1" outlineLevel="1">
      <c r="A1759" s="10"/>
      <c r="B1759" s="10"/>
      <c r="C1759" s="18" t="s">
        <v>101</v>
      </c>
      <c r="D1759" s="10"/>
      <c r="F1759" s="6">
        <f t="array" ref="F1759">IFERROR(SUMIF('VO_PL(CANON)'!$A$4:$A$100, XLOOKUP($C1759, 'マスタ'!$D$2:$D$318, 'マスタ'!$D$2:$D$318, $C1759), 'VO_PL(CANON)'!J$4:J$100), 0)</f>
        <v>0</v>
      </c>
    </row>
    <row r="1760" ht="15.75" customHeight="1">
      <c r="A1760" s="18"/>
      <c r="B1760" s="18" t="s">
        <v>102</v>
      </c>
      <c r="C1760" s="10"/>
      <c r="D1760" s="10"/>
      <c r="F1760" s="6">
        <f>SUM(F1730:F1759)</f>
        <v>0</v>
      </c>
    </row>
    <row r="1761" ht="15.75" customHeight="1">
      <c r="A1761" s="18"/>
      <c r="B1761" s="18" t="s">
        <v>31</v>
      </c>
      <c r="C1761" s="10"/>
      <c r="D1761" s="10"/>
      <c r="F1761" s="6">
        <f>F1728-F1760</f>
        <v>-2272468</v>
      </c>
    </row>
    <row r="1762" ht="15.75" customHeight="1" collapsed="1">
      <c r="A1762" s="18"/>
      <c r="B1762" s="18" t="s">
        <v>32</v>
      </c>
      <c r="C1762" s="18"/>
      <c r="D1762" s="10"/>
      <c r="F1762" s="6">
        <f>SUM(F1763:F1768)</f>
        <v>0</v>
      </c>
    </row>
    <row r="1763" ht="15.75" hidden="1" customHeight="1" outlineLevel="1">
      <c r="A1763" s="10"/>
      <c r="B1763" s="10"/>
      <c r="C1763" s="18" t="s">
        <v>103</v>
      </c>
      <c r="D1763" s="10"/>
      <c r="F1763" s="6">
        <f t="array" ref="F1763">SUMIF('VO_PL(CANON)'!$A$4:$A$100, XLOOKUP($C1763, 'マスタ'!$D$2:$D$318, 'マスタ'!$D$2:$D$318, $C1763), 'VO_PL(CANON)'!J$4:J$100)</f>
        <v>0</v>
      </c>
    </row>
    <row r="1764" ht="15.75" hidden="1" customHeight="1" outlineLevel="1">
      <c r="A1764" s="10"/>
      <c r="B1764" s="10"/>
      <c r="C1764" s="10" t="s">
        <v>104</v>
      </c>
      <c r="D1764" s="10"/>
      <c r="F1764" s="6">
        <f t="array" ref="F1764">SUMIF('VO_PL(CANON)'!$A$4:$A$100, XLOOKUP($C1764, 'マスタ'!$D$2:$D$318, 'マスタ'!$D$2:$D$318, $C1764), 'VO_PL(CANON)'!J$4:J$100)</f>
        <v>0</v>
      </c>
    </row>
    <row r="1765" ht="15.75" hidden="1" customHeight="1" outlineLevel="1">
      <c r="A1765" s="10"/>
      <c r="B1765" s="10"/>
      <c r="C1765" s="18" t="s">
        <v>105</v>
      </c>
      <c r="D1765" s="10"/>
      <c r="F1765" s="6">
        <f t="array" ref="F1765">SUMIF('VO_PL(CANON)'!$A$4:$A$100, XLOOKUP($C1765, 'マスタ'!$D$2:$D$318, 'マスタ'!$D$2:$D$318, $C1765), 'VO_PL(CANON)'!J$4:J$100)</f>
        <v>0</v>
      </c>
    </row>
    <row r="1766" ht="15.75" hidden="1" customHeight="1" outlineLevel="1">
      <c r="A1766" s="10"/>
      <c r="B1766" s="10"/>
      <c r="C1766" s="10" t="s">
        <v>106</v>
      </c>
      <c r="D1766" s="10"/>
      <c r="F1766" s="6">
        <f t="array" ref="F1766">SUMIF('VO_PL(CANON)'!$A$4:$A$100, XLOOKUP($C1766, 'マスタ'!$D$2:$D$318, 'マスタ'!$D$2:$D$318, $C1766), 'VO_PL(CANON)'!J$4:J$100)</f>
        <v>0</v>
      </c>
    </row>
    <row r="1767" ht="15.75" hidden="1" customHeight="1" outlineLevel="1">
      <c r="A1767" s="10"/>
      <c r="B1767" s="10"/>
      <c r="C1767" s="18" t="s">
        <v>107</v>
      </c>
      <c r="D1767" s="10"/>
      <c r="F1767" s="6">
        <f t="array" ref="F1767">SUMIF('VO_PL(CANON)'!$A$4:$A$100, XLOOKUP($C1767, 'マスタ'!$D$2:$D$318, 'マスタ'!$D$2:$D$318, $C1767), 'VO_PL(CANON)'!J$4:J$100)</f>
        <v>0</v>
      </c>
    </row>
    <row r="1768" ht="15.75" hidden="1" customHeight="1" outlineLevel="1">
      <c r="A1768" s="10"/>
      <c r="B1768" s="10"/>
      <c r="C1768" s="18" t="s">
        <v>108</v>
      </c>
      <c r="D1768" s="10"/>
      <c r="E1768" s="44"/>
      <c r="F1768" s="6">
        <f t="array" ref="F1768">SUMIF('VO_PL(CANON)'!$A$4:$A$100, XLOOKUP($C1768, 'マスタ'!$D$2:$D$318, 'マスタ'!$D$2:$D$318, $C1768), 'VO_PL(CANON)'!J$4:J$100)</f>
        <v>0</v>
      </c>
    </row>
    <row r="1769" ht="15.75" customHeight="1" collapsed="1">
      <c r="A1769" s="18"/>
      <c r="B1769" s="18" t="s">
        <v>34</v>
      </c>
      <c r="C1769" s="18"/>
      <c r="D1769" s="10"/>
      <c r="F1769" s="6">
        <f>SUM(F1770:F1772)</f>
        <v>0</v>
      </c>
    </row>
    <row r="1770" ht="15.75" hidden="1" customHeight="1" outlineLevel="1">
      <c r="A1770" s="10"/>
      <c r="B1770" s="10"/>
      <c r="C1770" s="18" t="s">
        <v>109</v>
      </c>
      <c r="D1770" s="10"/>
      <c r="F1770" s="6">
        <f t="array" ref="F1770">SUMIF('VO_PL(CANON)'!$A$4:$A$100, XLOOKUP($C1770, 'マスタ'!$D$2:$D$318, 'マスタ'!$D$2:$D$318, $C1770), 'VO_PL(CANON)'!J$4:J$100)</f>
        <v>0</v>
      </c>
    </row>
    <row r="1771" ht="15.75" hidden="1" customHeight="1" outlineLevel="1">
      <c r="A1771" s="10"/>
      <c r="B1771" s="10"/>
      <c r="C1771" s="18" t="s">
        <v>110</v>
      </c>
      <c r="D1771" s="10"/>
      <c r="F1771" s="6">
        <f t="array" ref="F1771">SUMIF('VO_PL(CANON)'!$A$4:$A$100, XLOOKUP($C1771, 'マスタ'!$D$2:$D$318, 'マスタ'!$D$2:$D$318, $C1771), 'VO_PL(CANON)'!J$4:J$100)</f>
        <v>0</v>
      </c>
    </row>
    <row r="1772" ht="15.75" hidden="1" customHeight="1" outlineLevel="1">
      <c r="A1772" s="10"/>
      <c r="B1772" s="10"/>
      <c r="C1772" s="18" t="s">
        <v>111</v>
      </c>
      <c r="D1772" s="10"/>
      <c r="F1772" s="6">
        <f t="array" ref="F1772">SUMIF('VO_PL(CANON)'!$A$4:$A$100, XLOOKUP($C1772, 'マスタ'!$D$2:$D$318, 'マスタ'!$D$2:$D$318, $C1772), 'VO_PL(CANON)'!J$4:J$100)</f>
        <v>0</v>
      </c>
    </row>
    <row r="1773" ht="15.75" customHeight="1">
      <c r="A1773" s="18"/>
      <c r="B1773" s="18" t="s">
        <v>112</v>
      </c>
      <c r="C1773" s="10"/>
      <c r="D1773" s="10"/>
      <c r="F1773" s="6">
        <f>F1761+F1762-F1769</f>
        <v>-2272468</v>
      </c>
    </row>
    <row r="1774" ht="15.75" customHeight="1" collapsed="1">
      <c r="A1774" s="18"/>
      <c r="B1774" s="18" t="s">
        <v>37</v>
      </c>
      <c r="D1774" s="10"/>
      <c r="F1774" s="6">
        <f t="array" ref="F1774">SUMIF('VO_PL(ORIGIN)'!$A$4:$A$100, XLOOKUP($C1774, 'マスタ'!$D$2:$D$318, 'マスタ'!$D$2:$D$318, $C1774), 'VO_PL(ORIGIN)'!J$4:J$100)</f>
        <v>0</v>
      </c>
    </row>
    <row r="1775" ht="15.75" hidden="1" customHeight="1" outlineLevel="1">
      <c r="A1775" s="10"/>
      <c r="B1775" s="10"/>
      <c r="C1775" s="10" t="s">
        <v>113</v>
      </c>
      <c r="F1775" s="6">
        <f t="array" ref="F1775">SUMIF('VO_PL(CANON)'!$A$4:$A$100, XLOOKUP($C1775, 'マスタ'!$D$2:$D$318, 'マスタ'!$D$2:$D$318, $C1775), 'VO_PL(CANON)'!J$4:J$100)</f>
        <v>0</v>
      </c>
    </row>
    <row r="1776" ht="15.75" hidden="1" customHeight="1" outlineLevel="1">
      <c r="A1776" s="10"/>
      <c r="B1776" s="10"/>
      <c r="C1776" s="18"/>
      <c r="D1776" s="18"/>
      <c r="F1776" s="6">
        <f t="array" ref="F1776">SUMIF('VO_PL(ORIGIN)'!$A$4:$A$100, XLOOKUP($C1776, 'マスタ'!$D$2:$D$318, 'マスタ'!$D$2:$D$318, $C1776), 'VO_PL(ORIGIN)'!J$4:J$100)</f>
        <v>0</v>
      </c>
    </row>
    <row r="1777" ht="15.75" customHeight="1" collapsed="1">
      <c r="A1777" s="18"/>
      <c r="B1777" s="18" t="s">
        <v>39</v>
      </c>
      <c r="D1777" s="18"/>
      <c r="F1777" s="6">
        <f t="array" ref="F1777">SUMIF('VO_PL(ORIGIN)'!$A$4:$A$100, XLOOKUP($C1777, 'マスタ'!$D$2:$D$318, 'マスタ'!$D$2:$D$318, $C1777), 'VO_PL(ORIGIN)'!J$4:J$100)</f>
        <v>0</v>
      </c>
    </row>
    <row r="1778" ht="15.75" hidden="1" customHeight="1" outlineLevel="1">
      <c r="A1778" s="18"/>
      <c r="B1778" s="18"/>
      <c r="C1778" s="18" t="s">
        <v>114</v>
      </c>
      <c r="F1778" s="6">
        <f t="array" ref="F1778">SUMIF('VO_PL(CANON)'!$A$4:$A$100, XLOOKUP($C1778, 'マスタ'!$D$2:$D$318, 'マスタ'!$D$2:$D$318, $C1778), 'VO_PL(CANON)'!J$4:J$100)</f>
        <v>0</v>
      </c>
    </row>
    <row r="1779" ht="15.75" hidden="1" customHeight="1" outlineLevel="1">
      <c r="A1779" s="18"/>
      <c r="B1779" s="18"/>
      <c r="C1779" s="10" t="s">
        <v>115</v>
      </c>
      <c r="F1779" s="6">
        <f t="array" ref="F1779">SUMIF('VO_PL(CANON)'!$A$4:$A$100, XLOOKUP($C1779, 'マスタ'!$D$2:$D$318, 'マスタ'!$D$2:$D$318, $C1779), 'VO_PL(CANON)'!J$4:J$100)</f>
        <v>0</v>
      </c>
    </row>
    <row r="1780" ht="15.75" hidden="1" customHeight="1" outlineLevel="1">
      <c r="A1780" s="18"/>
      <c r="B1780" s="18"/>
      <c r="C1780" s="10" t="s">
        <v>116</v>
      </c>
      <c r="F1780" s="6">
        <f t="array" ref="F1780">SUMIF('VO_PL(CANON)'!$A$4:$A$100, XLOOKUP($C1780, 'マスタ'!$D$2:$D$318, 'マスタ'!$D$2:$D$318, $C1780), 'VO_PL(CANON)'!J$4:J$100)</f>
        <v>0</v>
      </c>
    </row>
    <row r="1781" ht="15.75" customHeight="1" collapsed="1">
      <c r="A1781" s="18"/>
      <c r="B1781" s="18" t="s">
        <v>117</v>
      </c>
      <c r="C1781" s="10"/>
      <c r="F1781" s="6">
        <f>F1773+F1774-F1777</f>
        <v>-2272468</v>
      </c>
    </row>
    <row r="1782" ht="15.75" hidden="1" customHeight="1" outlineLevel="1">
      <c r="A1782" s="10"/>
      <c r="B1782" s="10"/>
      <c r="C1782" s="18" t="s">
        <v>43</v>
      </c>
      <c r="D1782" s="10"/>
      <c r="F1782" s="6">
        <f t="array" ref="F1782">SUMIF('VO_PL(CANON)'!$A$4:$A$100, XLOOKUP($C1782, 'マスタ'!$D$2:$D$318, 'マスタ'!$D$2:$D$318, $C1782), 'VO_PL(CANON)'!J$4:J$100)</f>
        <v>0</v>
      </c>
    </row>
    <row r="1783" ht="15.75" hidden="1" customHeight="1" outlineLevel="1">
      <c r="A1783" s="10"/>
      <c r="B1783" s="10"/>
      <c r="C1783" s="18" t="s">
        <v>118</v>
      </c>
      <c r="D1783" s="10"/>
      <c r="F1783" s="6">
        <f t="array" ref="F1783">SUMIF('VO_PL(CANON)'!$A$4:$A$100, XLOOKUP($C1783, 'マスタ'!$D$2:$D$318, 'マスタ'!$D$2:$D$318, $C1783), 'VO_PL(CANON)'!J$4:J$100)</f>
        <v>0</v>
      </c>
    </row>
    <row r="1784" ht="15.75" customHeight="1">
      <c r="A1784" s="18"/>
      <c r="B1784" s="18" t="s">
        <v>119</v>
      </c>
      <c r="C1784" s="10"/>
      <c r="D1784" s="10"/>
      <c r="F1784" s="6">
        <f>F1781-(F1782-F1783)</f>
        <v>-2272468</v>
      </c>
    </row>
    <row r="1785" ht="15.75" customHeight="1">
      <c r="A1785" s="25"/>
      <c r="B1785" s="25"/>
      <c r="C1785" s="26"/>
      <c r="D1785" s="25"/>
      <c r="E1785" s="45"/>
      <c r="F1785" s="26"/>
    </row>
    <row r="1786" ht="15.75" customHeight="1">
      <c r="A1786" s="4"/>
      <c r="B1786" s="4" t="s">
        <v>50</v>
      </c>
      <c r="C1786" s="47" t="s">
        <v>128</v>
      </c>
      <c r="D1786" s="4" t="s">
        <v>27</v>
      </c>
      <c r="F1786" s="10"/>
    </row>
    <row r="1787" ht="15.75" customHeight="1">
      <c r="A1787" s="18"/>
      <c r="B1787" s="18" t="s">
        <v>1</v>
      </c>
      <c r="D1787" s="10"/>
      <c r="F1787" s="41"/>
    </row>
    <row r="1788" ht="15.75" customHeight="1">
      <c r="C1788" s="18" t="s">
        <v>1</v>
      </c>
      <c r="D1788" s="10"/>
      <c r="F1788" s="42">
        <f t="array" ref="F1788">IFERROR(SUMIF('VO_PL(共通)'!$A$4:$A$100, XLOOKUP($C1788, 'マスタ'!$D$2:$D$318, 'マスタ'!$D$2:$D$318, $C1788), 'VO_PL(共通)'!J$4:J$100), 0)</f>
        <v>195496</v>
      </c>
    </row>
    <row r="1789" ht="15.75" customHeight="1">
      <c r="A1789" s="18"/>
      <c r="B1789" s="18" t="s">
        <v>67</v>
      </c>
      <c r="C1789" s="10"/>
      <c r="D1789" s="10"/>
      <c r="F1789" s="42">
        <f>F1788</f>
        <v>195496</v>
      </c>
    </row>
    <row r="1790" ht="15.75" customHeight="1">
      <c r="A1790" s="18"/>
      <c r="B1790" s="18" t="s">
        <v>28</v>
      </c>
      <c r="C1790" s="10"/>
      <c r="D1790" s="10"/>
      <c r="F1790" s="42"/>
    </row>
    <row r="1791" ht="15.75" customHeight="1">
      <c r="A1791" s="10"/>
      <c r="B1791" s="10"/>
      <c r="C1791" s="18" t="s">
        <v>68</v>
      </c>
      <c r="D1791" s="10"/>
      <c r="F1791" s="42">
        <f t="array" ref="F1791">IFERROR(SUMIF('VO_PL(共通)'!$A$4:$A$100, XLOOKUP($C1791, 'マスタ'!$D$2:$D$318, 'マスタ'!$D$2:$D$318, $C1791), 'VO_PL(共通)'!J$4:J$100), 0)</f>
        <v>0</v>
      </c>
    </row>
    <row r="1792" ht="15.75" customHeight="1">
      <c r="A1792" s="10"/>
      <c r="B1792" s="10"/>
      <c r="C1792" s="18" t="s">
        <v>69</v>
      </c>
      <c r="D1792" s="10"/>
      <c r="F1792" s="42">
        <f t="array" ref="F1792">IFERROR(SUMIF('VO_PL(共通)'!$A$4:$A$100, XLOOKUP($C1792, 'マスタ'!$D$2:$D$318, 'マスタ'!$D$2:$D$318, $C1792), 'VO_PL(共通)'!J$4:J$100), 0)</f>
        <v>56777489</v>
      </c>
    </row>
    <row r="1793" ht="15.75" customHeight="1">
      <c r="A1793" s="10"/>
      <c r="B1793" s="10"/>
      <c r="C1793" s="27" t="s">
        <v>70</v>
      </c>
      <c r="D1793" s="10"/>
      <c r="F1793" s="42">
        <f t="array" ref="F1793">IFERROR(SUMIF('VO_PL(共通)'!$A$4:$A$100, XLOOKUP($C1793, 'マスタ'!$D$2:$D$318, 'マスタ'!$D$2:$D$318, $C1793), 'VO_PL(共通)'!J$4:J$100), 0)</f>
        <v>0</v>
      </c>
    </row>
    <row r="1794" ht="15.75" customHeight="1">
      <c r="A1794" s="10"/>
      <c r="B1794" s="10"/>
      <c r="C1794" s="18" t="s">
        <v>71</v>
      </c>
      <c r="D1794" s="10"/>
      <c r="F1794" s="42">
        <f t="array" ref="F1794">IFERROR(SUMIF('VO_PL(共通)'!$A$4:$A$100, XLOOKUP($C1794, 'マスタ'!$D$2:$D$318, 'マスタ'!$D$2:$D$318, $C1794), 'VO_PL(共通)'!J$4:J$100), 0)</f>
        <v>0</v>
      </c>
    </row>
    <row r="1795" ht="15.75" customHeight="1">
      <c r="A1795" s="18"/>
      <c r="B1795" s="18" t="s">
        <v>28</v>
      </c>
      <c r="C1795" s="10"/>
      <c r="D1795" s="10"/>
      <c r="F1795" s="43">
        <f>F1792-F1794</f>
        <v>56777489</v>
      </c>
    </row>
    <row r="1796" ht="15.75" customHeight="1">
      <c r="A1796" s="18"/>
      <c r="B1796" s="18" t="s">
        <v>5</v>
      </c>
      <c r="C1796" s="10"/>
      <c r="D1796" s="10"/>
      <c r="F1796" s="43">
        <f>F1789-F1795</f>
        <v>-56581993</v>
      </c>
    </row>
    <row r="1797" ht="15.75" customHeight="1">
      <c r="A1797" s="18"/>
      <c r="B1797" s="18" t="s">
        <v>29</v>
      </c>
      <c r="C1797" s="10"/>
      <c r="D1797" s="10"/>
      <c r="F1797" s="20"/>
    </row>
    <row r="1798" ht="15.75" customHeight="1">
      <c r="A1798" s="10"/>
      <c r="B1798" s="10"/>
      <c r="C1798" s="18" t="s">
        <v>72</v>
      </c>
      <c r="D1798" s="10"/>
      <c r="F1798" s="6">
        <f t="array" ref="F1798">IFERROR(SUMIF('VO_PL(共通)'!$A$4:$A$100, XLOOKUP($C1799, 'マスタ'!$D$2:$D$318, 'マスタ'!$D$2:$D$318, $C1799), 'VO_PL(共通)'!J$4:J$100), 0)</f>
        <v>9286900</v>
      </c>
    </row>
    <row r="1799" ht="15.75" customHeight="1">
      <c r="A1799" s="10"/>
      <c r="B1799" s="10"/>
      <c r="C1799" s="18" t="s">
        <v>73</v>
      </c>
      <c r="D1799" s="10"/>
      <c r="F1799" s="6">
        <f t="array" ref="F1799">IFERROR(SUMIF('VO_PL(共通)'!$A$4:$A$100, XLOOKUP($C1800, 'マスタ'!$D$2:$D$318, 'マスタ'!$D$2:$D$318, $C1800), 'VO_PL(共通)'!J$4:J$100), 0)</f>
        <v>966320</v>
      </c>
    </row>
    <row r="1800" ht="15.75" customHeight="1">
      <c r="A1800" s="10"/>
      <c r="B1800" s="10"/>
      <c r="C1800" s="18" t="s">
        <v>74</v>
      </c>
      <c r="D1800" s="10"/>
      <c r="F1800" s="6">
        <f t="array" ref="F1800">IFERROR(SUMIF('VO_PL(共通)'!$A$4:$A$100, XLOOKUP($C1801, 'マスタ'!$D$2:$D$318, 'マスタ'!$D$2:$D$318, $C1801), 'VO_PL(共通)'!J$4:J$100), 0)</f>
        <v>432775</v>
      </c>
    </row>
    <row r="1801" ht="15.75" customHeight="1">
      <c r="A1801" s="10"/>
      <c r="B1801" s="10"/>
      <c r="C1801" s="18" t="s">
        <v>75</v>
      </c>
      <c r="D1801" s="10"/>
      <c r="F1801" s="6">
        <f t="array" ref="F1801">IFERROR(SUMIF('VO_PL(共通)'!$A$4:$A$100, XLOOKUP($C1802, 'マスタ'!$D$2:$D$318, 'マスタ'!$D$2:$D$318, $C1802), 'VO_PL(共通)'!J$4:J$100), 0)</f>
        <v>0</v>
      </c>
    </row>
    <row r="1802" ht="15.75" customHeight="1">
      <c r="A1802" s="10"/>
      <c r="B1802" s="10"/>
      <c r="C1802" s="18" t="s">
        <v>76</v>
      </c>
      <c r="D1802" s="10"/>
      <c r="F1802" s="6">
        <f t="array" ref="F1802">IFERROR(SUMIF('VO_PL(共通)'!$A$4:$A$100, XLOOKUP($C1803, 'マスタ'!$D$2:$D$318, 'マスタ'!$D$2:$D$318, $C1803), 'VO_PL(共通)'!J$4:J$100), 0)</f>
        <v>72000</v>
      </c>
    </row>
    <row r="1803" ht="15.75" customHeight="1">
      <c r="A1803" s="10"/>
      <c r="B1803" s="10"/>
      <c r="C1803" s="18" t="s">
        <v>77</v>
      </c>
      <c r="D1803" s="10"/>
      <c r="F1803" s="6">
        <f t="array" ref="F1803">IFERROR(SUMIF('VO_PL(共通)'!$A$4:$A$100, XLOOKUP($C1804, 'マスタ'!$D$2:$D$318, 'マスタ'!$D$2:$D$318, $C1804), 'VO_PL(共通)'!J$4:J$100), 0)</f>
        <v>10327403</v>
      </c>
    </row>
    <row r="1804" ht="15.75" customHeight="1">
      <c r="A1804" s="10"/>
      <c r="B1804" s="10"/>
      <c r="C1804" s="18" t="s">
        <v>78</v>
      </c>
      <c r="D1804" s="10"/>
      <c r="F1804" s="6">
        <f t="array" ref="F1804">IFERROR(SUMIF('VO_PL(共通)'!$A$4:$A$100, XLOOKUP($C1805, 'マスタ'!$D$2:$D$318, 'マスタ'!$D$2:$D$318, $C1805), 'VO_PL(共通)'!J$4:J$100), 0)</f>
        <v>0</v>
      </c>
    </row>
    <row r="1805" ht="15.75" customHeight="1">
      <c r="A1805" s="10"/>
      <c r="B1805" s="10"/>
      <c r="C1805" s="18" t="s">
        <v>79</v>
      </c>
      <c r="D1805" s="10"/>
      <c r="F1805" s="6">
        <f t="array" ref="F1805">IFERROR(SUMIF('VO_PL(共通)'!$A$4:$A$100, XLOOKUP($C1806, 'マスタ'!$D$2:$D$318, 'マスタ'!$D$2:$D$318, $C1806), 'VO_PL(共通)'!J$4:J$100), 0)</f>
        <v>7070</v>
      </c>
    </row>
    <row r="1806" ht="15.75" customHeight="1">
      <c r="A1806" s="10"/>
      <c r="B1806" s="10"/>
      <c r="C1806" s="18" t="s">
        <v>80</v>
      </c>
      <c r="D1806" s="10"/>
      <c r="F1806" s="6">
        <f t="array" ref="F1806">IFERROR(SUMIF('VO_PL(共通)'!$A$4:$A$100, XLOOKUP($C1807, 'マスタ'!$D$2:$D$318, 'マスタ'!$D$2:$D$318, $C1807), 'VO_PL(共通)'!J$4:J$100), 0)</f>
        <v>213775</v>
      </c>
    </row>
    <row r="1807" ht="15.75" customHeight="1">
      <c r="A1807" s="10"/>
      <c r="B1807" s="10"/>
      <c r="C1807" s="18" t="s">
        <v>81</v>
      </c>
      <c r="D1807" s="10"/>
      <c r="F1807" s="6">
        <f t="array" ref="F1807">IFERROR(SUMIF('VO_PL(共通)'!$A$4:$A$100, XLOOKUP($C1808, 'マスタ'!$D$2:$D$318, 'マスタ'!$D$2:$D$318, $C1808), 'VO_PL(共通)'!J$4:J$100), 0)</f>
        <v>61840</v>
      </c>
    </row>
    <row r="1808" ht="15.75" customHeight="1">
      <c r="A1808" s="10"/>
      <c r="B1808" s="10"/>
      <c r="C1808" s="18" t="s">
        <v>82</v>
      </c>
      <c r="D1808" s="10"/>
      <c r="F1808" s="6">
        <f t="array" ref="F1808">IFERROR(SUMIF('VO_PL(共通)'!$A$4:$A$100, XLOOKUP($C1809, 'マスタ'!$D$2:$D$318, 'マスタ'!$D$2:$D$318, $C1809), 'VO_PL(共通)'!J$4:J$100), 0)</f>
        <v>136176</v>
      </c>
    </row>
    <row r="1809" ht="15.75" customHeight="1">
      <c r="A1809" s="10"/>
      <c r="B1809" s="10"/>
      <c r="C1809" s="18" t="s">
        <v>83</v>
      </c>
      <c r="D1809" s="10"/>
      <c r="F1809" s="6">
        <f t="array" ref="F1809">IFERROR(SUMIF('VO_PL(共通)'!$A$4:$A$100, XLOOKUP($C1810, 'マスタ'!$D$2:$D$318, 'マスタ'!$D$2:$D$318, $C1810), 'VO_PL(共通)'!J$4:J$100), 0)</f>
        <v>2881969</v>
      </c>
    </row>
    <row r="1810" ht="15.75" customHeight="1">
      <c r="A1810" s="10"/>
      <c r="B1810" s="10"/>
      <c r="C1810" s="18" t="s">
        <v>84</v>
      </c>
      <c r="D1810" s="10"/>
      <c r="F1810" s="6">
        <f t="array" ref="F1810">IFERROR(SUMIF('VO_PL(共通)'!$A$4:$A$100, XLOOKUP($C1811, 'マスタ'!$D$2:$D$318, 'マスタ'!$D$2:$D$318, $C1811), 'VO_PL(共通)'!J$4:J$100), 0)</f>
        <v>0</v>
      </c>
    </row>
    <row r="1811" ht="15.75" customHeight="1">
      <c r="A1811" s="10"/>
      <c r="B1811" s="10"/>
      <c r="C1811" s="18" t="s">
        <v>85</v>
      </c>
      <c r="D1811" s="10"/>
      <c r="F1811" s="6">
        <f t="array" ref="F1811">IFERROR(SUMIF('VO_PL(共通)'!$A$4:$A$100, XLOOKUP($C1812, 'マスタ'!$D$2:$D$318, 'マスタ'!$D$2:$D$318, $C1812), 'VO_PL(共通)'!J$4:J$100), 0)</f>
        <v>353434</v>
      </c>
    </row>
    <row r="1812" ht="15.75" customHeight="1">
      <c r="A1812" s="10"/>
      <c r="B1812" s="10"/>
      <c r="C1812" s="18" t="s">
        <v>86</v>
      </c>
      <c r="D1812" s="10"/>
      <c r="F1812" s="6">
        <f t="array" ref="F1812">IFERROR(SUMIF('VO_PL(共通)'!$A$4:$A$100, XLOOKUP($C1813, 'マスタ'!$D$2:$D$318, 'マスタ'!$D$2:$D$318, $C1813), 'VO_PL(共通)'!J$4:J$100), 0)</f>
        <v>9547760</v>
      </c>
    </row>
    <row r="1813" ht="15.75" customHeight="1">
      <c r="A1813" s="10"/>
      <c r="B1813" s="10"/>
      <c r="C1813" s="18" t="s">
        <v>87</v>
      </c>
      <c r="D1813" s="10"/>
      <c r="F1813" s="6">
        <f t="array" ref="F1813">IFERROR(SUMIF('VO_PL(共通)'!$A$4:$A$100, XLOOKUP($C1814, 'マスタ'!$D$2:$D$318, 'マスタ'!$D$2:$D$318, $C1814), 'VO_PL(共通)'!J$4:J$100), 0)</f>
        <v>0</v>
      </c>
    </row>
    <row r="1814" ht="15.75" customHeight="1">
      <c r="A1814" s="10"/>
      <c r="B1814" s="10"/>
      <c r="C1814" s="18" t="s">
        <v>88</v>
      </c>
      <c r="D1814" s="10"/>
      <c r="F1814" s="6">
        <f t="array" ref="F1814">IFERROR(SUMIF('VO_PL(共通)'!$A$4:$A$100, XLOOKUP($C1815, 'マスタ'!$D$2:$D$318, 'マスタ'!$D$2:$D$318, $C1815), 'VO_PL(共通)'!J$4:J$100), 0)</f>
        <v>0</v>
      </c>
    </row>
    <row r="1815" ht="15.75" customHeight="1">
      <c r="A1815" s="10"/>
      <c r="B1815" s="10"/>
      <c r="C1815" s="18" t="s">
        <v>89</v>
      </c>
      <c r="D1815" s="10"/>
      <c r="F1815" s="6">
        <f t="array" ref="F1815">IFERROR(SUMIF('VO_PL(共通)'!$A$4:$A$100, XLOOKUP($C1816, 'マスタ'!$D$2:$D$318, 'マスタ'!$D$2:$D$318, $C1816), 'VO_PL(共通)'!J$4:J$100), 0)</f>
        <v>10719</v>
      </c>
    </row>
    <row r="1816" ht="15.75" customHeight="1">
      <c r="A1816" s="10"/>
      <c r="B1816" s="10"/>
      <c r="C1816" s="18" t="s">
        <v>90</v>
      </c>
      <c r="D1816" s="10"/>
      <c r="F1816" s="6">
        <f t="array" ref="F1816">IFERROR(SUMIF('VO_PL(共通)'!$A$4:$A$100, XLOOKUP($C1817, 'マスタ'!$D$2:$D$318, 'マスタ'!$D$2:$D$318, $C1817), 'VO_PL(共通)'!J$4:J$100), 0)</f>
        <v>7793</v>
      </c>
    </row>
    <row r="1817" ht="15.75" customHeight="1">
      <c r="A1817" s="10"/>
      <c r="B1817" s="10"/>
      <c r="C1817" s="18" t="s">
        <v>91</v>
      </c>
      <c r="D1817" s="10"/>
      <c r="F1817" s="6">
        <f t="array" ref="F1817">IFERROR(SUMIF('VO_PL(共通)'!$A$4:$A$100, XLOOKUP($C1818, 'マスタ'!$D$2:$D$318, 'マスタ'!$D$2:$D$318, $C1818), 'VO_PL(共通)'!J$4:J$100), 0)</f>
        <v>2527153</v>
      </c>
    </row>
    <row r="1818" ht="15.75" customHeight="1">
      <c r="A1818" s="10"/>
      <c r="B1818" s="10"/>
      <c r="C1818" s="18" t="s">
        <v>92</v>
      </c>
      <c r="D1818" s="10"/>
      <c r="F1818" s="6">
        <f t="array" ref="F1818">IFERROR(SUMIF('VO_PL(共通)'!$A$4:$A$100, XLOOKUP($C1819, 'マスタ'!$D$2:$D$318, 'マスタ'!$D$2:$D$318, $C1819), 'VO_PL(共通)'!J$4:J$100), 0)</f>
        <v>580000</v>
      </c>
    </row>
    <row r="1819" ht="15.75" customHeight="1">
      <c r="A1819" s="10"/>
      <c r="B1819" s="10"/>
      <c r="C1819" s="18" t="s">
        <v>93</v>
      </c>
      <c r="D1819" s="10"/>
      <c r="F1819" s="6">
        <f t="array" ref="F1819">IFERROR(SUMIF('VO_PL(共通)'!$A$4:$A$100, XLOOKUP($C1820, 'マスタ'!$D$2:$D$318, 'マスタ'!$D$2:$D$318, $C1820), 'VO_PL(共通)'!J$4:J$100), 0)</f>
        <v>0</v>
      </c>
    </row>
    <row r="1820" ht="15.75" customHeight="1">
      <c r="A1820" s="10"/>
      <c r="B1820" s="10"/>
      <c r="C1820" s="18" t="s">
        <v>94</v>
      </c>
      <c r="D1820" s="10"/>
      <c r="F1820" s="6">
        <f t="array" ref="F1820">IFERROR(SUMIF('VO_PL(共通)'!$A$4:$A$100, XLOOKUP($C1821, 'マスタ'!$D$2:$D$318, 'マスタ'!$D$2:$D$318, $C1821), 'VO_PL(共通)'!J$4:J$100), 0)</f>
        <v>1604637</v>
      </c>
    </row>
    <row r="1821" ht="15.75" customHeight="1">
      <c r="A1821" s="10"/>
      <c r="B1821" s="10"/>
      <c r="C1821" s="18" t="s">
        <v>95</v>
      </c>
      <c r="D1821" s="10"/>
      <c r="F1821" s="6">
        <f t="array" ref="F1821">IFERROR(SUMIF('VO_PL(共通)'!$A$4:$A$100, XLOOKUP($C1822, 'マスタ'!$D$2:$D$318, 'マスタ'!$D$2:$D$318, $C1822), 'VO_PL(共通)'!J$4:J$100), 0)</f>
        <v>0</v>
      </c>
    </row>
    <row r="1822" ht="15.75" customHeight="1">
      <c r="A1822" s="10"/>
      <c r="B1822" s="10"/>
      <c r="C1822" s="18" t="s">
        <v>96</v>
      </c>
      <c r="D1822" s="10"/>
      <c r="F1822" s="6">
        <f t="array" ref="F1822">IFERROR(SUMIF('VO_PL(共通)'!$A$4:$A$100, XLOOKUP($C1824, 'マスタ'!$D$2:$D$318, 'マスタ'!$D$2:$D$318, $C1824), 'VO_PL(共通)'!J$4:J$100), 0)</f>
        <v>0</v>
      </c>
    </row>
    <row r="1823" ht="15.75" customHeight="1">
      <c r="A1823" s="10"/>
      <c r="B1823" s="10"/>
      <c r="C1823" s="18" t="s">
        <v>177</v>
      </c>
      <c r="D1823" s="10"/>
      <c r="F1823" s="6">
        <f t="array" ref="F1823">IFERROR(SUMIF('VO_PL(共通)'!$A$4:$A$100, XLOOKUP($C1827, 'マスタ'!$D$2:$D$318, 'マスタ'!$D$2:$D$318, $C1827), 'VO_PL(共通)'!J$4:J$100), 0)</f>
        <v>0</v>
      </c>
    </row>
    <row r="1824" ht="15.75" customHeight="1">
      <c r="A1824" s="10"/>
      <c r="B1824" s="10"/>
      <c r="C1824" s="18" t="s">
        <v>97</v>
      </c>
      <c r="D1824" s="10"/>
      <c r="F1824" s="6">
        <f t="array" ref="F1824">IFERROR(SUMIF('VO_PL(共通)'!$A$4:$A$100, XLOOKUP($C1827, 'マスタ'!$D$2:$D$318, 'マスタ'!$D$2:$D$318, $C1827), 'VO_PL(共通)'!J$4:J$100), 0)</f>
        <v>0</v>
      </c>
    </row>
    <row r="1825" ht="15.75" customHeight="1">
      <c r="A1825" s="10"/>
      <c r="B1825" s="10"/>
      <c r="C1825" s="18" t="s">
        <v>178</v>
      </c>
      <c r="D1825" s="10"/>
      <c r="F1825" s="6">
        <f t="array" ref="F1825">IFERROR(SUMIF('VO_PL(共通)'!$A$4:$A$100, XLOOKUP($C1825, 'マスタ'!$D$2:$D$318, 'マスタ'!$D$2:$D$318, $C1825), 'VO_PL(共通)'!J$4:J$100), 0)</f>
        <v>367893</v>
      </c>
    </row>
    <row r="1826" ht="15.75" customHeight="1">
      <c r="A1826" s="10"/>
      <c r="B1826" s="10"/>
      <c r="C1826" s="18" t="s">
        <v>179</v>
      </c>
      <c r="D1826" s="10"/>
      <c r="F1826" s="6">
        <f t="array" ref="F1826">IFERROR(SUMIF('VO_PL(共通)'!$A$4:$A$100, XLOOKUP($C1828, 'マスタ'!$D$2:$D$318, 'マスタ'!$D$2:$D$318, $C1828), 'VO_PL(共通)'!J$4:J$100), 0)</f>
        <v>0</v>
      </c>
    </row>
    <row r="1827" ht="15.75" customHeight="1">
      <c r="A1827" s="10"/>
      <c r="B1827" s="10"/>
      <c r="C1827" s="18" t="s">
        <v>98</v>
      </c>
      <c r="D1827" s="10"/>
      <c r="F1827" s="6">
        <f t="array" ref="F1827">IFERROR(SUMIF('VO_PL(共通)'!$A$4:$A$100, XLOOKUP($C1828, 'マスタ'!$D$2:$D$318, 'マスタ'!$D$2:$D$318, $C1828), 'VO_PL(共通)'!J$4:J$100), 0)</f>
        <v>0</v>
      </c>
    </row>
    <row r="1828" ht="15.75" customHeight="1">
      <c r="A1828" s="10"/>
      <c r="B1828" s="10"/>
      <c r="C1828" s="18" t="s">
        <v>99</v>
      </c>
      <c r="D1828" s="10"/>
      <c r="F1828" s="6">
        <f t="array" ref="F1828">IFERROR(SUMIF('VO_PL(共通)'!$A$4:$A$100, XLOOKUP($C1829, 'マスタ'!$D$2:$D$318, 'マスタ'!$D$2:$D$318, $C1829), 'VO_PL(共通)'!J$4:J$100), 0)</f>
        <v>0</v>
      </c>
    </row>
    <row r="1829" ht="15.75" customHeight="1">
      <c r="A1829" s="10"/>
      <c r="B1829" s="10"/>
      <c r="C1829" s="18" t="s">
        <v>100</v>
      </c>
      <c r="D1829" s="10"/>
      <c r="F1829" s="6">
        <f t="array" ref="F1829">IFERROR(SUMIF('VO_PL(共通)'!$A$4:$A$100, XLOOKUP($C1830, 'マスタ'!$D$2:$D$318, 'マスタ'!$D$2:$D$318, $C1830), 'VO_PL(共通)'!J$4:J$100), 0)</f>
        <v>0</v>
      </c>
    </row>
    <row r="1830" ht="15.75" customHeight="1">
      <c r="A1830" s="10"/>
      <c r="B1830" s="10"/>
      <c r="C1830" s="18" t="s">
        <v>101</v>
      </c>
      <c r="D1830" s="10"/>
      <c r="F1830" s="6">
        <f t="array" ref="F1830">IFERROR(SUMIF('VO_PL(共通)'!$A$4:$A$100, XLOOKUP($C1831, 'マスタ'!$D$2:$D$318, 'マスタ'!$D$2:$D$318, $C1831), 'VO_PL(共通)'!J$4:J$100), 0)</f>
        <v>0</v>
      </c>
    </row>
    <row r="1831" ht="15.75" customHeight="1">
      <c r="A1831" s="18"/>
      <c r="B1831" s="18" t="s">
        <v>102</v>
      </c>
      <c r="C1831" s="10"/>
      <c r="D1831" s="10"/>
      <c r="F1831" s="6">
        <f>SUM(F1798:F1830)</f>
        <v>39385617</v>
      </c>
    </row>
    <row r="1832" ht="15.75" customHeight="1">
      <c r="A1832" s="18"/>
      <c r="B1832" s="18" t="s">
        <v>31</v>
      </c>
      <c r="C1832" s="10"/>
      <c r="D1832" s="10"/>
      <c r="F1832" s="6">
        <f>F1796-F1831</f>
        <v>-95967610</v>
      </c>
    </row>
    <row r="1833" ht="15.75" customHeight="1">
      <c r="A1833" s="18"/>
      <c r="B1833" s="18" t="s">
        <v>32</v>
      </c>
      <c r="C1833" s="18"/>
      <c r="D1833" s="10"/>
      <c r="F1833" s="6">
        <f>SUM(F1834:F1839)</f>
        <v>94903</v>
      </c>
    </row>
    <row r="1834" ht="15.75" customHeight="1">
      <c r="A1834" s="10"/>
      <c r="B1834" s="10"/>
      <c r="C1834" s="18" t="s">
        <v>103</v>
      </c>
      <c r="D1834" s="10"/>
      <c r="F1834" s="6">
        <f t="array" ref="F1834">IFERROR(SUMIF('VO_PL(共通)'!$A$4:$A$100, XLOOKUP($C1834, 'マスタ'!$D$2:$D$318, 'マスタ'!$D$2:$D$318, $C1834), 'VO_PL(共通)'!J$4:J$100), 0)</f>
        <v>24774</v>
      </c>
    </row>
    <row r="1835" ht="15.75" customHeight="1">
      <c r="A1835" s="10"/>
      <c r="B1835" s="10"/>
      <c r="C1835" s="10" t="s">
        <v>104</v>
      </c>
      <c r="D1835" s="10"/>
      <c r="F1835" s="6">
        <f t="array" ref="F1835">IFERROR(SUMIF('VO_PL(共通)'!$A$4:$A$100, XLOOKUP($C1835, 'マスタ'!$D$2:$D$318, 'マスタ'!$D$2:$D$318, $C1835), 'VO_PL(共通)'!J$4:J$100), 0)</f>
        <v>0</v>
      </c>
    </row>
    <row r="1836" ht="15.75" customHeight="1">
      <c r="A1836" s="10"/>
      <c r="B1836" s="10"/>
      <c r="C1836" s="18" t="s">
        <v>105</v>
      </c>
      <c r="D1836" s="10"/>
      <c r="F1836" s="6">
        <f t="array" ref="F1836">IFERROR(SUMIF('VO_PL(共通)'!$A$4:$A$100, XLOOKUP($C1836, 'マスタ'!$D$2:$D$318, 'マスタ'!$D$2:$D$318, $C1836), 'VO_PL(共通)'!J$4:J$100), 0)</f>
        <v>0</v>
      </c>
    </row>
    <row r="1837" ht="15.75" customHeight="1">
      <c r="A1837" s="10"/>
      <c r="B1837" s="10"/>
      <c r="C1837" s="10" t="s">
        <v>106</v>
      </c>
      <c r="D1837" s="10"/>
      <c r="F1837" s="6">
        <f t="array" ref="F1837">IFERROR(SUMIF('VO_PL(共通)'!$A$4:$A$100, XLOOKUP($C1837, 'マスタ'!$D$2:$D$318, 'マスタ'!$D$2:$D$318, $C1837), 'VO_PL(共通)'!J$4:J$100), 0)</f>
        <v>0</v>
      </c>
    </row>
    <row r="1838" ht="15.75" customHeight="1">
      <c r="A1838" s="10"/>
      <c r="B1838" s="10"/>
      <c r="C1838" s="18" t="s">
        <v>107</v>
      </c>
      <c r="D1838" s="10"/>
      <c r="F1838" s="6">
        <f t="array" ref="F1838">IFERROR(SUMIF('VO_PL(共通)'!$A$4:$A$100, XLOOKUP($C1838, 'マスタ'!$D$2:$D$318, 'マスタ'!$D$2:$D$318, $C1838), 'VO_PL(共通)'!J$4:J$100), 0)</f>
        <v>0</v>
      </c>
    </row>
    <row r="1839" ht="15.75" customHeight="1">
      <c r="A1839" s="10"/>
      <c r="B1839" s="10"/>
      <c r="C1839" s="18" t="s">
        <v>108</v>
      </c>
      <c r="D1839" s="10"/>
      <c r="E1839" s="44"/>
      <c r="F1839" s="6">
        <f t="array" ref="F1839">IFERROR(SUMIF('VO_PL(共通)'!$A$4:$A$100, XLOOKUP($C1839, 'マスタ'!$D$2:$D$318, 'マスタ'!$D$2:$D$318, $C1839), 'VO_PL(共通)'!J$4:J$100), 0)</f>
        <v>70129</v>
      </c>
    </row>
    <row r="1840" ht="15.75" customHeight="1">
      <c r="A1840" s="18"/>
      <c r="B1840" s="18" t="s">
        <v>34</v>
      </c>
      <c r="C1840" s="18"/>
      <c r="D1840" s="10"/>
      <c r="F1840" s="6">
        <f>SUM(F1841:F1843)</f>
        <v>139716</v>
      </c>
    </row>
    <row r="1841" ht="15.75" customHeight="1">
      <c r="A1841" s="10"/>
      <c r="B1841" s="10"/>
      <c r="C1841" s="18" t="s">
        <v>109</v>
      </c>
      <c r="D1841" s="10"/>
      <c r="F1841" s="6">
        <f t="array" ref="F1841">IFERROR(SUMIF('VO_PL(共通)'!$A$4:$A$100, XLOOKUP($C1841, 'マスタ'!$D$2:$D$318, 'マスタ'!$D$2:$D$318, $C1841), 'VO_PL(共通)'!J$4:J$100), 0)</f>
        <v>139716</v>
      </c>
    </row>
    <row r="1842" ht="15.75" customHeight="1">
      <c r="A1842" s="10"/>
      <c r="B1842" s="10"/>
      <c r="C1842" s="18" t="s">
        <v>110</v>
      </c>
      <c r="D1842" s="10"/>
      <c r="F1842" s="6">
        <f t="array" ref="F1842">IFERROR(SUMIF('VO_PL(共通)'!$A$4:$A$100, XLOOKUP($C1842, 'マスタ'!$D$2:$D$318, 'マスタ'!$D$2:$D$318, $C1842), 'VO_PL(共通)'!J$4:J$100), 0)</f>
        <v>0</v>
      </c>
    </row>
    <row r="1843" ht="15.75" customHeight="1">
      <c r="A1843" s="10"/>
      <c r="B1843" s="10"/>
      <c r="C1843" s="18" t="s">
        <v>111</v>
      </c>
      <c r="D1843" s="10"/>
      <c r="F1843" s="6">
        <f t="array" ref="F1843">IFERROR(SUMIF('VO_PL(共通)'!$A$4:$A$100, XLOOKUP($C1843, 'マスタ'!$D$2:$D$318, 'マスタ'!$D$2:$D$318, $C1843), 'VO_PL(共通)'!J$4:J$100), 0)</f>
        <v>0</v>
      </c>
    </row>
    <row r="1844" ht="15.75" customHeight="1">
      <c r="A1844" s="18"/>
      <c r="B1844" s="18" t="s">
        <v>112</v>
      </c>
      <c r="C1844" s="10"/>
      <c r="D1844" s="10"/>
      <c r="F1844" s="6">
        <f>F1832+F1833-F1840</f>
        <v>-96012423</v>
      </c>
    </row>
    <row r="1845" ht="15.75" customHeight="1">
      <c r="A1845" s="18"/>
      <c r="B1845" s="18" t="s">
        <v>37</v>
      </c>
      <c r="D1845" s="10"/>
      <c r="F1845" s="6">
        <f t="array" ref="F1845">SUMIF('VO_PL(ORIGIN)'!$A$4:$A$100, XLOOKUP($C1845, 'マスタ'!$D$2:$D$318, 'マスタ'!$D$2:$D$318, $C1845), 'VO_PL(ORIGIN)'!J$4:J$100)</f>
        <v>0</v>
      </c>
    </row>
    <row r="1846" ht="15.75" customHeight="1">
      <c r="A1846" s="10"/>
      <c r="B1846" s="10"/>
      <c r="C1846" s="10" t="s">
        <v>113</v>
      </c>
      <c r="F1846" s="6">
        <f t="array" ref="F1846">IFERROR(SUMIF('VO_PL(共通)'!$A$4:$A$100, XLOOKUP($C1846, 'マスタ'!$D$2:$D$318, 'マスタ'!$D$2:$D$318, $C1846), 'VO_PL(共通)'!J$4:J$100), 0)</f>
        <v>0</v>
      </c>
    </row>
    <row r="1847" ht="15.75" customHeight="1">
      <c r="A1847" s="10"/>
      <c r="B1847" s="10"/>
      <c r="C1847" s="18"/>
      <c r="D1847" s="18"/>
      <c r="F1847" s="6">
        <f t="array" ref="F1847">SUMIF('VO_PL(ORIGIN)'!$A$4:$A$100, XLOOKUP($C1847, 'マスタ'!$D$2:$D$318, 'マスタ'!$D$2:$D$318, $C1847), 'VO_PL(ORIGIN)'!J$4:J$100)</f>
        <v>0</v>
      </c>
    </row>
    <row r="1848" ht="15.75" customHeight="1">
      <c r="A1848" s="18"/>
      <c r="B1848" s="18" t="s">
        <v>39</v>
      </c>
      <c r="D1848" s="18"/>
      <c r="F1848" s="6">
        <f t="array" ref="F1848">SUMIF('VO_PL(ORIGIN)'!$A$4:$A$100, XLOOKUP($C1848, 'マスタ'!$D$2:$D$318, 'マスタ'!$D$2:$D$318, $C1848), 'VO_PL(ORIGIN)'!J$4:J$100)</f>
        <v>0</v>
      </c>
    </row>
    <row r="1849" ht="15.75" customHeight="1">
      <c r="A1849" s="18"/>
      <c r="B1849" s="18"/>
      <c r="C1849" s="18" t="s">
        <v>114</v>
      </c>
      <c r="F1849" s="6">
        <f t="array" ref="F1849">IFERROR(SUMIF('VO_PL(共通)'!$A$4:$A$100, XLOOKUP($C1849, 'マスタ'!$D$2:$D$318, 'マスタ'!$D$2:$D$318, $C1849), 'VO_PL(共通)'!J$4:J$100), 0)</f>
        <v>0</v>
      </c>
    </row>
    <row r="1850" ht="15.75" customHeight="1">
      <c r="A1850" s="18"/>
      <c r="B1850" s="18"/>
      <c r="C1850" s="10" t="s">
        <v>115</v>
      </c>
      <c r="F1850" s="6">
        <f t="array" ref="F1850">IFERROR(SUMIF('VO_PL(共通)'!$A$4:$A$100, XLOOKUP($C1850, 'マスタ'!$D$2:$D$318, 'マスタ'!$D$2:$D$318, $C1850), 'VO_PL(共通)'!J$4:J$100), 0)</f>
        <v>0</v>
      </c>
    </row>
    <row r="1851" ht="15.75" customHeight="1">
      <c r="A1851" s="18"/>
      <c r="B1851" s="18"/>
      <c r="C1851" s="10" t="s">
        <v>116</v>
      </c>
      <c r="F1851" s="6">
        <f t="array" ref="F1851">IFERROR(SUMIF('VO_PL(共通)'!$A$4:$A$100, XLOOKUP($C1851, 'マスタ'!$D$2:$D$318, 'マスタ'!$D$2:$D$318, $C1851), 'VO_PL(共通)'!J$4:J$100), 0)</f>
        <v>0</v>
      </c>
    </row>
    <row r="1852" ht="15.75" customHeight="1">
      <c r="A1852" s="18"/>
      <c r="B1852" s="18" t="s">
        <v>117</v>
      </c>
      <c r="C1852" s="10"/>
      <c r="F1852" s="6">
        <f>F1844+F1845-F1848</f>
        <v>-96012423</v>
      </c>
    </row>
    <row r="1853" ht="15.75" customHeight="1">
      <c r="A1853" s="10"/>
      <c r="B1853" s="10"/>
      <c r="C1853" s="18" t="s">
        <v>43</v>
      </c>
      <c r="D1853" s="10"/>
      <c r="F1853" s="6">
        <f t="array" ref="F1853">IFERROR(SUMIF('VO_PL(共通)'!$A$4:$A$100, XLOOKUP($C1853, 'マスタ'!$D$2:$D$318, 'マスタ'!$D$2:$D$318, $C1853), 'VO_PL(共通)'!J$4:J$100), 0)</f>
        <v>0</v>
      </c>
    </row>
    <row r="1854" ht="15.75" customHeight="1">
      <c r="A1854" s="10"/>
      <c r="B1854" s="10"/>
      <c r="C1854" s="18" t="s">
        <v>118</v>
      </c>
      <c r="D1854" s="10"/>
      <c r="F1854" s="6">
        <f t="array" ref="F1854">IFERROR(SUMIF('VO_PL(共通)'!$A$4:$A$100, XLOOKUP($C1854, 'マスタ'!$D$2:$D$318, 'マスタ'!$D$2:$D$318, $C1854), 'VO_PL(共通)'!J$4:J$100), 0)</f>
        <v>0</v>
      </c>
    </row>
    <row r="1855" ht="15.75" customHeight="1" collapsed="1">
      <c r="A1855" s="18"/>
      <c r="B1855" s="18" t="s">
        <v>119</v>
      </c>
      <c r="C1855" s="10"/>
      <c r="D1855" s="10"/>
      <c r="F1855" s="28">
        <f>F1852-(F1853-F1854)</f>
        <v>-96012423</v>
      </c>
    </row>
    <row r="1856" ht="15.75" hidden="1" customHeight="1" outlineLevel="1">
      <c r="A1856" s="10"/>
      <c r="B1856" s="10"/>
      <c r="C1856" s="18" t="s">
        <v>180</v>
      </c>
      <c r="D1856" s="10"/>
      <c r="F1856" s="6"/>
    </row>
    <row r="1857" ht="15.75" hidden="1" customHeight="1" outlineLevel="1">
      <c r="A1857" s="10"/>
      <c r="B1857" s="10"/>
      <c r="C1857" s="18" t="s">
        <v>181</v>
      </c>
      <c r="D1857" s="10"/>
      <c r="F1857" s="6"/>
    </row>
    <row r="1858" ht="15.75" hidden="1" customHeight="1" outlineLevel="1">
      <c r="A1858" s="10"/>
      <c r="B1858" s="10"/>
      <c r="C1858" s="18" t="s">
        <v>100</v>
      </c>
      <c r="D1858" s="10"/>
      <c r="F1858" s="6"/>
    </row>
    <row r="1859" ht="15.75" hidden="1" customHeight="1" outlineLevel="1">
      <c r="A1859" s="10"/>
      <c r="B1859" s="10"/>
      <c r="C1859" s="18" t="s">
        <v>182</v>
      </c>
      <c r="D1859" s="10"/>
      <c r="F1859" s="6"/>
    </row>
    <row r="1860" ht="15.75" hidden="1" customHeight="1" outlineLevel="1">
      <c r="A1860" s="10"/>
      <c r="B1860" s="10"/>
      <c r="C1860" s="18" t="s">
        <v>183</v>
      </c>
      <c r="D1860" s="10"/>
      <c r="F1860" s="6"/>
    </row>
    <row r="1861" ht="15.75" hidden="1" customHeight="1" outlineLevel="1">
      <c r="A1861" s="10"/>
      <c r="B1861" s="10" t="s">
        <v>184</v>
      </c>
      <c r="C1861" s="18"/>
      <c r="D1861" s="10" t="s">
        <v>9</v>
      </c>
      <c r="F1861" s="20"/>
    </row>
    <row r="1862" ht="15.75" hidden="1" customHeight="1" outlineLevel="1">
      <c r="A1862" s="18"/>
      <c r="B1862" s="18"/>
      <c r="C1862" s="10" t="s">
        <v>32</v>
      </c>
      <c r="D1862" s="18"/>
      <c r="F1862" s="6"/>
    </row>
    <row r="1863" ht="15.75" hidden="1" customHeight="1" outlineLevel="1">
      <c r="A1863" s="10"/>
      <c r="B1863" s="10"/>
      <c r="C1863" s="18" t="s">
        <v>103</v>
      </c>
      <c r="D1863" s="10"/>
      <c r="F1863" s="20"/>
    </row>
    <row r="1864" ht="15.75" hidden="1" customHeight="1" outlineLevel="1">
      <c r="A1864" s="10"/>
      <c r="B1864" s="10"/>
      <c r="C1864" s="18" t="s">
        <v>108</v>
      </c>
      <c r="D1864" s="10"/>
      <c r="F1864" s="20"/>
    </row>
    <row r="1865" ht="15.75" hidden="1" customHeight="1" outlineLevel="1">
      <c r="A1865" s="10"/>
      <c r="B1865" s="10"/>
      <c r="C1865" s="18" t="s">
        <v>34</v>
      </c>
      <c r="D1865" s="10"/>
      <c r="F1865" s="20"/>
    </row>
    <row r="1866" ht="15.75" hidden="1" customHeight="1" outlineLevel="1">
      <c r="A1866" s="10"/>
      <c r="B1866" s="10"/>
      <c r="C1866" s="18" t="s">
        <v>109</v>
      </c>
      <c r="D1866" s="10"/>
      <c r="F1866" s="20"/>
    </row>
    <row r="1867" ht="15.75" hidden="1" customHeight="1" outlineLevel="1">
      <c r="A1867" s="10"/>
      <c r="B1867" s="10"/>
      <c r="C1867" s="18" t="s">
        <v>111</v>
      </c>
      <c r="D1867" s="10"/>
      <c r="F1867" s="20"/>
    </row>
    <row r="1868" ht="15.75" hidden="1" customHeight="1" outlineLevel="1">
      <c r="A1868" s="10"/>
      <c r="B1868" s="10" t="s">
        <v>112</v>
      </c>
      <c r="C1868" s="18"/>
      <c r="D1868" s="10" t="s">
        <v>13</v>
      </c>
      <c r="F1868" s="20"/>
    </row>
    <row r="1869" ht="15.75" hidden="1" customHeight="1" outlineLevel="1">
      <c r="A1869" s="10"/>
      <c r="B1869" s="10"/>
      <c r="C1869" s="18" t="s">
        <v>37</v>
      </c>
      <c r="D1869" s="10"/>
      <c r="F1869" s="20"/>
    </row>
    <row r="1870" ht="15.75" hidden="1" customHeight="1" outlineLevel="1">
      <c r="A1870" s="10"/>
      <c r="B1870" s="10"/>
      <c r="C1870" s="18" t="s">
        <v>185</v>
      </c>
      <c r="D1870" s="10"/>
      <c r="F1870" s="20"/>
    </row>
    <row r="1871" ht="15.75" hidden="1" customHeight="1" outlineLevel="1">
      <c r="A1871" s="10"/>
      <c r="B1871" s="10"/>
      <c r="C1871" s="18" t="s">
        <v>186</v>
      </c>
      <c r="D1871" s="10"/>
      <c r="F1871" s="20"/>
    </row>
    <row r="1872" ht="15.75" hidden="1" customHeight="1" outlineLevel="1">
      <c r="A1872" s="10"/>
      <c r="B1872" s="10"/>
      <c r="C1872" s="18" t="s">
        <v>113</v>
      </c>
      <c r="D1872" s="10"/>
      <c r="F1872" s="20"/>
    </row>
    <row r="1873" ht="15.75" hidden="1" customHeight="1" outlineLevel="1">
      <c r="A1873" s="10"/>
      <c r="B1873" s="10"/>
      <c r="C1873" s="18" t="s">
        <v>187</v>
      </c>
      <c r="D1873" s="10"/>
      <c r="F1873" s="20"/>
    </row>
    <row r="1874" ht="15.75" hidden="1" customHeight="1" outlineLevel="1">
      <c r="A1874" s="18"/>
      <c r="B1874" s="18"/>
      <c r="C1874" s="10" t="s">
        <v>39</v>
      </c>
      <c r="D1874" s="18"/>
      <c r="F1874" s="6"/>
    </row>
    <row r="1875" ht="15.75" hidden="1" customHeight="1" outlineLevel="1">
      <c r="A1875" s="10"/>
      <c r="B1875" s="10"/>
      <c r="C1875" s="18" t="s">
        <v>188</v>
      </c>
      <c r="D1875" s="10"/>
      <c r="F1875" s="20"/>
    </row>
    <row r="1876" ht="15.75" hidden="1" customHeight="1" outlineLevel="1">
      <c r="A1876" s="10"/>
      <c r="B1876" s="10"/>
      <c r="C1876" s="18" t="s">
        <v>115</v>
      </c>
      <c r="D1876" s="10"/>
      <c r="F1876" s="6"/>
    </row>
    <row r="1877" ht="15.75" hidden="1" customHeight="1" outlineLevel="1">
      <c r="A1877" s="18"/>
      <c r="B1877" s="18"/>
      <c r="C1877" s="10" t="s">
        <v>158</v>
      </c>
      <c r="D1877" s="18"/>
      <c r="F1877" s="6"/>
    </row>
    <row r="1878" ht="15.75" hidden="1" customHeight="1" outlineLevel="1">
      <c r="A1878" s="10"/>
      <c r="B1878" s="10"/>
      <c r="C1878" s="10" t="s">
        <v>189</v>
      </c>
      <c r="D1878" s="10"/>
      <c r="F1878" s="5"/>
    </row>
    <row r="1879" ht="15.75" hidden="1" customHeight="1" outlineLevel="1">
      <c r="A1879" s="21"/>
      <c r="B1879" s="21"/>
      <c r="C1879" s="10" t="s">
        <v>190</v>
      </c>
      <c r="D1879" s="10"/>
      <c r="F1879" s="10"/>
    </row>
    <row r="1880" ht="15.75" hidden="1" customHeight="1" outlineLevel="1">
      <c r="A1880" s="21"/>
      <c r="B1880" s="21" t="s">
        <v>117</v>
      </c>
      <c r="C1880" s="10"/>
      <c r="D1880" s="10" t="s">
        <v>42</v>
      </c>
      <c r="F1880" s="10"/>
    </row>
    <row r="1881" ht="15.75" hidden="1" customHeight="1" outlineLevel="1">
      <c r="A1881" s="10"/>
      <c r="B1881" s="10"/>
      <c r="C1881" s="10" t="s">
        <v>43</v>
      </c>
      <c r="D1881" s="10"/>
      <c r="F1881" s="10"/>
    </row>
    <row r="1882" ht="15.75" hidden="1" customHeight="1" outlineLevel="1">
      <c r="A1882" s="4"/>
      <c r="B1882" s="4"/>
      <c r="C1882" s="10" t="s">
        <v>118</v>
      </c>
      <c r="D1882" s="18"/>
      <c r="F1882" s="41"/>
    </row>
    <row r="1883" ht="15.75" hidden="1" customHeight="1" outlineLevel="1">
      <c r="A1883" s="18"/>
      <c r="B1883" s="18" t="s">
        <v>119</v>
      </c>
      <c r="C1883" s="10"/>
      <c r="D1883" s="18" t="s">
        <v>161</v>
      </c>
      <c r="F1883" s="48"/>
    </row>
    <row r="1884" ht="15.75" hidden="1" customHeight="1" outlineLevel="1">
      <c r="A1884" s="18"/>
      <c r="B1884" s="18"/>
      <c r="C1884" s="10"/>
      <c r="D1884" s="18"/>
      <c r="F1884" s="20"/>
    </row>
    <row r="1885" ht="15.75" hidden="1" customHeight="1" outlineLevel="1">
      <c r="A1885" s="18"/>
      <c r="B1885" s="18" t="s">
        <v>58</v>
      </c>
      <c r="C1885" s="10"/>
      <c r="D1885" s="18"/>
      <c r="F1885" s="20"/>
    </row>
    <row r="1886" ht="15.75" hidden="1" customHeight="1" outlineLevel="1">
      <c r="A1886" s="18"/>
      <c r="B1886" s="18" t="s">
        <v>167</v>
      </c>
      <c r="C1886" s="10"/>
      <c r="D1886" s="18"/>
      <c r="F1886" s="20"/>
    </row>
    <row r="1887" ht="15.75" hidden="1" customHeight="1" outlineLevel="1">
      <c r="A1887" s="18"/>
      <c r="B1887" s="18"/>
      <c r="C1887" s="10"/>
      <c r="D1887" s="18"/>
      <c r="F1887" s="20"/>
    </row>
    <row r="1888" ht="15.75" hidden="1" customHeight="1" outlineLevel="1">
      <c r="A1888" s="18"/>
      <c r="B1888" s="18" t="s">
        <v>191</v>
      </c>
      <c r="C1888" s="10"/>
      <c r="D1888" s="18" t="s">
        <v>191</v>
      </c>
      <c r="F1888" s="20"/>
    </row>
    <row r="1889" ht="15.75" hidden="1" customHeight="1" outlineLevel="1">
      <c r="A1889" s="18"/>
      <c r="B1889" s="18" t="s">
        <v>1</v>
      </c>
      <c r="C1889" s="10"/>
      <c r="D1889" s="18" t="s">
        <v>2</v>
      </c>
      <c r="F1889" s="20"/>
    </row>
    <row r="1890" ht="15.75" hidden="1" customHeight="1" outlineLevel="1">
      <c r="A1890" s="18"/>
      <c r="B1890" s="18" t="s">
        <v>3</v>
      </c>
      <c r="C1890" s="10"/>
      <c r="D1890" s="18" t="s">
        <v>4</v>
      </c>
      <c r="F1890" s="20"/>
    </row>
    <row r="1891" ht="15.75" hidden="1" customHeight="1" outlineLevel="1">
      <c r="A1891" s="18"/>
      <c r="B1891" s="18" t="s">
        <v>5</v>
      </c>
      <c r="C1891" s="10"/>
      <c r="D1891" s="18" t="s">
        <v>6</v>
      </c>
      <c r="F1891" s="20"/>
    </row>
    <row r="1892" ht="15.75" hidden="1" customHeight="1" outlineLevel="1">
      <c r="A1892" s="18"/>
      <c r="B1892" s="18" t="s">
        <v>7</v>
      </c>
      <c r="C1892" s="10"/>
      <c r="D1892" s="18" t="s">
        <v>7</v>
      </c>
      <c r="F1892" s="20"/>
    </row>
    <row r="1893" ht="15.75" hidden="1" customHeight="1" outlineLevel="1">
      <c r="A1893" s="18"/>
      <c r="B1893" s="18" t="s">
        <v>8</v>
      </c>
      <c r="C1893" s="10"/>
      <c r="D1893" s="18" t="s">
        <v>9</v>
      </c>
      <c r="F1893" s="20"/>
    </row>
    <row r="1894" ht="15.75" hidden="1" customHeight="1" outlineLevel="1">
      <c r="A1894" s="18"/>
      <c r="B1894" s="18" t="s">
        <v>32</v>
      </c>
      <c r="C1894" s="10"/>
      <c r="D1894" s="18" t="s">
        <v>33</v>
      </c>
      <c r="F1894" s="20"/>
    </row>
    <row r="1895" ht="15.75" hidden="1" customHeight="1" outlineLevel="1">
      <c r="A1895" s="10"/>
      <c r="B1895" s="10" t="s">
        <v>34</v>
      </c>
      <c r="C1895" s="10"/>
      <c r="D1895" s="10" t="s">
        <v>35</v>
      </c>
      <c r="F1895" s="10"/>
    </row>
    <row r="1896" ht="15.75" hidden="1" customHeight="1" outlineLevel="1">
      <c r="A1896" s="4"/>
      <c r="B1896" s="4" t="s">
        <v>12</v>
      </c>
      <c r="C1896" s="18"/>
      <c r="D1896" s="4" t="s">
        <v>13</v>
      </c>
      <c r="F1896" s="10"/>
    </row>
    <row r="1897" ht="15.75" hidden="1" customHeight="1" outlineLevel="1">
      <c r="A1897" s="10"/>
      <c r="B1897" s="10" t="s">
        <v>37</v>
      </c>
      <c r="C1897" s="10"/>
      <c r="D1897" s="10" t="s">
        <v>38</v>
      </c>
      <c r="F1897" s="10"/>
    </row>
    <row r="1898" ht="15.75" hidden="1" customHeight="1" outlineLevel="1">
      <c r="A1898" s="18"/>
      <c r="B1898" s="18" t="s">
        <v>39</v>
      </c>
      <c r="C1898" s="18"/>
      <c r="D1898" s="18" t="s">
        <v>40</v>
      </c>
      <c r="F1898" s="20"/>
    </row>
    <row r="1899" ht="15.75" hidden="1" customHeight="1" outlineLevel="1">
      <c r="A1899" s="18"/>
      <c r="B1899" s="18" t="s">
        <v>117</v>
      </c>
      <c r="C1899" s="18"/>
      <c r="D1899" s="18" t="s">
        <v>42</v>
      </c>
      <c r="F1899" s="20"/>
    </row>
    <row r="1900" ht="15.75" hidden="1" customHeight="1" outlineLevel="1">
      <c r="A1900" s="18"/>
      <c r="B1900" s="18" t="s">
        <v>119</v>
      </c>
      <c r="C1900" s="10"/>
      <c r="D1900" s="18" t="s">
        <v>161</v>
      </c>
      <c r="F1900" s="20"/>
    </row>
    <row r="1901" ht="15.75" customHeight="1">
      <c r="A1901" s="18"/>
      <c r="B1901" s="18"/>
      <c r="C1901" s="10"/>
      <c r="D1901" s="18"/>
      <c r="F1901" s="20"/>
    </row>
    <row r="1902" ht="15.75" customHeight="1" collapsed="1">
      <c r="A1902" s="18"/>
      <c r="B1902" s="18" t="s">
        <v>192</v>
      </c>
      <c r="C1902" s="10" t="s">
        <v>193</v>
      </c>
      <c r="D1902" s="18" t="s">
        <v>194</v>
      </c>
      <c r="F1902" s="20"/>
    </row>
    <row r="1903" ht="15.75" hidden="1" customHeight="1" outlineLevel="1">
      <c r="A1903" s="10"/>
      <c r="B1903" s="10"/>
      <c r="C1903" s="10"/>
      <c r="D1903" s="10"/>
      <c r="F1903" s="10"/>
    </row>
    <row r="1904" ht="15.75" hidden="1" customHeight="1" outlineLevel="1">
      <c r="A1904" s="18"/>
      <c r="B1904" s="18" t="s">
        <v>1</v>
      </c>
      <c r="C1904" s="18" t="s">
        <v>166</v>
      </c>
      <c r="D1904" s="18" t="s">
        <v>2</v>
      </c>
      <c r="F1904" s="20"/>
    </row>
    <row r="1905" ht="15.75" hidden="1" customHeight="1" outlineLevel="1">
      <c r="A1905" s="18"/>
      <c r="B1905" s="18" t="s">
        <v>1</v>
      </c>
      <c r="C1905" s="18" t="s">
        <v>169</v>
      </c>
      <c r="D1905" s="18" t="s">
        <v>2</v>
      </c>
      <c r="F1905" s="20"/>
    </row>
    <row r="1906" ht="15.75" hidden="1" customHeight="1" outlineLevel="1">
      <c r="A1906" s="18"/>
      <c r="B1906" s="18" t="s">
        <v>1</v>
      </c>
      <c r="C1906" s="10"/>
      <c r="D1906" s="18" t="s">
        <v>2</v>
      </c>
      <c r="F1906" s="20"/>
    </row>
    <row r="1907" ht="15.75" hidden="1" customHeight="1" outlineLevel="1">
      <c r="A1907" s="10"/>
      <c r="B1907" s="10" t="s">
        <v>3</v>
      </c>
      <c r="C1907" s="10"/>
      <c r="D1907" s="10" t="s">
        <v>4</v>
      </c>
      <c r="F1907" s="10"/>
    </row>
    <row r="1908" ht="15.75" hidden="1" customHeight="1" outlineLevel="1">
      <c r="A1908" s="18"/>
      <c r="B1908" s="18" t="s">
        <v>5</v>
      </c>
      <c r="C1908" s="18"/>
      <c r="D1908" s="18" t="s">
        <v>6</v>
      </c>
      <c r="F1908" s="20"/>
    </row>
    <row r="1909" ht="15.75" hidden="1" customHeight="1" outlineLevel="1">
      <c r="A1909" s="10"/>
      <c r="B1909" s="10"/>
      <c r="C1909" s="10"/>
      <c r="D1909" s="10"/>
      <c r="F1909" s="10"/>
    </row>
    <row r="1910" ht="15.75" hidden="1" customHeight="1" outlineLevel="1">
      <c r="A1910" s="18"/>
      <c r="B1910" s="18" t="s">
        <v>195</v>
      </c>
      <c r="C1910" s="18" t="s">
        <v>168</v>
      </c>
      <c r="D1910" s="10" t="s">
        <v>196</v>
      </c>
      <c r="F1910" s="10"/>
    </row>
    <row r="1911" ht="15.75" hidden="1" customHeight="1" outlineLevel="1">
      <c r="A1911" s="10"/>
      <c r="B1911" s="10" t="s">
        <v>195</v>
      </c>
      <c r="C1911" s="10" t="s">
        <v>168</v>
      </c>
      <c r="D1911" s="10" t="s">
        <v>196</v>
      </c>
      <c r="F1911" s="10"/>
    </row>
    <row r="1912" ht="15.75" hidden="1" customHeight="1" outlineLevel="1">
      <c r="A1912" s="4"/>
      <c r="B1912" s="4" t="s">
        <v>195</v>
      </c>
      <c r="C1912" s="18"/>
      <c r="D1912" s="4" t="s">
        <v>196</v>
      </c>
      <c r="F1912" s="10"/>
    </row>
    <row r="1913" ht="15.75" hidden="1" customHeight="1" outlineLevel="1">
      <c r="A1913" s="10"/>
      <c r="B1913" s="10"/>
      <c r="C1913" s="10"/>
      <c r="D1913" s="10"/>
      <c r="F1913" s="10"/>
    </row>
    <row r="1914" ht="15.75" hidden="1" customHeight="1" outlineLevel="1">
      <c r="A1914" s="18"/>
      <c r="B1914" s="18" t="s">
        <v>31</v>
      </c>
      <c r="C1914" s="18" t="s">
        <v>197</v>
      </c>
      <c r="D1914" s="18" t="s">
        <v>9</v>
      </c>
      <c r="F1914" s="10"/>
    </row>
    <row r="1915" ht="15.75" hidden="1" customHeight="1" outlineLevel="1">
      <c r="A1915" s="10"/>
      <c r="B1915" s="10"/>
      <c r="C1915" s="10"/>
      <c r="D1915" s="10"/>
      <c r="F1915" s="10"/>
    </row>
    <row r="1916" ht="15.75" hidden="1" customHeight="1" outlineLevel="1">
      <c r="A1916" s="10"/>
      <c r="B1916" s="10" t="s">
        <v>39</v>
      </c>
      <c r="C1916" s="10" t="s">
        <v>198</v>
      </c>
      <c r="D1916" s="10"/>
      <c r="F1916" s="10"/>
    </row>
    <row r="1917" ht="15.75" customHeight="1">
      <c r="A1917" s="10"/>
      <c r="B1917" s="10"/>
      <c r="C1917" s="10"/>
      <c r="D1917" s="10"/>
      <c r="F1917" s="10"/>
    </row>
    <row r="1918" ht="15.75" customHeight="1">
      <c r="A1918" s="37"/>
      <c r="B1918" s="37" t="s">
        <v>199</v>
      </c>
      <c r="C1918" s="26" t="s">
        <v>200</v>
      </c>
      <c r="D1918" s="26" t="s">
        <v>201</v>
      </c>
      <c r="F1918" s="26"/>
    </row>
    <row r="1919" ht="15.75" customHeight="1">
      <c r="A1919" s="12"/>
      <c r="B1919" s="12"/>
      <c r="C1919" s="12"/>
      <c r="D1919" s="12"/>
      <c r="F1919" s="17"/>
    </row>
    <row r="1920" ht="15.75" customHeight="1">
      <c r="A1920" s="18"/>
      <c r="B1920" s="18" t="s">
        <v>1</v>
      </c>
      <c r="C1920" s="10" t="s">
        <v>168</v>
      </c>
      <c r="D1920" s="10" t="s">
        <v>2</v>
      </c>
      <c r="F1920" s="10"/>
    </row>
    <row r="1921" ht="15.75" customHeight="1">
      <c r="A1921" s="10"/>
      <c r="B1921" s="10"/>
      <c r="C1921" s="18"/>
      <c r="D1921" s="10"/>
      <c r="F1921" s="20"/>
    </row>
    <row r="1922" ht="15.75" customHeight="1">
      <c r="A1922" s="18"/>
      <c r="B1922" s="18"/>
      <c r="C1922" s="10"/>
      <c r="D1922" s="10"/>
      <c r="F1922" s="20"/>
    </row>
    <row r="1923" ht="15.75" customHeight="1">
      <c r="A1923" s="18"/>
      <c r="B1923" s="18"/>
      <c r="C1923" s="10"/>
      <c r="D1923" s="10"/>
      <c r="F1923" s="10"/>
    </row>
    <row r="1924" ht="15.75" customHeight="1">
      <c r="A1924" s="25"/>
      <c r="B1924" s="25" t="s">
        <v>202</v>
      </c>
      <c r="C1924" s="26"/>
      <c r="D1924" s="26"/>
      <c r="E1924" s="45"/>
      <c r="F1924" s="26"/>
    </row>
    <row r="1925" ht="15.75" customHeight="1">
      <c r="A1925" s="4"/>
      <c r="B1925" s="4" t="s">
        <v>50</v>
      </c>
      <c r="C1925" s="4"/>
      <c r="D1925" s="4" t="s">
        <v>27</v>
      </c>
      <c r="F1925" s="10"/>
    </row>
    <row r="1926" ht="15.75" customHeight="1">
      <c r="A1926" s="18"/>
      <c r="B1926" s="18" t="s">
        <v>1</v>
      </c>
      <c r="D1926" s="10"/>
      <c r="F1926" s="41"/>
    </row>
    <row r="1927" ht="15.75" customHeight="1">
      <c r="C1927" s="18" t="s">
        <v>1</v>
      </c>
      <c r="D1927" s="10"/>
      <c r="F1927" s="42">
        <f t="array" ref="F1927">SUMIF(UTAITE_PL!$A$4:$A$100, XLOOKUP($C1927, 'マスタ'!$D$2:$D$318, 'マスタ'!$D$2:$D$318, $C1927), UTAITE_PL!J$4:J$100)</f>
        <v>0</v>
      </c>
    </row>
    <row r="1928" ht="15.75" customHeight="1" collapsed="1">
      <c r="A1928" s="18"/>
      <c r="B1928" s="18" t="s">
        <v>67</v>
      </c>
      <c r="C1928" s="10"/>
      <c r="D1928" s="10"/>
      <c r="F1928" s="42">
        <f>F1927</f>
        <v>0</v>
      </c>
    </row>
    <row r="1929" ht="15.75" hidden="1" customHeight="1" outlineLevel="1">
      <c r="A1929" s="18"/>
      <c r="B1929" s="18" t="s">
        <v>28</v>
      </c>
      <c r="C1929" s="10"/>
      <c r="D1929" s="10"/>
      <c r="F1929" s="42"/>
    </row>
    <row r="1930" ht="15.75" hidden="1" customHeight="1" outlineLevel="1">
      <c r="A1930" s="10"/>
      <c r="B1930" s="10"/>
      <c r="C1930" s="18" t="s">
        <v>68</v>
      </c>
      <c r="D1930" s="10"/>
      <c r="F1930" s="42">
        <f t="array" ref="F1930">SUMIF(UTAITE_PL!$A$4:$A$100, XLOOKUP($C1930, 'マスタ'!$D$2:$D$318, 'マスタ'!$D$2:$D$318, $C1930), UTAITE_PL!J$4:J$100)</f>
        <v>0</v>
      </c>
    </row>
    <row r="1931" ht="15.75" hidden="1" customHeight="1" outlineLevel="1">
      <c r="A1931" s="10"/>
      <c r="B1931" s="10"/>
      <c r="C1931" s="18" t="s">
        <v>69</v>
      </c>
      <c r="D1931" s="10"/>
      <c r="F1931" s="42">
        <f t="array" ref="F1931">SUMIF(UTAITE_PL!$A$4:$A$100, XLOOKUP($C1931, 'マスタ'!$D$2:$D$318, 'マスタ'!$D$2:$D$318, $C1931), UTAITE_PL!J$4:J$100)</f>
        <v>0</v>
      </c>
    </row>
    <row r="1932" ht="15.75" hidden="1" customHeight="1" outlineLevel="1">
      <c r="A1932" s="10"/>
      <c r="B1932" s="10"/>
      <c r="C1932" s="18" t="s">
        <v>71</v>
      </c>
      <c r="D1932" s="10"/>
      <c r="F1932" s="42">
        <f t="array" ref="F1932">SUMIF(UTAGE_PL!$A$4:$A$100, XLOOKUP($C1932, 'マスタ'!$D$2:$D$318, 'マスタ'!$D$2:$D$318, $C1932), UTAGE_PL!J$4:J$100)</f>
        <v>0</v>
      </c>
    </row>
    <row r="1933" ht="15.75" customHeight="1">
      <c r="A1933" s="18"/>
      <c r="B1933" s="18" t="s">
        <v>28</v>
      </c>
      <c r="C1933" s="10"/>
      <c r="D1933" s="10"/>
      <c r="F1933" s="43">
        <f>F1931-F1932</f>
        <v>0</v>
      </c>
    </row>
    <row r="1934" ht="15.75" customHeight="1">
      <c r="A1934" s="18"/>
      <c r="B1934" s="18" t="s">
        <v>5</v>
      </c>
      <c r="C1934" s="10"/>
      <c r="D1934" s="10"/>
      <c r="F1934" s="43">
        <f>F1928-F1933</f>
        <v>0</v>
      </c>
    </row>
    <row r="1935" ht="15.75" customHeight="1" collapsed="1">
      <c r="A1935" s="18"/>
      <c r="B1935" s="18" t="s">
        <v>29</v>
      </c>
      <c r="C1935" s="10"/>
      <c r="D1935" s="10"/>
      <c r="F1935" s="20"/>
    </row>
    <row r="1936" ht="15.75" hidden="1" customHeight="1" outlineLevel="1">
      <c r="A1936" s="10"/>
      <c r="B1936" s="10"/>
      <c r="C1936" s="18" t="s">
        <v>72</v>
      </c>
      <c r="D1936" s="10"/>
      <c r="F1936" s="6">
        <f t="array" ref="F1936">SUMIF(UTAITE_PL!$A$4:$A$100, XLOOKUP($C1936, 'マスタ'!$D$2:$D$318, 'マスタ'!$D$2:$D$318, $C1936), UTAITE_PL!J$4:J$100)</f>
        <v>0</v>
      </c>
    </row>
    <row r="1937" ht="15.75" hidden="1" customHeight="1" outlineLevel="1">
      <c r="A1937" s="10"/>
      <c r="B1937" s="10"/>
      <c r="C1937" s="18" t="s">
        <v>73</v>
      </c>
      <c r="D1937" s="10"/>
      <c r="F1937" s="6">
        <f t="array" ref="F1937">SUMIF(UTAITE_PL!$A$4:$A$100, XLOOKUP($C1937, 'マスタ'!$D$2:$D$318, 'マスタ'!$D$2:$D$318, $C1937), UTAITE_PL!J$4:J$100)</f>
        <v>0</v>
      </c>
    </row>
    <row r="1938" ht="15.75" hidden="1" customHeight="1" outlineLevel="1">
      <c r="A1938" s="10"/>
      <c r="B1938" s="10"/>
      <c r="C1938" s="18" t="s">
        <v>74</v>
      </c>
      <c r="D1938" s="10"/>
      <c r="F1938" s="6">
        <f t="array" ref="F1938">SUMIF(UTAITE_PL!$A$4:$A$100, XLOOKUP($C1938, 'マスタ'!$D$2:$D$318, 'マスタ'!$D$2:$D$318, $C1938), UTAITE_PL!J$4:J$100)</f>
        <v>0</v>
      </c>
    </row>
    <row r="1939" ht="15.75" hidden="1" customHeight="1" outlineLevel="1">
      <c r="A1939" s="10"/>
      <c r="B1939" s="10"/>
      <c r="C1939" s="18" t="s">
        <v>75</v>
      </c>
      <c r="D1939" s="10"/>
      <c r="F1939" s="6">
        <f t="array" ref="F1939">SUMIF(UTAITE_PL!$A$4:$A$100, XLOOKUP($C1939, 'マスタ'!$D$2:$D$318, 'マスタ'!$D$2:$D$318, $C1939), UTAITE_PL!J$4:J$100)</f>
        <v>0</v>
      </c>
    </row>
    <row r="1940" ht="15.75" hidden="1" customHeight="1" outlineLevel="1">
      <c r="A1940" s="10"/>
      <c r="B1940" s="10"/>
      <c r="C1940" s="18" t="s">
        <v>76</v>
      </c>
      <c r="D1940" s="10"/>
      <c r="F1940" s="6">
        <f t="array" ref="F1940">SUMIF(UTAITE_PL!$A$4:$A$100, XLOOKUP($C1940, 'マスタ'!$D$2:$D$318, 'マスタ'!$D$2:$D$318, $C1940), UTAITE_PL!J$4:J$100)</f>
        <v>0</v>
      </c>
    </row>
    <row r="1941" ht="15.75" hidden="1" customHeight="1" outlineLevel="1">
      <c r="A1941" s="10"/>
      <c r="B1941" s="10"/>
      <c r="C1941" s="18" t="s">
        <v>77</v>
      </c>
      <c r="D1941" s="10"/>
      <c r="F1941" s="6">
        <f t="array" ref="F1941">SUMIF(UTAITE_PL!$A$4:$A$100, XLOOKUP($C1941, 'マスタ'!$D$2:$D$318, 'マスタ'!$D$2:$D$318, $C1941), UTAITE_PL!J$4:J$100)</f>
        <v>0</v>
      </c>
    </row>
    <row r="1942" ht="15.75" hidden="1" customHeight="1" outlineLevel="1">
      <c r="A1942" s="10"/>
      <c r="B1942" s="10"/>
      <c r="C1942" s="18" t="s">
        <v>78</v>
      </c>
      <c r="D1942" s="10"/>
      <c r="F1942" s="6">
        <f t="array" ref="F1942">SUMIF(UTAITE_PL!$A$4:$A$100, XLOOKUP($C1942, 'マスタ'!$D$2:$D$318, 'マスタ'!$D$2:$D$318, $C1942), UTAITE_PL!J$4:J$100)</f>
        <v>0</v>
      </c>
    </row>
    <row r="1943" ht="15.75" hidden="1" customHeight="1" outlineLevel="1">
      <c r="A1943" s="10"/>
      <c r="B1943" s="10"/>
      <c r="C1943" s="18" t="s">
        <v>79</v>
      </c>
      <c r="D1943" s="10"/>
      <c r="F1943" s="6">
        <f t="array" ref="F1943">SUMIF(UTAITE_PL!$A$4:$A$100, XLOOKUP($C1943, 'マスタ'!$D$2:$D$318, 'マスタ'!$D$2:$D$318, $C1943), UTAITE_PL!J$4:J$100)</f>
        <v>0</v>
      </c>
    </row>
    <row r="1944" ht="15.75" hidden="1" customHeight="1" outlineLevel="1">
      <c r="A1944" s="10"/>
      <c r="B1944" s="10"/>
      <c r="C1944" s="18" t="s">
        <v>80</v>
      </c>
      <c r="D1944" s="10"/>
      <c r="F1944" s="6">
        <f t="array" ref="F1944">SUMIF(UTAITE_PL!$A$4:$A$100, XLOOKUP($C1944, 'マスタ'!$D$2:$D$318, 'マスタ'!$D$2:$D$318, $C1944), UTAITE_PL!J$4:J$100)</f>
        <v>0</v>
      </c>
    </row>
    <row r="1945" ht="15.75" hidden="1" customHeight="1" outlineLevel="1">
      <c r="A1945" s="10"/>
      <c r="B1945" s="10"/>
      <c r="C1945" s="18" t="s">
        <v>81</v>
      </c>
      <c r="D1945" s="10"/>
      <c r="F1945" s="6">
        <f t="array" ref="F1945">SUMIF(UTAITE_PL!$A$4:$A$100, XLOOKUP($C1945, 'マスタ'!$D$2:$D$318, 'マスタ'!$D$2:$D$318, $C1945), UTAITE_PL!J$4:J$100)</f>
        <v>0</v>
      </c>
    </row>
    <row r="1946" ht="15.75" hidden="1" customHeight="1" outlineLevel="1">
      <c r="A1946" s="10"/>
      <c r="B1946" s="10"/>
      <c r="C1946" s="18" t="s">
        <v>82</v>
      </c>
      <c r="D1946" s="10"/>
      <c r="F1946" s="6">
        <f t="array" ref="F1946">SUMIF(UTAITE_PL!$A$4:$A$100, XLOOKUP($C1946, 'マスタ'!$D$2:$D$318, 'マスタ'!$D$2:$D$318, $C1946), UTAITE_PL!J$4:J$100)</f>
        <v>0</v>
      </c>
    </row>
    <row r="1947" ht="15.75" hidden="1" customHeight="1" outlineLevel="1">
      <c r="A1947" s="10"/>
      <c r="B1947" s="10"/>
      <c r="C1947" s="18" t="s">
        <v>83</v>
      </c>
      <c r="D1947" s="10"/>
      <c r="F1947" s="6">
        <f t="array" ref="F1947">SUMIF(UTAITE_PL!$A$4:$A$100, XLOOKUP($C1947, 'マスタ'!$D$2:$D$318, 'マスタ'!$D$2:$D$318, $C1947), UTAITE_PL!J$4:J$100)</f>
        <v>0</v>
      </c>
    </row>
    <row r="1948" ht="15.75" hidden="1" customHeight="1" outlineLevel="1">
      <c r="A1948" s="10"/>
      <c r="B1948" s="10"/>
      <c r="C1948" s="18" t="s">
        <v>84</v>
      </c>
      <c r="D1948" s="10"/>
      <c r="F1948" s="6">
        <f t="array" ref="F1948">SUMIF(UTAITE_PL!$A$4:$A$100, XLOOKUP($C1948, 'マスタ'!$D$2:$D$318, 'マスタ'!$D$2:$D$318, $C1948), UTAITE_PL!J$4:J$100)</f>
        <v>0</v>
      </c>
    </row>
    <row r="1949" ht="15.75" hidden="1" customHeight="1" outlineLevel="1">
      <c r="A1949" s="10"/>
      <c r="B1949" s="10"/>
      <c r="C1949" s="18" t="s">
        <v>85</v>
      </c>
      <c r="D1949" s="10"/>
      <c r="F1949" s="6">
        <f t="array" ref="F1949">SUMIF(UTAITE_PL!$A$4:$A$100, XLOOKUP($C1949, 'マスタ'!$D$2:$D$318, 'マスタ'!$D$2:$D$318, $C1949), UTAITE_PL!J$4:J$100)</f>
        <v>0</v>
      </c>
    </row>
    <row r="1950" ht="15.75" hidden="1" customHeight="1" outlineLevel="1">
      <c r="A1950" s="10"/>
      <c r="B1950" s="10"/>
      <c r="C1950" s="18" t="s">
        <v>86</v>
      </c>
      <c r="D1950" s="10"/>
      <c r="F1950" s="6">
        <f t="array" ref="F1950">SUMIF(UTAITE_PL!$A$4:$A$100, XLOOKUP($C1950, 'マスタ'!$D$2:$D$318, 'マスタ'!$D$2:$D$318, $C1950), UTAITE_PL!J$4:J$100)</f>
        <v>0</v>
      </c>
    </row>
    <row r="1951" ht="15.75" hidden="1" customHeight="1" outlineLevel="1">
      <c r="A1951" s="10"/>
      <c r="B1951" s="10"/>
      <c r="C1951" s="18" t="s">
        <v>87</v>
      </c>
      <c r="D1951" s="10"/>
      <c r="F1951" s="6">
        <f t="array" ref="F1951">SUMIF(UTAITE_PL!$A$4:$A$100, XLOOKUP($C1951, 'マスタ'!$D$2:$D$318, 'マスタ'!$D$2:$D$318, $C1951), UTAITE_PL!J$4:J$100)</f>
        <v>0</v>
      </c>
    </row>
    <row r="1952" ht="15.75" hidden="1" customHeight="1" outlineLevel="1">
      <c r="A1952" s="10"/>
      <c r="B1952" s="10"/>
      <c r="C1952" s="18" t="s">
        <v>88</v>
      </c>
      <c r="D1952" s="10"/>
      <c r="F1952" s="6">
        <f t="array" ref="F1952">SUMIF(UTAITE_PL!$A$4:$A$100, XLOOKUP($C1952, 'マスタ'!$D$2:$D$318, 'マスタ'!$D$2:$D$318, $C1952), UTAITE_PL!J$4:J$100)</f>
        <v>0</v>
      </c>
    </row>
    <row r="1953" ht="15.75" hidden="1" customHeight="1" outlineLevel="1">
      <c r="A1953" s="10"/>
      <c r="B1953" s="10"/>
      <c r="C1953" s="18" t="s">
        <v>89</v>
      </c>
      <c r="D1953" s="10"/>
      <c r="F1953" s="6">
        <f t="array" ref="F1953">SUMIF(UTAITE_PL!$A$4:$A$100, XLOOKUP($C1953, 'マスタ'!$D$2:$D$318, 'マスタ'!$D$2:$D$318, $C1953), UTAITE_PL!J$4:J$100)</f>
        <v>0</v>
      </c>
    </row>
    <row r="1954" ht="15.75" hidden="1" customHeight="1" outlineLevel="1">
      <c r="A1954" s="10"/>
      <c r="B1954" s="10"/>
      <c r="C1954" s="18" t="s">
        <v>90</v>
      </c>
      <c r="D1954" s="10"/>
      <c r="F1954" s="6">
        <f t="array" ref="F1954">SUMIF(UTAITE_PL!$A$4:$A$100, XLOOKUP($C1954, 'マスタ'!$D$2:$D$318, 'マスタ'!$D$2:$D$318, $C1954), UTAITE_PL!J$4:J$100)</f>
        <v>0</v>
      </c>
    </row>
    <row r="1955" ht="15.75" hidden="1" customHeight="1" outlineLevel="1">
      <c r="A1955" s="10"/>
      <c r="B1955" s="10"/>
      <c r="C1955" s="18" t="s">
        <v>91</v>
      </c>
      <c r="D1955" s="10"/>
      <c r="F1955" s="6">
        <f t="array" ref="F1955">SUMIF(UTAITE_PL!$A$4:$A$100, XLOOKUP($C1955, 'マスタ'!$D$2:$D$318, 'マスタ'!$D$2:$D$318, $C1955), UTAITE_PL!J$4:J$100)</f>
        <v>0</v>
      </c>
    </row>
    <row r="1956" ht="15.75" customHeight="1" collapsed="1">
      <c r="A1956" s="10"/>
      <c r="B1956" s="10"/>
      <c r="C1956" s="18" t="s">
        <v>92</v>
      </c>
      <c r="D1956" s="10"/>
      <c r="F1956" s="6">
        <f t="array" ref="F1956">SUMIF(UTAITE_PL!$A$4:$A$100, XLOOKUP($C1956, 'マスタ'!$D$2:$D$318, 'マスタ'!$D$2:$D$318, $C1956), UTAITE_PL!J$4:J$100)</f>
        <v>4200</v>
      </c>
    </row>
    <row r="1957" ht="15.75" hidden="1" customHeight="1" outlineLevel="1">
      <c r="A1957" s="10"/>
      <c r="B1957" s="10"/>
      <c r="C1957" s="18" t="s">
        <v>93</v>
      </c>
      <c r="D1957" s="10"/>
      <c r="F1957" s="6">
        <f t="array" ref="F1957">SUMIF(UTAITE_PL!$A$4:$A$100, XLOOKUP($C1957, 'マスタ'!$D$2:$D$318, 'マスタ'!$D$2:$D$318, $C1957), UTAITE_PL!J$4:J$100)</f>
        <v>0</v>
      </c>
    </row>
    <row r="1958" ht="15.75" hidden="1" customHeight="1" outlineLevel="1">
      <c r="A1958" s="10"/>
      <c r="B1958" s="10"/>
      <c r="C1958" s="18" t="s">
        <v>94</v>
      </c>
      <c r="D1958" s="10"/>
      <c r="F1958" s="6">
        <f t="array" ref="F1958">SUMIF(UTAITE_PL!$A$4:$A$100, XLOOKUP($C1958, 'マスタ'!$D$2:$D$318, 'マスタ'!$D$2:$D$318, $C1958), UTAITE_PL!J$4:J$100)</f>
        <v>0</v>
      </c>
    </row>
    <row r="1959" ht="15.75" hidden="1" customHeight="1" outlineLevel="1">
      <c r="A1959" s="10"/>
      <c r="B1959" s="10"/>
      <c r="C1959" s="18" t="s">
        <v>95</v>
      </c>
      <c r="D1959" s="10"/>
      <c r="F1959" s="6">
        <f t="array" ref="F1959">SUMIF(UTAITE_PL!$A$4:$A$100, XLOOKUP($C1959, 'マスタ'!$D$2:$D$318, 'マスタ'!$D$2:$D$318, $C1959), UTAITE_PL!J$4:J$100)</f>
        <v>0</v>
      </c>
    </row>
    <row r="1960" ht="15.75" hidden="1" customHeight="1" outlineLevel="1">
      <c r="A1960" s="10"/>
      <c r="B1960" s="10"/>
      <c r="C1960" s="18" t="s">
        <v>96</v>
      </c>
      <c r="D1960" s="10"/>
      <c r="F1960" s="6">
        <f t="array" ref="F1960">SUMIF(UTAITE_PL!$A$4:$A$100, XLOOKUP($C1960, 'マスタ'!$D$2:$D$318, 'マスタ'!$D$2:$D$318, $C1960), UTAITE_PL!J$4:J$100)</f>
        <v>0</v>
      </c>
    </row>
    <row r="1961" ht="15.75" hidden="1" customHeight="1" outlineLevel="1">
      <c r="A1961" s="10"/>
      <c r="B1961" s="10"/>
      <c r="C1961" s="18" t="s">
        <v>97</v>
      </c>
      <c r="D1961" s="10"/>
      <c r="F1961" s="6">
        <f t="array" ref="F1961">SUMIF(UTAITE_PL!$A$4:$A$100, XLOOKUP($C1961, 'マスタ'!$D$2:$D$318, 'マスタ'!$D$2:$D$318, $C1961), UTAITE_PL!J$4:J$100)</f>
        <v>0</v>
      </c>
    </row>
    <row r="1962" ht="15.75" hidden="1" customHeight="1" outlineLevel="1">
      <c r="A1962" s="10"/>
      <c r="B1962" s="10"/>
      <c r="C1962" s="18" t="s">
        <v>98</v>
      </c>
      <c r="D1962" s="10"/>
      <c r="F1962" s="6">
        <f t="array" ref="F1962">SUMIF(UTAITE_PL!$A$4:$A$100, XLOOKUP($C1962, 'マスタ'!$D$2:$D$318, 'マスタ'!$D$2:$D$318, $C1962), UTAITE_PL!J$4:J$100)</f>
        <v>0</v>
      </c>
    </row>
    <row r="1963" ht="15.75" hidden="1" customHeight="1" outlineLevel="1">
      <c r="A1963" s="10"/>
      <c r="B1963" s="10"/>
      <c r="C1963" s="18" t="s">
        <v>177</v>
      </c>
      <c r="D1963" s="10"/>
      <c r="F1963" s="6">
        <f t="array" ref="F1963">SUMIF(UTAITE_PL!$A$4:$A$100, XLOOKUP($C1963, 'マスタ'!$D$2:$D$318, 'マスタ'!$D$2:$D$318, $C1963), UTAITE_PL!J$4:J$100)</f>
        <v>0</v>
      </c>
    </row>
    <row r="1964" ht="15.75" hidden="1" customHeight="1" outlineLevel="1">
      <c r="A1964" s="10"/>
      <c r="B1964" s="10"/>
      <c r="C1964" s="18" t="s">
        <v>99</v>
      </c>
      <c r="D1964" s="10"/>
      <c r="F1964" s="6">
        <f t="array" ref="F1964">SUMIF(UTAITE_PL!$A$4:$A$100, XLOOKUP($C1964, 'マスタ'!$D$2:$D$318, 'マスタ'!$D$2:$D$318, $C1964), UTAITE_PL!J$4:J$100)</f>
        <v>0</v>
      </c>
    </row>
    <row r="1965" ht="15.75" hidden="1" customHeight="1" outlineLevel="1">
      <c r="A1965" s="10"/>
      <c r="B1965" s="10"/>
      <c r="C1965" s="18" t="s">
        <v>100</v>
      </c>
      <c r="D1965" s="10"/>
      <c r="F1965" s="6">
        <f t="array" ref="F1965">SUMIF(UTAITE_PL!$A$4:$A$100, XLOOKUP($C1965, 'マスタ'!$D$2:$D$318, 'マスタ'!$D$2:$D$318, $C1965), UTAITE_PL!J$4:J$100)</f>
        <v>0</v>
      </c>
    </row>
    <row r="1966" ht="15.75" hidden="1" customHeight="1" outlineLevel="1">
      <c r="A1966" s="10"/>
      <c r="B1966" s="10"/>
      <c r="C1966" s="18" t="s">
        <v>101</v>
      </c>
      <c r="D1966" s="10"/>
      <c r="F1966" s="6">
        <f t="array" ref="F1966">SUMIF(UTAITE_PL!$A$4:$A$100, XLOOKUP($C1966, 'マスタ'!$D$2:$D$318, 'マスタ'!$D$2:$D$318, $C1966), UTAITE_PL!J$4:J$100)</f>
        <v>0</v>
      </c>
    </row>
    <row r="1967" ht="15.75" customHeight="1">
      <c r="A1967" s="18"/>
      <c r="B1967" s="18" t="s">
        <v>102</v>
      </c>
      <c r="C1967" s="10"/>
      <c r="D1967" s="10"/>
      <c r="F1967" s="6">
        <f>SUM(F1936:F1966)</f>
        <v>4200</v>
      </c>
    </row>
    <row r="1968" ht="15.75" customHeight="1">
      <c r="A1968" s="18"/>
      <c r="B1968" s="18" t="s">
        <v>31</v>
      </c>
      <c r="C1968" s="10"/>
      <c r="D1968" s="10"/>
      <c r="F1968" s="6">
        <f>F1934-F1967</f>
        <v>-4200</v>
      </c>
    </row>
    <row r="1969" ht="15.75" customHeight="1" collapsed="1">
      <c r="A1969" s="18"/>
      <c r="B1969" s="18" t="s">
        <v>32</v>
      </c>
      <c r="C1969" s="18"/>
      <c r="D1969" s="10"/>
      <c r="F1969" s="6">
        <f>SUM(F1970:F1975)</f>
        <v>0</v>
      </c>
    </row>
    <row r="1970" ht="15.75" hidden="1" customHeight="1" outlineLevel="1">
      <c r="A1970" s="10"/>
      <c r="B1970" s="10"/>
      <c r="C1970" s="18" t="s">
        <v>103</v>
      </c>
      <c r="D1970" s="10"/>
      <c r="F1970" s="6">
        <f t="array" ref="F1970">SUMIF(UTAITE_PL!$A$4:$A$100, XLOOKUP($C1970, 'マスタ'!$D$2:$D$318, 'マスタ'!$D$2:$D$318, $C1970), UTAITE_PL!J$4:J$100)</f>
        <v>0</v>
      </c>
    </row>
    <row r="1971" ht="15.75" hidden="1" customHeight="1" outlineLevel="1">
      <c r="A1971" s="10"/>
      <c r="B1971" s="10"/>
      <c r="C1971" s="10" t="s">
        <v>104</v>
      </c>
      <c r="D1971" s="10"/>
      <c r="F1971" s="6">
        <f t="array" ref="F1971">SUMIF(UTAITE_PL!$A$4:$A$100, XLOOKUP($C1971, 'マスタ'!$D$2:$D$318, 'マスタ'!$D$2:$D$318, $C1971), UTAITE_PL!J$4:J$100)</f>
        <v>0</v>
      </c>
    </row>
    <row r="1972" ht="15.75" hidden="1" customHeight="1" outlineLevel="1">
      <c r="A1972" s="10"/>
      <c r="B1972" s="10"/>
      <c r="C1972" s="18" t="s">
        <v>105</v>
      </c>
      <c r="D1972" s="10"/>
      <c r="F1972" s="6">
        <f t="array" ref="F1972">SUMIF(UTAITE_PL!$A$4:$A$100, XLOOKUP($C1972, 'マスタ'!$D$2:$D$318, 'マスタ'!$D$2:$D$318, $C1972), UTAITE_PL!J$4:J$100)</f>
        <v>0</v>
      </c>
    </row>
    <row r="1973" ht="15.75" hidden="1" customHeight="1" outlineLevel="1">
      <c r="A1973" s="10"/>
      <c r="B1973" s="10"/>
      <c r="C1973" s="10" t="s">
        <v>106</v>
      </c>
      <c r="D1973" s="10"/>
      <c r="F1973" s="6">
        <f t="array" ref="F1973">SUMIF(UTAITE_PL!$A$4:$A$100, XLOOKUP($C1973, 'マスタ'!$D$2:$D$318, 'マスタ'!$D$2:$D$318, $C1973), UTAITE_PL!J$4:J$100)</f>
        <v>0</v>
      </c>
    </row>
    <row r="1974" ht="15.75" hidden="1" customHeight="1" outlineLevel="1">
      <c r="A1974" s="10"/>
      <c r="B1974" s="10"/>
      <c r="C1974" s="18" t="s">
        <v>107</v>
      </c>
      <c r="D1974" s="10"/>
      <c r="F1974" s="6">
        <f t="array" ref="F1974">SUMIF(UTAITE_PL!$A$4:$A$100, XLOOKUP($C1974, 'マスタ'!$D$2:$D$318, 'マスタ'!$D$2:$D$318, $C1974), UTAITE_PL!J$4:J$100)</f>
        <v>0</v>
      </c>
    </row>
    <row r="1975" ht="15.75" hidden="1" customHeight="1" outlineLevel="1">
      <c r="A1975" s="10"/>
      <c r="B1975" s="10"/>
      <c r="C1975" s="18" t="s">
        <v>108</v>
      </c>
      <c r="D1975" s="10"/>
      <c r="E1975" s="44"/>
      <c r="F1975" s="6">
        <f t="array" ref="F1975">SUMIF(UTAITE_PL!$A$4:$A$100, XLOOKUP($C1975, 'マスタ'!$D$2:$D$318, 'マスタ'!$D$2:$D$318, $C1975), UTAITE_PL!J$4:J$100)</f>
        <v>0</v>
      </c>
    </row>
    <row r="1976" ht="15.75" customHeight="1" collapsed="1">
      <c r="A1976" s="18"/>
      <c r="B1976" s="18" t="s">
        <v>34</v>
      </c>
      <c r="C1976" s="18"/>
      <c r="D1976" s="10"/>
      <c r="F1976" s="6">
        <f>SUM(F1977:F1979)</f>
        <v>0</v>
      </c>
    </row>
    <row r="1977" ht="15.75" hidden="1" customHeight="1" outlineLevel="1">
      <c r="A1977" s="10"/>
      <c r="B1977" s="10"/>
      <c r="C1977" s="18" t="s">
        <v>109</v>
      </c>
      <c r="D1977" s="10"/>
      <c r="F1977" s="6">
        <f t="array" ref="F1977">SUMIF(UTAITE_PL!$A$4:$A$100, XLOOKUP($C1977, 'マスタ'!$D$2:$D$318, 'マスタ'!$D$2:$D$318, $C1977), UTAITE_PL!J$4:J$100)</f>
        <v>0</v>
      </c>
    </row>
    <row r="1978" ht="15.75" hidden="1" customHeight="1" outlineLevel="1">
      <c r="A1978" s="10"/>
      <c r="B1978" s="10"/>
      <c r="C1978" s="18" t="s">
        <v>110</v>
      </c>
      <c r="D1978" s="10"/>
      <c r="F1978" s="6">
        <f t="array" ref="F1978">SUMIF(UTAITE_PL!$A$4:$A$100, XLOOKUP($C1978, 'マスタ'!$D$2:$D$318, 'マスタ'!$D$2:$D$318, $C1978), UTAITE_PL!J$4:J$100)</f>
        <v>0</v>
      </c>
    </row>
    <row r="1979" ht="15.75" hidden="1" customHeight="1" outlineLevel="1">
      <c r="A1979" s="10"/>
      <c r="B1979" s="10"/>
      <c r="C1979" s="18" t="s">
        <v>111</v>
      </c>
      <c r="D1979" s="10"/>
      <c r="F1979" s="6">
        <f t="array" ref="F1979">SUMIF(UTAITE_PL!$A$4:$A$100, XLOOKUP($C1979, 'マスタ'!$D$2:$D$318, 'マスタ'!$D$2:$D$318, $C1979), UTAITE_PL!J$4:J$100)</f>
        <v>0</v>
      </c>
    </row>
    <row r="1980" ht="15.75" customHeight="1">
      <c r="A1980" s="18"/>
      <c r="B1980" s="18" t="s">
        <v>112</v>
      </c>
      <c r="C1980" s="10"/>
      <c r="D1980" s="10"/>
      <c r="F1980" s="6">
        <f>F1968+F1969-F1976</f>
        <v>-4200</v>
      </c>
    </row>
    <row r="1981" ht="15.75" customHeight="1" collapsed="1">
      <c r="A1981" s="18"/>
      <c r="B1981" s="18" t="s">
        <v>37</v>
      </c>
      <c r="D1981" s="10"/>
      <c r="F1981" s="6">
        <f t="array" ref="F1981">SUMIF('VO_PL(ORIGIN)'!$A$4:$A$100, XLOOKUP($C1981, 'マスタ'!$D$2:$D$318, 'マスタ'!$D$2:$D$318, $C1981), 'VO_PL(ORIGIN)'!J$4:J$100)</f>
        <v>0</v>
      </c>
    </row>
    <row r="1982" ht="15.75" hidden="1" customHeight="1" outlineLevel="1">
      <c r="A1982" s="10"/>
      <c r="B1982" s="10"/>
      <c r="C1982" s="10" t="s">
        <v>113</v>
      </c>
      <c r="F1982" s="6">
        <f t="array" ref="F1982">IFERROR(SUMIF(UTAGE_PL!$A$4:$A$100, XLOOKUP($C1982, 'マスタ'!$D$2:$D$318, 'マスタ'!$D$2:$D$318, $C1982), UTAGE_PL!N$4:N$100), 0)</f>
        <v>0</v>
      </c>
    </row>
    <row r="1983" ht="15.75" hidden="1" customHeight="1" outlineLevel="1">
      <c r="A1983" s="10"/>
      <c r="B1983" s="10"/>
      <c r="C1983" s="18"/>
      <c r="D1983" s="18"/>
      <c r="F1983" s="6">
        <f t="array" ref="F1983">SUMIF('VO_PL(ORIGIN)'!$A$4:$A$100, XLOOKUP($C1983, 'マスタ'!$D$2:$D$318, 'マスタ'!$D$2:$D$318, $C1983), 'VO_PL(ORIGIN)'!J$4:J$100)</f>
        <v>0</v>
      </c>
    </row>
    <row r="1984" ht="15.75" customHeight="1" collapsed="1">
      <c r="A1984" s="18"/>
      <c r="B1984" s="18" t="s">
        <v>39</v>
      </c>
      <c r="D1984" s="18"/>
      <c r="F1984" s="6">
        <f t="array" ref="F1984">SUMIF('VO_PL(ORIGIN)'!$A$4:$A$100, XLOOKUP($C1984, 'マスタ'!$D$2:$D$318, 'マスタ'!$D$2:$D$318, $C1984), 'VO_PL(ORIGIN)'!J$4:J$100)</f>
        <v>0</v>
      </c>
    </row>
    <row r="1985" ht="15.75" hidden="1" customHeight="1" outlineLevel="1">
      <c r="A1985" s="18"/>
      <c r="B1985" s="18"/>
      <c r="C1985" s="18" t="s">
        <v>114</v>
      </c>
      <c r="F1985" s="6">
        <f t="array" ref="F1985">IFERROR(SUMIF(UTAGE_PL!$A$4:$A$100, XLOOKUP($C1985, 'マスタ'!$D$2:$D$318, 'マスタ'!$D$2:$D$318, $C1985), UTAGE_PL!N$4:N$100), 0)</f>
        <v>0</v>
      </c>
    </row>
    <row r="1986" ht="15.75" hidden="1" customHeight="1" outlineLevel="1">
      <c r="A1986" s="18"/>
      <c r="B1986" s="18"/>
      <c r="C1986" s="10" t="s">
        <v>115</v>
      </c>
      <c r="F1986" s="6">
        <f t="array" ref="F1986">IFERROR(SUMIF(UTAGE_PL!$A$4:$A$100, XLOOKUP($C1986, 'マスタ'!$D$2:$D$318, 'マスタ'!$D$2:$D$318, $C1986), UTAGE_PL!N$4:N$100), 0)</f>
        <v>0</v>
      </c>
    </row>
    <row r="1987" ht="15.75" hidden="1" customHeight="1" outlineLevel="1">
      <c r="A1987" s="18"/>
      <c r="B1987" s="18"/>
      <c r="C1987" s="10" t="s">
        <v>116</v>
      </c>
      <c r="F1987" s="6">
        <f t="array" ref="F1987">IFERROR(SUMIF(UTAGE_PL!$A$4:$A$100, XLOOKUP($C1987, 'マスタ'!$D$2:$D$318, 'マスタ'!$D$2:$D$318, $C1987), UTAGE_PL!N$4:N$100), 0)</f>
        <v>0</v>
      </c>
    </row>
    <row r="1988" ht="15.75" customHeight="1" collapsed="1">
      <c r="A1988" s="18"/>
      <c r="B1988" s="18" t="s">
        <v>117</v>
      </c>
      <c r="C1988" s="10"/>
      <c r="F1988" s="6">
        <f>F1980+F1981-F1984</f>
        <v>-4200</v>
      </c>
    </row>
    <row r="1989" ht="15.75" hidden="1" customHeight="1" outlineLevel="1">
      <c r="A1989" s="10"/>
      <c r="B1989" s="10"/>
      <c r="C1989" s="18" t="s">
        <v>43</v>
      </c>
      <c r="D1989" s="10"/>
      <c r="F1989" s="6">
        <f t="array" ref="F1989">SUMIF(UTAITE_PL!$A$4:$A$100, XLOOKUP($C1989, 'マスタ'!$D$2:$D$318, 'マスタ'!$D$2:$D$318, $C1989), UTAITE_PL!J$4:J$100)</f>
        <v>0</v>
      </c>
    </row>
    <row r="1990" ht="15.75" hidden="1" customHeight="1" outlineLevel="1">
      <c r="A1990" s="10"/>
      <c r="B1990" s="10"/>
      <c r="C1990" s="18" t="s">
        <v>118</v>
      </c>
      <c r="D1990" s="10"/>
      <c r="F1990" s="6">
        <f t="array" ref="F1990">SUMIF(UTAITE_PL!$A$4:$A$100, XLOOKUP($C1990, 'マスタ'!$D$2:$D$318, 'マスタ'!$D$2:$D$318, $C1990), UTAITE_PL!J$4:J$100)</f>
        <v>0</v>
      </c>
    </row>
    <row r="1991" ht="15.75" customHeight="1">
      <c r="A1991" s="18"/>
      <c r="B1991" s="18" t="s">
        <v>119</v>
      </c>
      <c r="C1991" s="10"/>
      <c r="D1991" s="10"/>
      <c r="F1991" s="6">
        <f>F1988-(F1989-F1990)</f>
        <v>-4200</v>
      </c>
    </row>
    <row r="1992" ht="15.75" customHeight="1">
      <c r="A1992" s="18"/>
      <c r="B1992" s="18"/>
      <c r="C1992" s="10"/>
      <c r="D1992" s="10"/>
      <c r="F1992" s="10"/>
    </row>
    <row r="1993" ht="15.75" customHeight="1">
      <c r="A1993" s="37"/>
      <c r="B1993" s="37"/>
      <c r="C1993" s="26"/>
      <c r="D1993" s="26"/>
      <c r="F1993" s="26"/>
    </row>
    <row r="1994" ht="15.75" customHeight="1">
      <c r="A1994" s="10"/>
      <c r="B1994" s="10" t="s">
        <v>203</v>
      </c>
      <c r="C1994" s="10"/>
      <c r="D1994" s="10"/>
      <c r="F1994" s="17"/>
    </row>
    <row r="1995" ht="15.75" customHeight="1">
      <c r="A1995" s="18"/>
      <c r="B1995" s="18" t="s">
        <v>204</v>
      </c>
      <c r="C1995" s="10"/>
      <c r="D1995" s="10"/>
      <c r="F1995" s="10"/>
    </row>
    <row r="1996" ht="15.75" customHeight="1">
      <c r="A1996" s="10"/>
      <c r="B1996" s="10" t="s">
        <v>205</v>
      </c>
      <c r="C1996" s="18"/>
      <c r="D1996" s="10"/>
      <c r="F1996" s="20"/>
    </row>
    <row r="1997" ht="15.75" customHeight="1">
      <c r="A1997" s="18"/>
      <c r="B1997" s="18"/>
      <c r="C1997" s="10"/>
      <c r="D1997" s="10"/>
      <c r="F1997" s="20"/>
    </row>
    <row r="1998" ht="15.75" customHeight="1" collapsed="1">
      <c r="A1998" s="18"/>
      <c r="B1998" s="18"/>
      <c r="C1998" s="10"/>
      <c r="D1998" s="10"/>
      <c r="F1998" s="20"/>
    </row>
    <row r="1999" ht="15.75" hidden="1" customHeight="1" outlineLevel="1">
      <c r="A1999" s="18"/>
      <c r="B1999" s="18" t="s">
        <v>20</v>
      </c>
      <c r="C1999" s="10"/>
      <c r="D1999" s="10"/>
      <c r="F1999" s="49"/>
    </row>
    <row r="2000" ht="15.75" hidden="1" customHeight="1" outlineLevel="1">
      <c r="A2000" s="18"/>
      <c r="B2000" s="18"/>
      <c r="C2000" s="10"/>
      <c r="D2000" s="10"/>
      <c r="F2000" s="49"/>
    </row>
    <row r="2001" ht="15.75" hidden="1" customHeight="1" outlineLevel="1">
      <c r="A2001" s="18"/>
      <c r="B2001" s="18" t="s">
        <v>1</v>
      </c>
      <c r="C2001" s="10"/>
      <c r="D2001" s="10"/>
      <c r="F2001" s="49"/>
    </row>
    <row r="2002" ht="15.75" hidden="1" customHeight="1" outlineLevel="1">
      <c r="A2002" s="10"/>
      <c r="B2002" s="10"/>
      <c r="C2002" s="18" t="s">
        <v>1</v>
      </c>
      <c r="D2002" s="10"/>
      <c r="F2002" s="49"/>
    </row>
    <row r="2003" ht="15.75" hidden="1" customHeight="1" outlineLevel="1">
      <c r="A2003" s="10"/>
      <c r="B2003" s="10" t="s">
        <v>67</v>
      </c>
      <c r="C2003" s="18"/>
      <c r="D2003" s="10"/>
      <c r="F2003" s="49"/>
    </row>
    <row r="2004" ht="15.75" hidden="1" customHeight="1" outlineLevel="1">
      <c r="A2004" s="10"/>
      <c r="B2004" s="10" t="s">
        <v>28</v>
      </c>
      <c r="C2004" s="18"/>
      <c r="D2004" s="10"/>
      <c r="F2004" s="49"/>
    </row>
    <row r="2005" ht="15.75" hidden="1" customHeight="1" outlineLevel="1">
      <c r="A2005" s="10"/>
      <c r="B2005" s="10" t="s">
        <v>206</v>
      </c>
      <c r="C2005" s="18"/>
      <c r="D2005" s="10"/>
      <c r="F2005" s="49"/>
    </row>
    <row r="2006" ht="15.75" hidden="1" customHeight="1" outlineLevel="1">
      <c r="A2006" s="18"/>
      <c r="B2006" s="18" t="s">
        <v>5</v>
      </c>
      <c r="C2006" s="10"/>
      <c r="D2006" s="10"/>
      <c r="F2006" s="49"/>
    </row>
    <row r="2007" ht="15.75" hidden="1" customHeight="1" outlineLevel="1">
      <c r="A2007" s="18"/>
      <c r="B2007" s="18" t="s">
        <v>29</v>
      </c>
      <c r="C2007" s="10"/>
      <c r="D2007" s="10"/>
      <c r="F2007" s="49"/>
    </row>
    <row r="2008" ht="15.75" hidden="1" customHeight="1" outlineLevel="1">
      <c r="A2008" s="10"/>
      <c r="B2008" s="10"/>
      <c r="C2008" s="18" t="s">
        <v>86</v>
      </c>
      <c r="D2008" s="10"/>
      <c r="F2008" s="50"/>
    </row>
    <row r="2009" ht="15.75" hidden="1" customHeight="1" outlineLevel="1">
      <c r="A2009" s="18"/>
      <c r="B2009" s="18"/>
      <c r="C2009" s="10" t="s">
        <v>91</v>
      </c>
      <c r="D2009" s="10"/>
      <c r="F2009" s="49"/>
    </row>
    <row r="2010" ht="15.75" hidden="1" customHeight="1" outlineLevel="1">
      <c r="A2010" s="18"/>
      <c r="B2010" s="18"/>
      <c r="C2010" s="10" t="s">
        <v>92</v>
      </c>
      <c r="D2010" s="10"/>
      <c r="F2010" s="49"/>
    </row>
    <row r="2011" ht="15.75" hidden="1" customHeight="1" outlineLevel="1">
      <c r="A2011" s="18"/>
      <c r="B2011" s="18"/>
      <c r="C2011" s="10" t="s">
        <v>93</v>
      </c>
      <c r="D2011" s="10"/>
      <c r="F2011" s="49"/>
    </row>
    <row r="2012" ht="15.75" hidden="1" customHeight="1" outlineLevel="1">
      <c r="A2012" s="18"/>
      <c r="B2012" s="18" t="s">
        <v>102</v>
      </c>
      <c r="C2012" s="10"/>
      <c r="D2012" s="10"/>
      <c r="F2012" s="49"/>
    </row>
    <row r="2013" ht="15.75" hidden="1" customHeight="1" outlineLevel="1">
      <c r="A2013" s="18"/>
      <c r="B2013" s="18" t="s">
        <v>31</v>
      </c>
      <c r="C2013" s="10"/>
      <c r="D2013" s="10"/>
      <c r="F2013" s="49"/>
    </row>
    <row r="2014" ht="15.75" hidden="1" customHeight="1" outlineLevel="1">
      <c r="A2014" s="18"/>
      <c r="B2014" s="18"/>
      <c r="C2014" s="10" t="s">
        <v>103</v>
      </c>
      <c r="D2014" s="10"/>
      <c r="F2014" s="49"/>
    </row>
    <row r="2015" ht="15.75" hidden="1" customHeight="1" outlineLevel="1">
      <c r="A2015" s="18"/>
      <c r="B2015" s="18" t="s">
        <v>32</v>
      </c>
      <c r="C2015" s="10"/>
      <c r="D2015" s="10"/>
      <c r="F2015" s="49"/>
    </row>
    <row r="2016" ht="15.75" hidden="1" customHeight="1" outlineLevel="1">
      <c r="A2016" s="18"/>
      <c r="B2016" s="18" t="s">
        <v>207</v>
      </c>
      <c r="C2016" s="10"/>
      <c r="D2016" s="10"/>
      <c r="F2016" s="49"/>
    </row>
    <row r="2017" ht="15.75" hidden="1" customHeight="1" outlineLevel="1">
      <c r="A2017" s="18"/>
      <c r="B2017" s="18" t="s">
        <v>34</v>
      </c>
      <c r="C2017" s="10"/>
      <c r="D2017" s="10"/>
      <c r="F2017" s="49"/>
    </row>
    <row r="2018" ht="15.75" hidden="1" customHeight="1" outlineLevel="1">
      <c r="A2018" s="18"/>
      <c r="B2018" s="18" t="s">
        <v>208</v>
      </c>
      <c r="C2018" s="10"/>
      <c r="D2018" s="10"/>
      <c r="F2018" s="49"/>
    </row>
    <row r="2019" ht="15.75" hidden="1" customHeight="1" outlineLevel="1">
      <c r="A2019" s="18"/>
      <c r="B2019" s="18" t="s">
        <v>36</v>
      </c>
      <c r="C2019" s="10"/>
      <c r="D2019" s="10"/>
      <c r="F2019" s="49"/>
    </row>
    <row r="2020" ht="15.75" hidden="1" customHeight="1" outlineLevel="1">
      <c r="A2020" s="18"/>
      <c r="B2020" s="18" t="s">
        <v>37</v>
      </c>
      <c r="C2020" s="10"/>
      <c r="D2020" s="10"/>
      <c r="F2020" s="49"/>
    </row>
    <row r="2021" ht="15.75" hidden="1" customHeight="1" outlineLevel="1">
      <c r="A2021" s="10"/>
      <c r="B2021" s="10" t="s">
        <v>209</v>
      </c>
      <c r="C2021" s="10"/>
      <c r="D2021" s="10"/>
      <c r="F2021" s="50"/>
    </row>
    <row r="2022" ht="15.75" hidden="1" customHeight="1" outlineLevel="1">
      <c r="A2022" s="10"/>
      <c r="B2022" s="10" t="s">
        <v>39</v>
      </c>
      <c r="C2022" s="10"/>
      <c r="D2022" s="10"/>
      <c r="F2022" s="50"/>
    </row>
    <row r="2023" ht="15.75" customHeight="1">
      <c r="A2023" s="37"/>
      <c r="B2023" s="37" t="s">
        <v>210</v>
      </c>
      <c r="C2023" s="26"/>
      <c r="D2023" s="26"/>
      <c r="F2023" s="26"/>
    </row>
    <row r="2024" ht="15.75" customHeight="1">
      <c r="A2024" s="10"/>
      <c r="B2024" s="10" t="s">
        <v>41</v>
      </c>
      <c r="C2024" s="10"/>
      <c r="D2024" s="10"/>
      <c r="F2024" s="17"/>
    </row>
    <row r="2025" ht="15.75" customHeight="1">
      <c r="A2025" s="18"/>
      <c r="B2025" s="18" t="s">
        <v>211</v>
      </c>
      <c r="C2025" s="10"/>
      <c r="D2025" s="10"/>
      <c r="F2025" s="10"/>
    </row>
    <row r="2026" ht="15.75" customHeight="1">
      <c r="A2026" s="10"/>
      <c r="B2026" s="10" t="s">
        <v>44</v>
      </c>
      <c r="C2026" s="18"/>
      <c r="D2026" s="10"/>
      <c r="F2026" s="6"/>
    </row>
    <row r="2027" ht="15.75" customHeight="1">
      <c r="A2027" s="10"/>
      <c r="B2027" s="10"/>
      <c r="C2027" s="18"/>
      <c r="D2027" s="10"/>
      <c r="F2027" s="6"/>
    </row>
    <row r="2028" ht="15.75" customHeight="1">
      <c r="A2028" s="10"/>
      <c r="B2028" s="10"/>
      <c r="C2028" s="18"/>
      <c r="D2028" s="10"/>
      <c r="F2028" s="5"/>
    </row>
    <row r="2029" ht="15.75" customHeight="1">
      <c r="A2029" s="26"/>
      <c r="B2029" s="26" t="s">
        <v>21</v>
      </c>
      <c r="C2029" s="25"/>
      <c r="D2029" s="26"/>
      <c r="F2029" s="6"/>
    </row>
    <row r="2030" ht="15.75" customHeight="1">
      <c r="A2030" s="10"/>
      <c r="B2030" s="10"/>
      <c r="D2030" s="10"/>
      <c r="F2030" s="6"/>
    </row>
    <row r="2031" ht="15.75" customHeight="1">
      <c r="A2031" s="4"/>
      <c r="B2031" s="4" t="s">
        <v>50</v>
      </c>
      <c r="C2031" s="10"/>
      <c r="D2031" s="4" t="s">
        <v>27</v>
      </c>
      <c r="F2031" s="6"/>
    </row>
    <row r="2032" ht="15.75" customHeight="1">
      <c r="A2032" s="10"/>
      <c r="B2032" s="10"/>
      <c r="C2032" s="4" t="s">
        <v>212</v>
      </c>
      <c r="D2032" s="10"/>
      <c r="F2032" s="6"/>
    </row>
    <row r="2033" ht="15.75" customHeight="1">
      <c r="A2033" s="18"/>
      <c r="B2033" s="18" t="s">
        <v>1</v>
      </c>
      <c r="C2033" s="10"/>
      <c r="D2033" s="10"/>
      <c r="F2033" s="6">
        <f t="array" ref="F2033">SUMIFS('YG_PL(M)'!$AP$9:$AP$161, 'YG_PL(M)'!$E$9:$E$161, XLOOKUP($C2030, 'マスタ'!$D$2:$D$318, 'マスタ'!$C$2:$C$318, "売上高"), 'YG_PL(M)'!$J$9:$J$161, "教育")</f>
        <v>274897527</v>
      </c>
    </row>
    <row r="2034" ht="15.75" customHeight="1">
      <c r="A2034" s="18"/>
      <c r="B2034" s="18" t="s">
        <v>67</v>
      </c>
      <c r="C2034" s="10"/>
      <c r="D2034" s="10"/>
      <c r="F2034" s="6">
        <f>F2033</f>
        <v>274897527</v>
      </c>
    </row>
    <row r="2035" ht="15.75" customHeight="1">
      <c r="A2035" s="18"/>
      <c r="B2035" s="18" t="s">
        <v>28</v>
      </c>
      <c r="C2035" s="10"/>
      <c r="D2035" s="10"/>
      <c r="F2035" s="6"/>
    </row>
    <row r="2036" ht="15.75" customHeight="1">
      <c r="A2036" s="10"/>
      <c r="B2036" s="10"/>
      <c r="C2036" s="18" t="s">
        <v>68</v>
      </c>
      <c r="D2036" s="10"/>
      <c r="F2036" s="38">
        <v>0.0</v>
      </c>
    </row>
    <row r="2037" ht="15.75" customHeight="1">
      <c r="A2037" s="10"/>
      <c r="B2037" s="10"/>
      <c r="C2037" s="18" t="s">
        <v>69</v>
      </c>
      <c r="D2037" s="10"/>
      <c r="F2037" s="6">
        <f t="array" ref="F2037">-SUMPRODUCT('YG_PL(M)'!AP$9:AP$161 * ('YG_PL(M)'!$J$9:$J$161="教育") * ISNUMBER(MATCH('YG_PL(M)'!$B$9:$B$161, {"当期商品仕入高","外注費","荷造運賃","支払手数料","保険料","広告宣伝費","その他","採用教育費"}, 0)))</f>
        <v>171206260</v>
      </c>
    </row>
    <row r="2038" ht="15.75" customHeight="1">
      <c r="A2038" s="10"/>
      <c r="B2038" s="10"/>
      <c r="C2038" s="18" t="s">
        <v>71</v>
      </c>
      <c r="D2038" s="10"/>
      <c r="F2038" s="6">
        <f t="array" ref="F2038">SUMIFS('YG_PL(M)'!AP$9:AP$161, 'YG_PL(M)'!$F$9:$F$161, XLOOKUP($C2038, 'マスタ'!$D$2:$D$318, 'マスタ'!$C$2:$C$318, $C2038), 'YG_PL(M)'!$J$9:$J$161, "教育")</f>
        <v>0</v>
      </c>
    </row>
    <row r="2039" ht="15.75" customHeight="1">
      <c r="A2039" s="18"/>
      <c r="B2039" s="18" t="s">
        <v>28</v>
      </c>
      <c r="C2039" s="10"/>
      <c r="D2039" s="10"/>
      <c r="F2039" s="6">
        <f>F2036+F2037-F2038</f>
        <v>171206260</v>
      </c>
    </row>
    <row r="2040" ht="15.75" customHeight="1">
      <c r="A2040" s="18"/>
      <c r="B2040" s="18" t="s">
        <v>5</v>
      </c>
      <c r="C2040" s="10"/>
      <c r="D2040" s="10"/>
      <c r="F2040" s="6">
        <f>F2033-F2039</f>
        <v>103691267</v>
      </c>
    </row>
    <row r="2041" ht="15.75" customHeight="1" collapsed="1">
      <c r="A2041" s="18"/>
      <c r="B2041" s="18" t="s">
        <v>29</v>
      </c>
      <c r="C2041" s="10"/>
      <c r="D2041" s="10"/>
      <c r="F2041" s="6"/>
    </row>
    <row r="2042" ht="15.75" hidden="1" customHeight="1" outlineLevel="1">
      <c r="A2042" s="10"/>
      <c r="B2042" s="10"/>
      <c r="C2042" s="18" t="s">
        <v>72</v>
      </c>
      <c r="D2042" s="10"/>
      <c r="F2042" s="5">
        <f>SUMIFS('YG_PL(M)'!AP$58:AP$72, 'YG_PL(M)'!$B$58:$B$72, $C2042, 'YG_PL(M)'!$J$58:$J$72, "教育")</f>
        <v>0</v>
      </c>
    </row>
    <row r="2043" ht="15.75" hidden="1" customHeight="1" outlineLevel="1">
      <c r="A2043" s="10"/>
      <c r="B2043" s="10"/>
      <c r="C2043" s="18" t="s">
        <v>73</v>
      </c>
      <c r="D2043" s="10"/>
      <c r="F2043" s="5">
        <f>SUMIFS('YG_PL(M)'!AP$58:AP$72, 'YG_PL(M)'!$B$58:$B$72, $C2043, 'YG_PL(M)'!$J$58:$J$72, "教育")</f>
        <v>0</v>
      </c>
    </row>
    <row r="2044" ht="15.75" hidden="1" customHeight="1" outlineLevel="1">
      <c r="A2044" s="10"/>
      <c r="B2044" s="10"/>
      <c r="C2044" s="18" t="s">
        <v>74</v>
      </c>
      <c r="D2044" s="10"/>
      <c r="F2044" s="5">
        <f>SUMIFS('YG_PL(M)'!AP$58:AP$72, 'YG_PL(M)'!$B$58:$B$72, $C2044, 'YG_PL(M)'!$J$58:$J$72, "教育")</f>
        <v>0</v>
      </c>
    </row>
    <row r="2045" ht="15.75" hidden="1" customHeight="1" outlineLevel="1">
      <c r="A2045" s="10"/>
      <c r="B2045" s="10"/>
      <c r="C2045" s="18" t="s">
        <v>75</v>
      </c>
      <c r="D2045" s="10"/>
      <c r="F2045" s="5">
        <f>SUMIFS('YG_PL(M)'!AP$58:AP$72, 'YG_PL(M)'!$B$58:$B$72, $C2045, 'YG_PL(M)'!$J$58:$J$72, "教育")</f>
        <v>0</v>
      </c>
    </row>
    <row r="2046" ht="15.75" hidden="1" customHeight="1" outlineLevel="1">
      <c r="A2046" s="10"/>
      <c r="B2046" s="10"/>
      <c r="C2046" s="18" t="s">
        <v>76</v>
      </c>
      <c r="D2046" s="10"/>
      <c r="F2046" s="5">
        <f>SUMIFS('YG_PL(M)'!AP$58:AP$72, 'YG_PL(M)'!$B$58:$B$72, $C2046, 'YG_PL(M)'!$J$58:$J$72, "教育")</f>
        <v>0</v>
      </c>
    </row>
    <row r="2047" ht="15.75" hidden="1" customHeight="1" outlineLevel="1">
      <c r="A2047" s="10"/>
      <c r="B2047" s="10"/>
      <c r="C2047" s="18" t="s">
        <v>77</v>
      </c>
      <c r="D2047" s="10"/>
      <c r="F2047" s="5">
        <f>SUMIFS('YG_PL(M)'!AP$58:AP$72, 'YG_PL(M)'!$B$58:$B$72, $C2047, 'YG_PL(M)'!$J$58:$J$72, "教育")</f>
        <v>0</v>
      </c>
    </row>
    <row r="2048" ht="15.75" hidden="1" customHeight="1" outlineLevel="1">
      <c r="A2048" s="10"/>
      <c r="B2048" s="10"/>
      <c r="C2048" s="18" t="s">
        <v>78</v>
      </c>
      <c r="D2048" s="10"/>
      <c r="F2048" s="5">
        <f>SUMIFS('YG_PL(M)'!AP$58:AP$72, 'YG_PL(M)'!$B$58:$B$72, $C2048, 'YG_PL(M)'!$J$58:$J$72, "教育")</f>
        <v>0</v>
      </c>
    </row>
    <row r="2049" ht="15.75" hidden="1" customHeight="1" outlineLevel="1">
      <c r="A2049" s="10"/>
      <c r="B2049" s="10"/>
      <c r="C2049" s="18" t="s">
        <v>79</v>
      </c>
      <c r="D2049" s="10"/>
      <c r="F2049" s="5">
        <f>SUMIFS('YG_PL(M)'!AP$58:AP$72, 'YG_PL(M)'!$B$58:$B$72, $C2049, 'YG_PL(M)'!$J$58:$J$72, "教育")</f>
        <v>0</v>
      </c>
    </row>
    <row r="2050" ht="15.75" hidden="1" customHeight="1" outlineLevel="1">
      <c r="A2050" s="10"/>
      <c r="B2050" s="10"/>
      <c r="C2050" s="18" t="s">
        <v>80</v>
      </c>
      <c r="D2050" s="10"/>
      <c r="F2050" s="5">
        <f>SUMIFS('YG_PL(M)'!AP$58:AP$72, 'YG_PL(M)'!$B$58:$B$72, $C2050, 'YG_PL(M)'!$J$58:$J$72, "教育")</f>
        <v>0</v>
      </c>
    </row>
    <row r="2051" ht="15.75" hidden="1" customHeight="1" outlineLevel="1">
      <c r="A2051" s="10"/>
      <c r="B2051" s="10"/>
      <c r="C2051" s="18" t="s">
        <v>81</v>
      </c>
      <c r="D2051" s="10"/>
      <c r="F2051" s="5">
        <f>SUMIFS('YG_PL(M)'!AP$58:AP$72, 'YG_PL(M)'!$B$58:$B$72, $C2051, 'YG_PL(M)'!$J$58:$J$72, "教育")</f>
        <v>0</v>
      </c>
    </row>
    <row r="2052" ht="15.75" customHeight="1">
      <c r="A2052" s="10"/>
      <c r="B2052" s="10"/>
      <c r="C2052" s="18" t="s">
        <v>82</v>
      </c>
      <c r="D2052" s="10"/>
      <c r="F2052" s="5">
        <f>SUMIFS('YG_PL(M)'!AP$58:AP$72, 'YG_PL(M)'!$B$58:$B$72, $C2052, 'YG_PL(M)'!$J$58:$J$72, "教育")</f>
        <v>-157929</v>
      </c>
    </row>
    <row r="2053" ht="15.75" customHeight="1">
      <c r="A2053" s="10"/>
      <c r="B2053" s="10"/>
      <c r="C2053" s="18" t="s">
        <v>83</v>
      </c>
      <c r="D2053" s="10"/>
      <c r="F2053" s="5">
        <f>SUMIFS('YG_PL(M)'!AP$58:AP$72, 'YG_PL(M)'!$B$58:$B$72, $C2053, 'YG_PL(M)'!$J$58:$J$72, "教育")</f>
        <v>-1954909</v>
      </c>
    </row>
    <row r="2054" ht="15.75" customHeight="1">
      <c r="A2054" s="10"/>
      <c r="B2054" s="10"/>
      <c r="C2054" s="18" t="s">
        <v>84</v>
      </c>
      <c r="D2054" s="10"/>
      <c r="F2054" s="5">
        <f>SUMIFS('YG_PL(M)'!AP$58:AP$72, 'YG_PL(M)'!$B$58:$B$72, $C2054, 'YG_PL(M)'!$J$58:$J$72, "教育")</f>
        <v>-18016823</v>
      </c>
    </row>
    <row r="2055" ht="15.75" customHeight="1">
      <c r="A2055" s="10"/>
      <c r="B2055" s="10"/>
      <c r="C2055" s="18" t="s">
        <v>85</v>
      </c>
      <c r="D2055" s="10"/>
      <c r="F2055" s="5">
        <f>SUMIFS('YG_PL(M)'!AP$58:AP$72, 'YG_PL(M)'!$B$58:$B$72, $C2055, 'YG_PL(M)'!$J$58:$J$72, "教育")</f>
        <v>0</v>
      </c>
    </row>
    <row r="2056" ht="15.75" customHeight="1">
      <c r="A2056" s="10"/>
      <c r="B2056" s="10"/>
      <c r="C2056" s="18" t="s">
        <v>86</v>
      </c>
      <c r="D2056" s="10"/>
      <c r="F2056" s="5">
        <f>SUMIFS('YG_PL(M)'!AP$58:AP$72, 'YG_PL(M)'!$B$58:$B$72, $C2056, 'YG_PL(M)'!$J$58:$J$72, "教育")</f>
        <v>-2023801</v>
      </c>
    </row>
    <row r="2057" ht="15.75" customHeight="1">
      <c r="A2057" s="10"/>
      <c r="B2057" s="10"/>
      <c r="C2057" s="18" t="s">
        <v>87</v>
      </c>
      <c r="D2057" s="10"/>
      <c r="F2057" s="5">
        <f>SUMIFS('YG_PL(M)'!AP$58:AP$72, 'YG_PL(M)'!$B$58:$B$72, $C2057, 'YG_PL(M)'!$J$58:$J$72, "教育")</f>
        <v>-47108546</v>
      </c>
    </row>
    <row r="2058" ht="15.75" customHeight="1">
      <c r="A2058" s="10"/>
      <c r="B2058" s="10"/>
      <c r="C2058" s="18" t="s">
        <v>88</v>
      </c>
      <c r="D2058" s="10"/>
      <c r="F2058" s="5">
        <f>SUMIFS('YG_PL(M)'!AP$58:AP$72, 'YG_PL(M)'!$B$58:$B$72, $C2058, 'YG_PL(M)'!$J$58:$J$72, "教育")</f>
        <v>0</v>
      </c>
    </row>
    <row r="2059" ht="15.75" customHeight="1">
      <c r="A2059" s="10"/>
      <c r="B2059" s="10"/>
      <c r="C2059" s="18" t="s">
        <v>89</v>
      </c>
      <c r="D2059" s="10"/>
      <c r="F2059" s="5">
        <f>SUMIFS('YG_PL(M)'!AP$58:AP$72, 'YG_PL(M)'!$B$58:$B$72, $C2059, 'YG_PL(M)'!$J$58:$J$72, "教育")</f>
        <v>0</v>
      </c>
    </row>
    <row r="2060" ht="15.75" customHeight="1">
      <c r="A2060" s="10"/>
      <c r="B2060" s="10"/>
      <c r="C2060" s="18" t="s">
        <v>90</v>
      </c>
      <c r="D2060" s="10"/>
      <c r="F2060" s="5">
        <f>SUMIFS('YG_PL(M)'!AP$58:AP$72, 'YG_PL(M)'!$B$58:$B$72, $C2060, 'YG_PL(M)'!$J$58:$J$72, "教育")</f>
        <v>0</v>
      </c>
    </row>
    <row r="2061" ht="15.75" customHeight="1">
      <c r="A2061" s="10"/>
      <c r="B2061" s="10"/>
      <c r="C2061" s="18" t="s">
        <v>91</v>
      </c>
      <c r="D2061" s="10"/>
      <c r="F2061" s="5">
        <f>SUMIFS('YG_PL(M)'!AP$58:AP$72, 'YG_PL(M)'!$B$58:$B$72, $C2061, 'YG_PL(M)'!$J$58:$J$72, "教育")</f>
        <v>-943900</v>
      </c>
    </row>
    <row r="2062" ht="15.75" customHeight="1">
      <c r="A2062" s="10"/>
      <c r="B2062" s="10"/>
      <c r="C2062" s="18" t="s">
        <v>92</v>
      </c>
      <c r="D2062" s="10"/>
      <c r="F2062" s="5">
        <f>SUMIFS('YG_PL(M)'!AP$58:AP$72, 'YG_PL(M)'!$B$58:$B$72, $C2062, 'YG_PL(M)'!$J$58:$J$72, "教育")</f>
        <v>0</v>
      </c>
    </row>
    <row r="2063" ht="15.75" customHeight="1">
      <c r="A2063" s="10"/>
      <c r="B2063" s="10"/>
      <c r="C2063" s="18" t="s">
        <v>93</v>
      </c>
      <c r="D2063" s="10"/>
      <c r="F2063" s="5">
        <f>SUMIFS('YG_PL(M)'!AP$58:AP$72, 'YG_PL(M)'!$B$58:$B$72, $C2063, 'YG_PL(M)'!$J$58:$J$72, "教育")</f>
        <v>-791670</v>
      </c>
    </row>
    <row r="2064" ht="15.75" customHeight="1">
      <c r="A2064" s="10"/>
      <c r="B2064" s="10"/>
      <c r="C2064" s="18" t="s">
        <v>94</v>
      </c>
      <c r="D2064" s="10"/>
      <c r="F2064" s="5">
        <f>SUMIFS('YG_PL(M)'!AP$58:AP$72, 'YG_PL(M)'!$B$58:$B$72, $C2064, 'YG_PL(M)'!$J$58:$J$72, "教育")</f>
        <v>0</v>
      </c>
    </row>
    <row r="2065" ht="15.75" customHeight="1">
      <c r="A2065" s="10"/>
      <c r="B2065" s="10"/>
      <c r="C2065" s="18" t="s">
        <v>95</v>
      </c>
      <c r="D2065" s="10"/>
      <c r="F2065" s="5">
        <f>SUMIFS('YG_PL(M)'!AP$58:AP$72, 'YG_PL(M)'!$B$58:$B$72, $C2065, 'YG_PL(M)'!$J$58:$J$72, "教育")</f>
        <v>-12385990</v>
      </c>
    </row>
    <row r="2066" ht="15.75" customHeight="1">
      <c r="A2066" s="10"/>
      <c r="B2066" s="10"/>
      <c r="C2066" s="18" t="s">
        <v>96</v>
      </c>
      <c r="D2066" s="10"/>
      <c r="F2066" s="5">
        <f>SUMIFS('YG_PL(M)'!AP$58:AP$72, 'YG_PL(M)'!$B$58:$B$72, $C2066, 'YG_PL(M)'!$J$58:$J$72, "教育")</f>
        <v>0</v>
      </c>
    </row>
    <row r="2067" ht="15.75" customHeight="1">
      <c r="A2067" s="10"/>
      <c r="B2067" s="10"/>
      <c r="C2067" s="18" t="s">
        <v>97</v>
      </c>
      <c r="D2067" s="10"/>
      <c r="F2067" s="5">
        <f>SUMIFS('YG_PL(M)'!AP$58:AP$72, 'YG_PL(M)'!$B$58:$B$72, $C2067, 'YG_PL(M)'!$J$58:$J$72, "教育")</f>
        <v>0</v>
      </c>
    </row>
    <row r="2068" ht="15.75" customHeight="1">
      <c r="A2068" s="10"/>
      <c r="B2068" s="10"/>
      <c r="C2068" s="18" t="s">
        <v>98</v>
      </c>
      <c r="D2068" s="10"/>
      <c r="F2068" s="5">
        <f>SUMIFS('YG_PL(M)'!AP$58:AP$72, 'YG_PL(M)'!$B$58:$B$72, $C2068, 'YG_PL(M)'!$J$58:$J$72, "教育")</f>
        <v>0</v>
      </c>
    </row>
    <row r="2069" ht="15.75" customHeight="1">
      <c r="A2069" s="10"/>
      <c r="B2069" s="10"/>
      <c r="C2069" s="18" t="s">
        <v>99</v>
      </c>
      <c r="D2069" s="10"/>
      <c r="F2069" s="5">
        <f>SUMIFS('YG_PL(M)'!AP$58:AP$72, 'YG_PL(M)'!$B$58:$B$72, $C2069, 'YG_PL(M)'!$J$58:$J$72, "教育")</f>
        <v>0</v>
      </c>
    </row>
    <row r="2070" ht="15.75" customHeight="1">
      <c r="A2070" s="10"/>
      <c r="B2070" s="10"/>
      <c r="C2070" s="18" t="s">
        <v>100</v>
      </c>
      <c r="D2070" s="10"/>
      <c r="F2070" s="5">
        <f>SUMIFS('YG_PL(M)'!AP$58:AP$72, 'YG_PL(M)'!$B$58:$B$72, $C2070, 'YG_PL(M)'!$J$58:$J$72, "教育")</f>
        <v>-25909169</v>
      </c>
    </row>
    <row r="2071" ht="15.75" customHeight="1">
      <c r="A2071" s="10"/>
      <c r="B2071" s="10"/>
      <c r="C2071" s="18" t="s">
        <v>178</v>
      </c>
      <c r="D2071" s="10"/>
      <c r="F2071" s="5">
        <f>SUMIFS('YG_PL(M)'!AP$58:AP$72, 'YG_PL(M)'!$B$58:$B$72, $C2071, 'YG_PL(M)'!$J$58:$J$72, "教育")</f>
        <v>-2728698</v>
      </c>
    </row>
    <row r="2072" ht="15.75" customHeight="1">
      <c r="A2072" s="10"/>
      <c r="B2072" s="10"/>
      <c r="C2072" s="18" t="s">
        <v>213</v>
      </c>
      <c r="D2072" s="10"/>
      <c r="F2072" s="5">
        <f>SUMIFS('YG_PL(M)'!AP$58:AP$72, 'YG_PL(M)'!$B$58:$B$72, $C2072, 'YG_PL(M)'!$J$58:$J$72, "教育")</f>
        <v>0</v>
      </c>
    </row>
    <row r="2073" ht="15.75" customHeight="1">
      <c r="A2073" s="18"/>
      <c r="B2073" s="18" t="s">
        <v>102</v>
      </c>
      <c r="C2073" s="10"/>
      <c r="D2073" s="10"/>
      <c r="F2073" s="6">
        <f>-SUM(F2042:F2072)</f>
        <v>112021435</v>
      </c>
    </row>
    <row r="2074" ht="15.75" customHeight="1" collapsed="1">
      <c r="A2074" s="18"/>
      <c r="B2074" s="18" t="s">
        <v>31</v>
      </c>
      <c r="C2074" s="10"/>
      <c r="D2074" s="10"/>
      <c r="F2074" s="6">
        <f>F2040-F2073</f>
        <v>-8330168</v>
      </c>
    </row>
    <row r="2075" ht="15.75" hidden="1" customHeight="1" outlineLevel="1">
      <c r="A2075" s="18"/>
      <c r="B2075" s="18" t="s">
        <v>32</v>
      </c>
      <c r="C2075" s="18"/>
      <c r="D2075" s="10"/>
      <c r="F2075" s="6"/>
    </row>
    <row r="2076" ht="15.75" hidden="1" customHeight="1" outlineLevel="1">
      <c r="A2076" s="10"/>
      <c r="B2076" s="10"/>
      <c r="C2076" s="18" t="s">
        <v>103</v>
      </c>
      <c r="D2076" s="10"/>
      <c r="F2076" s="6"/>
    </row>
    <row r="2077" ht="15.75" hidden="1" customHeight="1" outlineLevel="1">
      <c r="A2077" s="10"/>
      <c r="B2077" s="10"/>
      <c r="C2077" s="10" t="s">
        <v>104</v>
      </c>
      <c r="D2077" s="10"/>
      <c r="F2077" s="6"/>
    </row>
    <row r="2078" ht="15.75" hidden="1" customHeight="1" outlineLevel="1">
      <c r="A2078" s="10"/>
      <c r="B2078" s="10"/>
      <c r="C2078" s="18" t="s">
        <v>105</v>
      </c>
      <c r="D2078" s="10"/>
      <c r="F2078" s="6"/>
    </row>
    <row r="2079" ht="15.75" hidden="1" customHeight="1" outlineLevel="1">
      <c r="A2079" s="10"/>
      <c r="B2079" s="10"/>
      <c r="C2079" s="10" t="s">
        <v>106</v>
      </c>
      <c r="D2079" s="10"/>
      <c r="F2079" s="6"/>
    </row>
    <row r="2080" ht="15.75" hidden="1" customHeight="1" outlineLevel="1">
      <c r="A2080" s="10"/>
      <c r="B2080" s="10"/>
      <c r="C2080" s="18" t="s">
        <v>107</v>
      </c>
      <c r="D2080" s="10"/>
      <c r="F2080" s="6"/>
    </row>
    <row r="2081" ht="15.75" hidden="1" customHeight="1" outlineLevel="1">
      <c r="A2081" s="10"/>
      <c r="B2081" s="10"/>
      <c r="C2081" s="18" t="s">
        <v>108</v>
      </c>
      <c r="D2081" s="10"/>
      <c r="F2081" s="6"/>
    </row>
    <row r="2082" ht="15.75" hidden="1" customHeight="1" outlineLevel="1">
      <c r="A2082" s="18"/>
      <c r="B2082" s="18" t="s">
        <v>34</v>
      </c>
      <c r="C2082" s="18"/>
      <c r="D2082" s="10"/>
      <c r="F2082" s="6"/>
    </row>
    <row r="2083" ht="15.75" hidden="1" customHeight="1" outlineLevel="1">
      <c r="A2083" s="10"/>
      <c r="B2083" s="10"/>
      <c r="C2083" s="18" t="s">
        <v>109</v>
      </c>
      <c r="D2083" s="10"/>
      <c r="F2083" s="6"/>
    </row>
    <row r="2084" ht="15.75" hidden="1" customHeight="1" outlineLevel="1">
      <c r="A2084" s="10"/>
      <c r="B2084" s="10"/>
      <c r="C2084" s="18" t="s">
        <v>110</v>
      </c>
      <c r="D2084" s="10"/>
      <c r="F2084" s="6"/>
    </row>
    <row r="2085" ht="15.75" hidden="1" customHeight="1" outlineLevel="1">
      <c r="A2085" s="10"/>
      <c r="B2085" s="10"/>
      <c r="C2085" s="18" t="s">
        <v>111</v>
      </c>
      <c r="D2085" s="10"/>
      <c r="F2085" s="6"/>
    </row>
    <row r="2086" ht="15.75" hidden="1" customHeight="1" outlineLevel="1">
      <c r="A2086" s="18"/>
      <c r="B2086" s="18" t="s">
        <v>112</v>
      </c>
      <c r="C2086" s="10"/>
      <c r="D2086" s="10"/>
      <c r="F2086" s="6"/>
    </row>
    <row r="2087" ht="15.75" hidden="1" customHeight="1" outlineLevel="1">
      <c r="A2087" s="18"/>
      <c r="B2087" s="18" t="s">
        <v>37</v>
      </c>
      <c r="D2087" s="10"/>
      <c r="F2087" s="6"/>
    </row>
    <row r="2088" ht="15.75" hidden="1" customHeight="1" outlineLevel="1">
      <c r="A2088" s="10"/>
      <c r="B2088" s="10"/>
      <c r="C2088" s="10" t="s">
        <v>113</v>
      </c>
      <c r="F2088" s="6"/>
    </row>
    <row r="2089" ht="15.75" hidden="1" customHeight="1" outlineLevel="1">
      <c r="A2089" s="10"/>
      <c r="B2089" s="10"/>
      <c r="C2089" s="18"/>
      <c r="D2089" s="18"/>
      <c r="F2089" s="6"/>
    </row>
    <row r="2090" ht="15.75" hidden="1" customHeight="1" outlineLevel="1">
      <c r="A2090" s="18"/>
      <c r="B2090" s="18" t="s">
        <v>39</v>
      </c>
      <c r="D2090" s="18"/>
      <c r="F2090" s="6"/>
    </row>
    <row r="2091" ht="15.75" hidden="1" customHeight="1" outlineLevel="1">
      <c r="A2091" s="18"/>
      <c r="B2091" s="18"/>
      <c r="C2091" s="18" t="s">
        <v>114</v>
      </c>
      <c r="F2091" s="6"/>
    </row>
    <row r="2092" ht="15.75" hidden="1" customHeight="1" outlineLevel="1">
      <c r="A2092" s="18"/>
      <c r="B2092" s="18"/>
      <c r="C2092" s="10" t="s">
        <v>115</v>
      </c>
      <c r="F2092" s="6"/>
    </row>
    <row r="2093" ht="15.75" hidden="1" customHeight="1" outlineLevel="1">
      <c r="A2093" s="18"/>
      <c r="B2093" s="18"/>
      <c r="C2093" s="10" t="s">
        <v>116</v>
      </c>
      <c r="F2093" s="6"/>
    </row>
    <row r="2094" ht="15.75" hidden="1" customHeight="1" outlineLevel="1">
      <c r="A2094" s="18"/>
      <c r="B2094" s="18" t="s">
        <v>117</v>
      </c>
      <c r="C2094" s="10"/>
      <c r="F2094" s="5"/>
    </row>
    <row r="2095" ht="15.75" hidden="1" customHeight="1" outlineLevel="1">
      <c r="A2095" s="10"/>
      <c r="B2095" s="10"/>
      <c r="C2095" s="18" t="s">
        <v>43</v>
      </c>
      <c r="D2095" s="10"/>
      <c r="F2095" s="5"/>
    </row>
    <row r="2096" ht="15.75" hidden="1" customHeight="1" outlineLevel="1">
      <c r="A2096" s="10"/>
      <c r="B2096" s="10"/>
      <c r="C2096" s="18" t="s">
        <v>118</v>
      </c>
      <c r="D2096" s="10"/>
      <c r="F2096" s="6"/>
    </row>
    <row r="2097" ht="15.75" hidden="1" customHeight="1" outlineLevel="1">
      <c r="A2097" s="37"/>
      <c r="B2097" s="37"/>
      <c r="C2097" s="26" t="s">
        <v>118</v>
      </c>
      <c r="D2097" s="26"/>
      <c r="F2097" s="26"/>
    </row>
    <row r="2098" ht="15.75" hidden="1" customHeight="1" outlineLevel="1">
      <c r="A2098" s="10"/>
      <c r="B2098" s="10" t="s">
        <v>119</v>
      </c>
      <c r="C2098" s="10"/>
      <c r="D2098" s="10"/>
      <c r="F2098" s="17"/>
    </row>
    <row r="2099" ht="15.75" customHeight="1">
      <c r="A2099" s="18"/>
      <c r="B2099" s="18"/>
      <c r="C2099" s="10"/>
      <c r="D2099" s="10"/>
      <c r="F2099" s="10"/>
    </row>
    <row r="2100" ht="15.75" customHeight="1">
      <c r="A2100" s="10"/>
      <c r="B2100" s="10"/>
      <c r="C2100" s="4" t="s">
        <v>214</v>
      </c>
      <c r="D2100" s="10"/>
      <c r="F2100" s="6"/>
    </row>
    <row r="2101" ht="15.75" customHeight="1">
      <c r="A2101" s="18"/>
      <c r="B2101" s="18" t="s">
        <v>1</v>
      </c>
      <c r="C2101" s="10"/>
      <c r="D2101" s="10"/>
      <c r="F2101" s="6">
        <f>SUMIFS('YG_PL(M)'!AP$76:AP$111, 'YG_PL(M)'!$B$76:$B$111, "売上高", 'YG_PL(M)'!$J$76:$J$111, "エンタメ")</f>
        <v>1442655107</v>
      </c>
    </row>
    <row r="2102" ht="15.75" customHeight="1">
      <c r="A2102" s="18"/>
      <c r="B2102" s="18" t="s">
        <v>67</v>
      </c>
      <c r="C2102" s="10"/>
      <c r="D2102" s="10"/>
      <c r="F2102" s="10"/>
    </row>
    <row r="2103" ht="15.75" customHeight="1">
      <c r="A2103" s="18"/>
      <c r="B2103" s="18" t="s">
        <v>28</v>
      </c>
      <c r="C2103" s="10"/>
      <c r="D2103" s="10"/>
      <c r="F2103" s="10"/>
    </row>
    <row r="2104" ht="15.75" customHeight="1">
      <c r="A2104" s="10"/>
      <c r="B2104" s="10"/>
      <c r="C2104" s="18" t="s">
        <v>68</v>
      </c>
      <c r="D2104" s="10"/>
      <c r="F2104" s="10"/>
    </row>
    <row r="2105" ht="15.75" customHeight="1">
      <c r="A2105" s="10"/>
      <c r="B2105" s="10"/>
      <c r="C2105" s="18" t="s">
        <v>69</v>
      </c>
      <c r="D2105" s="10"/>
      <c r="F2105" s="5">
        <f t="array" ref="F2105">-SUMPRODUCT('YG_PL(M)'!AP$9:AP$161 * ('YG_PL(M)'!$J$9:$J$161="エンタメ") * ISNUMBER(MATCH('YG_PL(M)'!$B$9:$B$161, {"当期商品仕入高","外注費","荷造運賃","支払手数料","保険料","広告宣伝費","その他","採用教育費"}, 0)))</f>
        <v>807054435</v>
      </c>
    </row>
    <row r="2106" ht="15.75" customHeight="1">
      <c r="A2106" s="10"/>
      <c r="B2106" s="10"/>
      <c r="C2106" s="18" t="s">
        <v>71</v>
      </c>
      <c r="D2106" s="10"/>
    </row>
    <row r="2107" ht="15.75" customHeight="1">
      <c r="A2107" s="18"/>
      <c r="B2107" s="18" t="s">
        <v>28</v>
      </c>
      <c r="C2107" s="10"/>
      <c r="D2107" s="10"/>
      <c r="F2107" s="5">
        <f>F2104+F2105-F2106</f>
        <v>807054435</v>
      </c>
    </row>
    <row r="2108" ht="15.75" customHeight="1">
      <c r="A2108" s="18"/>
      <c r="B2108" s="18" t="s">
        <v>5</v>
      </c>
      <c r="C2108" s="10"/>
      <c r="D2108" s="10"/>
      <c r="F2108" s="5">
        <f>F2101-F2105</f>
        <v>635600672</v>
      </c>
    </row>
    <row r="2109" ht="15.75" customHeight="1" collapsed="1">
      <c r="A2109" s="18"/>
      <c r="B2109" s="18" t="s">
        <v>29</v>
      </c>
      <c r="C2109" s="10"/>
      <c r="D2109" s="10"/>
      <c r="F2109" s="10"/>
    </row>
    <row r="2110" ht="15.75" hidden="1" customHeight="1" outlineLevel="1">
      <c r="A2110" s="10"/>
      <c r="B2110" s="10"/>
      <c r="C2110" s="18" t="s">
        <v>72</v>
      </c>
      <c r="D2110" s="10"/>
      <c r="F2110" s="5">
        <f t="array" ref="F2110">-SUMIFS('YG_PL(M)'!AP$87:AP$101, 'YG_PL(M)'!$B$87:$B$101, XLOOKUP($C2110, 'マスタ'!$D$2:$D$318, 'マスタ'!$D$2:$D$318, $C2110))</f>
        <v>0</v>
      </c>
    </row>
    <row r="2111" ht="15.75" hidden="1" customHeight="1" outlineLevel="1">
      <c r="A2111" s="10"/>
      <c r="B2111" s="10"/>
      <c r="C2111" s="18" t="s">
        <v>73</v>
      </c>
      <c r="D2111" s="10"/>
      <c r="F2111" s="5">
        <f t="array" ref="F2111">-SUMIFS('YG_PL(M)'!AP$87:AP$101, 'YG_PL(M)'!$B$87:$B$101, XLOOKUP($C2111, 'マスタ'!$D$2:$D$318, 'マスタ'!$D$2:$D$318, $C2111))</f>
        <v>0</v>
      </c>
    </row>
    <row r="2112" ht="15.75" hidden="1" customHeight="1" outlineLevel="1">
      <c r="A2112" s="10"/>
      <c r="B2112" s="10"/>
      <c r="C2112" s="18" t="s">
        <v>74</v>
      </c>
      <c r="D2112" s="10"/>
      <c r="F2112" s="5">
        <f t="array" ref="F2112">-SUMIFS('YG_PL(M)'!AP$87:AP$101, 'YG_PL(M)'!$B$87:$B$101, XLOOKUP($C2112, 'マスタ'!$D$2:$D$318, 'マスタ'!$D$2:$D$318, $C2112))</f>
        <v>0</v>
      </c>
    </row>
    <row r="2113" ht="15.75" hidden="1" customHeight="1" outlineLevel="1">
      <c r="A2113" s="10"/>
      <c r="B2113" s="10"/>
      <c r="C2113" s="18" t="s">
        <v>75</v>
      </c>
      <c r="D2113" s="10"/>
      <c r="F2113" s="5">
        <f t="array" ref="F2113">-SUMIFS('YG_PL(M)'!AP$87:AP$101, 'YG_PL(M)'!$B$87:$B$101, XLOOKUP($C2113, 'マスタ'!$D$2:$D$318, 'マスタ'!$D$2:$D$318, $C2113))</f>
        <v>0</v>
      </c>
    </row>
    <row r="2114" ht="15.75" hidden="1" customHeight="1" outlineLevel="1">
      <c r="A2114" s="10"/>
      <c r="B2114" s="10"/>
      <c r="C2114" s="18" t="s">
        <v>76</v>
      </c>
      <c r="D2114" s="10"/>
      <c r="F2114" s="5">
        <f t="array" ref="F2114">-SUMIFS('YG_PL(M)'!AP$87:AP$101, 'YG_PL(M)'!$B$87:$B$101, XLOOKUP($C2114, 'マスタ'!$D$2:$D$318, 'マスタ'!$D$2:$D$318, $C2114))</f>
        <v>0</v>
      </c>
    </row>
    <row r="2115" ht="15.75" hidden="1" customHeight="1" outlineLevel="1">
      <c r="A2115" s="10"/>
      <c r="B2115" s="10"/>
      <c r="C2115" s="18" t="s">
        <v>77</v>
      </c>
      <c r="D2115" s="10"/>
      <c r="F2115" s="5">
        <f t="array" ref="F2115">-SUMIFS('YG_PL(M)'!AP$87:AP$101, 'YG_PL(M)'!$B$87:$B$101, XLOOKUP($C2115, 'マスタ'!$D$2:$D$318, 'マスタ'!$D$2:$D$318, $C2115))</f>
        <v>0</v>
      </c>
    </row>
    <row r="2116" ht="15.75" hidden="1" customHeight="1" outlineLevel="1">
      <c r="A2116" s="10"/>
      <c r="B2116" s="10"/>
      <c r="C2116" s="18" t="s">
        <v>78</v>
      </c>
      <c r="D2116" s="10"/>
      <c r="F2116" s="5">
        <f t="array" ref="F2116">-SUMIFS('YG_PL(M)'!AP$87:AP$101, 'YG_PL(M)'!$B$87:$B$101, XLOOKUP($C2116, 'マスタ'!$D$2:$D$318, 'マスタ'!$D$2:$D$318, $C2116))</f>
        <v>0</v>
      </c>
    </row>
    <row r="2117" ht="15.75" hidden="1" customHeight="1" outlineLevel="1">
      <c r="A2117" s="10"/>
      <c r="B2117" s="10"/>
      <c r="C2117" s="18" t="s">
        <v>79</v>
      </c>
      <c r="D2117" s="10"/>
      <c r="F2117" s="5">
        <f t="array" ref="F2117">-SUMIFS('YG_PL(M)'!AP$87:AP$101, 'YG_PL(M)'!$B$87:$B$101, XLOOKUP($C2117, 'マスタ'!$D$2:$D$318, 'マスタ'!$D$2:$D$318, $C2117))</f>
        <v>0</v>
      </c>
    </row>
    <row r="2118" ht="15.75" hidden="1" customHeight="1" outlineLevel="1">
      <c r="A2118" s="10"/>
      <c r="B2118" s="10"/>
      <c r="C2118" s="18" t="s">
        <v>80</v>
      </c>
      <c r="D2118" s="10"/>
      <c r="F2118" s="5">
        <f t="array" ref="F2118">-SUMIFS('YG_PL(M)'!AP$87:AP$101, 'YG_PL(M)'!$B$87:$B$101, XLOOKUP($C2118, 'マスタ'!$D$2:$D$318, 'マスタ'!$D$2:$D$318, $C2118))</f>
        <v>0</v>
      </c>
    </row>
    <row r="2119" ht="15.75" hidden="1" customHeight="1" outlineLevel="1">
      <c r="A2119" s="10"/>
      <c r="B2119" s="10"/>
      <c r="C2119" s="18" t="s">
        <v>81</v>
      </c>
      <c r="D2119" s="10"/>
      <c r="F2119" s="5">
        <f t="array" ref="F2119">-SUMIFS('YG_PL(M)'!AP$87:AP$101, 'YG_PL(M)'!$B$87:$B$101, XLOOKUP($C2119, 'マスタ'!$D$2:$D$318, 'マスタ'!$D$2:$D$318, $C2119))</f>
        <v>0</v>
      </c>
    </row>
    <row r="2120" ht="15.75" customHeight="1">
      <c r="A2120" s="10"/>
      <c r="B2120" s="10"/>
      <c r="C2120" s="18" t="s">
        <v>82</v>
      </c>
      <c r="D2120" s="10"/>
      <c r="F2120" s="5">
        <f t="array" ref="F2120">-SUMIFS('YG_PL(M)'!AP$87:AP$101, 'YG_PL(M)'!$B$87:$B$101, XLOOKUP($C2120, 'マスタ'!$D$2:$D$318, 'マスタ'!$D$2:$D$318, $C2120))</f>
        <v>1226028</v>
      </c>
    </row>
    <row r="2121" ht="15.75" customHeight="1">
      <c r="A2121" s="10"/>
      <c r="B2121" s="10"/>
      <c r="C2121" s="18" t="s">
        <v>83</v>
      </c>
      <c r="D2121" s="10"/>
      <c r="F2121" s="5">
        <f t="array" ref="F2121">-SUMIFS('YG_PL(M)'!AP$87:AP$101, 'YG_PL(M)'!$B$87:$B$101, XLOOKUP($C2121, 'マスタ'!$D$2:$D$318, 'マスタ'!$D$2:$D$318, $C2121))</f>
        <v>1237050</v>
      </c>
    </row>
    <row r="2122" ht="15.75" customHeight="1">
      <c r="A2122" s="10"/>
      <c r="B2122" s="10"/>
      <c r="C2122" s="18" t="s">
        <v>84</v>
      </c>
      <c r="D2122" s="10"/>
      <c r="F2122" s="5">
        <f t="array" ref="F2122">-SUMIFS('YG_PL(M)'!AP$87:AP$101, 'YG_PL(M)'!$B$87:$B$101, XLOOKUP($C2122, 'マスタ'!$D$2:$D$318, 'マスタ'!$D$2:$D$318, $C2122))</f>
        <v>328955</v>
      </c>
    </row>
    <row r="2123" ht="15.75" customHeight="1">
      <c r="A2123" s="10"/>
      <c r="B2123" s="10"/>
      <c r="C2123" s="18" t="s">
        <v>85</v>
      </c>
      <c r="D2123" s="10"/>
      <c r="F2123" s="5">
        <f t="array" ref="F2123">-SUMIFS('YG_PL(M)'!AP$87:AP$101, 'YG_PL(M)'!$B$87:$B$101, XLOOKUP($C2123, 'マスタ'!$D$2:$D$318, 'マスタ'!$D$2:$D$318, $C2123))</f>
        <v>0</v>
      </c>
    </row>
    <row r="2124" ht="15.75" customHeight="1">
      <c r="A2124" s="10"/>
      <c r="B2124" s="10"/>
      <c r="C2124" s="18" t="s">
        <v>86</v>
      </c>
      <c r="D2124" s="10"/>
      <c r="F2124" s="5">
        <f t="array" ref="F2124">-SUMIFS('YG_PL(M)'!AP$87:AP$101, 'YG_PL(M)'!$B$87:$B$101, XLOOKUP($C2124, 'マスタ'!$D$2:$D$318, 'マスタ'!$D$2:$D$318, $C2124))</f>
        <v>471563</v>
      </c>
    </row>
    <row r="2125" ht="15.75" customHeight="1">
      <c r="A2125" s="10"/>
      <c r="B2125" s="10"/>
      <c r="C2125" s="18" t="s">
        <v>87</v>
      </c>
      <c r="D2125" s="10"/>
      <c r="F2125" s="5">
        <f t="array" ref="F2125">-SUMIFS('YG_PL(M)'!AP$87:AP$101, 'YG_PL(M)'!$B$87:$B$101, XLOOKUP($C2125, 'マスタ'!$D$2:$D$318, 'マスタ'!$D$2:$D$318, $C2125))</f>
        <v>4358026</v>
      </c>
    </row>
    <row r="2126" ht="15.75" customHeight="1">
      <c r="A2126" s="10"/>
      <c r="B2126" s="10"/>
      <c r="C2126" s="18" t="s">
        <v>88</v>
      </c>
      <c r="D2126" s="10"/>
      <c r="F2126" s="5">
        <f t="array" ref="F2126">-SUMIFS('YG_PL(M)'!AP$87:AP$101, 'YG_PL(M)'!$B$87:$B$101, XLOOKUP($C2126, 'マスタ'!$D$2:$D$318, 'マスタ'!$D$2:$D$318, $C2126))</f>
        <v>0</v>
      </c>
    </row>
    <row r="2127" ht="15.75" customHeight="1">
      <c r="A2127" s="10"/>
      <c r="B2127" s="10"/>
      <c r="C2127" s="18" t="s">
        <v>89</v>
      </c>
      <c r="D2127" s="10"/>
      <c r="F2127" s="5">
        <f t="array" ref="F2127">-SUMIFS('YG_PL(M)'!AP$87:AP$101, 'YG_PL(M)'!$B$87:$B$101, XLOOKUP($C2127, 'マスタ'!$D$2:$D$318, 'マスタ'!$D$2:$D$318, $C2127))</f>
        <v>0</v>
      </c>
    </row>
    <row r="2128" ht="15.75" customHeight="1">
      <c r="A2128" s="10"/>
      <c r="B2128" s="10"/>
      <c r="C2128" s="18" t="s">
        <v>90</v>
      </c>
      <c r="D2128" s="10"/>
      <c r="F2128" s="5">
        <f t="array" ref="F2128">-SUMIFS('YG_PL(M)'!AP$87:AP$101, 'YG_PL(M)'!$B$87:$B$101, XLOOKUP($C2128, 'マスタ'!$D$2:$D$318, 'マスタ'!$D$2:$D$318, $C2128))</f>
        <v>0</v>
      </c>
    </row>
    <row r="2129" ht="15.75" customHeight="1">
      <c r="A2129" s="10"/>
      <c r="B2129" s="10"/>
      <c r="C2129" s="18" t="s">
        <v>91</v>
      </c>
      <c r="D2129" s="10"/>
      <c r="F2129" s="5">
        <f t="array" ref="F2129">-SUMIFS('YG_PL(M)'!AP$87:AP$101, 'YG_PL(M)'!$B$87:$B$101, XLOOKUP($C2129, 'マスタ'!$D$2:$D$318, 'マスタ'!$D$2:$D$318, $C2129))</f>
        <v>20900</v>
      </c>
    </row>
    <row r="2130" ht="15.75" customHeight="1">
      <c r="A2130" s="10"/>
      <c r="B2130" s="10"/>
      <c r="C2130" s="18" t="s">
        <v>92</v>
      </c>
      <c r="D2130" s="10"/>
      <c r="F2130" s="5">
        <f t="array" ref="F2130">-SUMIFS('YG_PL(M)'!AP$87:AP$101, 'YG_PL(M)'!$B$87:$B$101, XLOOKUP($C2130, 'マスタ'!$D$2:$D$318, 'マスタ'!$D$2:$D$318, $C2130))</f>
        <v>0</v>
      </c>
    </row>
    <row r="2131" ht="15.75" customHeight="1">
      <c r="A2131" s="10"/>
      <c r="B2131" s="10"/>
      <c r="C2131" s="18" t="s">
        <v>93</v>
      </c>
      <c r="D2131" s="10"/>
      <c r="F2131" s="5">
        <f t="array" ref="F2131">-SUMIFS('YG_PL(M)'!AP$87:AP$101, 'YG_PL(M)'!$B$87:$B$101, XLOOKUP($C2131, 'マスタ'!$D$2:$D$318, 'マスタ'!$D$2:$D$318, $C2131))</f>
        <v>100000</v>
      </c>
    </row>
    <row r="2132" ht="15.75" customHeight="1">
      <c r="A2132" s="10"/>
      <c r="B2132" s="10"/>
      <c r="C2132" s="18" t="s">
        <v>94</v>
      </c>
      <c r="D2132" s="10"/>
      <c r="F2132" s="5">
        <f t="array" ref="F2132">-SUMIFS('YG_PL(M)'!AP$87:AP$101, 'YG_PL(M)'!$B$87:$B$101, XLOOKUP($C2132, 'マスタ'!$D$2:$D$318, 'マスタ'!$D$2:$D$318, $C2132))</f>
        <v>0</v>
      </c>
    </row>
    <row r="2133" ht="15.75" customHeight="1">
      <c r="A2133" s="10"/>
      <c r="B2133" s="10"/>
      <c r="C2133" s="18" t="s">
        <v>95</v>
      </c>
      <c r="D2133" s="10"/>
      <c r="F2133" s="5">
        <f t="array" ref="F2133">-SUMIFS('YG_PL(M)'!AP$87:AP$101, 'YG_PL(M)'!$B$87:$B$101, XLOOKUP($C2133, 'マスタ'!$D$2:$D$318, 'マスタ'!$D$2:$D$318, $C2133))</f>
        <v>515984</v>
      </c>
    </row>
    <row r="2134" ht="15.75" customHeight="1">
      <c r="A2134" s="10"/>
      <c r="B2134" s="10"/>
      <c r="C2134" s="18" t="s">
        <v>96</v>
      </c>
      <c r="D2134" s="10"/>
      <c r="F2134" s="5">
        <f t="array" ref="F2134">-SUMIFS('YG_PL(M)'!AP$87:AP$101, 'YG_PL(M)'!$B$87:$B$101, XLOOKUP($C2134, 'マスタ'!$D$2:$D$318, 'マスタ'!$D$2:$D$318, $C2134))</f>
        <v>0</v>
      </c>
    </row>
    <row r="2135" ht="15.75" customHeight="1">
      <c r="A2135" s="10"/>
      <c r="B2135" s="10"/>
      <c r="C2135" s="18" t="s">
        <v>97</v>
      </c>
      <c r="D2135" s="10"/>
      <c r="F2135" s="5">
        <f t="array" ref="F2135">-SUMIFS('YG_PL(M)'!AP$87:AP$101, 'YG_PL(M)'!$B$87:$B$101, XLOOKUP($C2135, 'マスタ'!$D$2:$D$318, 'マスタ'!$D$2:$D$318, $C2135))</f>
        <v>0</v>
      </c>
    </row>
    <row r="2136" ht="15.75" customHeight="1">
      <c r="A2136" s="10"/>
      <c r="B2136" s="10"/>
      <c r="C2136" s="18" t="s">
        <v>98</v>
      </c>
      <c r="D2136" s="10"/>
      <c r="F2136" s="5">
        <f t="array" ref="F2136">-SUMIFS('YG_PL(M)'!AP$87:AP$101, 'YG_PL(M)'!$B$87:$B$101, XLOOKUP($C2136, 'マスタ'!$D$2:$D$318, 'マスタ'!$D$2:$D$318, $C2136))</f>
        <v>0</v>
      </c>
    </row>
    <row r="2137" ht="15.75" customHeight="1">
      <c r="A2137" s="10"/>
      <c r="B2137" s="10"/>
      <c r="C2137" s="18" t="s">
        <v>99</v>
      </c>
      <c r="D2137" s="10"/>
      <c r="F2137" s="5">
        <f t="array" ref="F2137">-SUMIFS('YG_PL(M)'!AP$87:AP$101, 'YG_PL(M)'!$B$87:$B$101, XLOOKUP($C2137, 'マスタ'!$D$2:$D$318, 'マスタ'!$D$2:$D$318, $C2137))</f>
        <v>0</v>
      </c>
    </row>
    <row r="2138" ht="15.75" customHeight="1">
      <c r="A2138" s="10"/>
      <c r="B2138" s="10"/>
      <c r="C2138" s="18" t="s">
        <v>178</v>
      </c>
      <c r="D2138" s="10"/>
      <c r="F2138" s="5">
        <f t="array" ref="F2138">-SUMIFS('YG_PL(M)'!AP$87:AP$101, 'YG_PL(M)'!$B$87:$B$101, XLOOKUP($C2138, 'マスタ'!$D$2:$D$318, 'マスタ'!$D$2:$D$318, $C2138))</f>
        <v>38029</v>
      </c>
    </row>
    <row r="2139" ht="15.75" customHeight="1">
      <c r="A2139" s="10"/>
      <c r="B2139" s="10"/>
      <c r="C2139" s="18" t="s">
        <v>100</v>
      </c>
      <c r="D2139" s="10"/>
      <c r="F2139" s="5">
        <f t="array" ref="F2139">-SUMIFS('YG_PL(M)'!AP$87:AP$101, 'YG_PL(M)'!$B$87:$B$101, XLOOKUP($C2139, 'マスタ'!$D$2:$D$318, 'マスタ'!$D$2:$D$318, $C2139))</f>
        <v>3588699</v>
      </c>
    </row>
    <row r="2140" ht="15.75" customHeight="1">
      <c r="A2140" s="10"/>
      <c r="B2140" s="10"/>
      <c r="C2140" s="18" t="s">
        <v>213</v>
      </c>
      <c r="D2140" s="10"/>
      <c r="F2140" s="5">
        <f t="array" ref="F2140">-SUMIFS('YG_PL(M)'!AP$87:AP$101, 'YG_PL(M)'!$B$87:$B$101, XLOOKUP($C2140, 'マスタ'!$D$2:$D$318, 'マスタ'!$D$2:$D$318, $C2140))</f>
        <v>0</v>
      </c>
    </row>
    <row r="2141" ht="15.75" customHeight="1">
      <c r="A2141" s="18"/>
      <c r="B2141" s="18" t="s">
        <v>102</v>
      </c>
      <c r="C2141" s="10"/>
      <c r="D2141" s="10"/>
      <c r="F2141" s="5">
        <f>SUM(F2110:F2140)</f>
        <v>11885234</v>
      </c>
    </row>
    <row r="2142" ht="15.75" customHeight="1" collapsed="1">
      <c r="A2142" s="18"/>
      <c r="B2142" s="18" t="s">
        <v>31</v>
      </c>
      <c r="C2142" s="10"/>
      <c r="D2142" s="10"/>
      <c r="F2142" s="5">
        <f>F2108-F2141</f>
        <v>623715438</v>
      </c>
    </row>
    <row r="2143" ht="15.75" hidden="1" customHeight="1" outlineLevel="1">
      <c r="A2143" s="18"/>
      <c r="B2143" s="18" t="s">
        <v>32</v>
      </c>
      <c r="C2143" s="18"/>
      <c r="D2143" s="10"/>
      <c r="F2143" s="10"/>
    </row>
    <row r="2144" ht="15.75" hidden="1" customHeight="1" outlineLevel="1">
      <c r="A2144" s="10"/>
      <c r="B2144" s="10"/>
      <c r="C2144" s="18" t="s">
        <v>103</v>
      </c>
      <c r="D2144" s="10"/>
      <c r="F2144" s="10"/>
    </row>
    <row r="2145" ht="15.75" hidden="1" customHeight="1" outlineLevel="1">
      <c r="A2145" s="10"/>
      <c r="B2145" s="10"/>
      <c r="C2145" s="10" t="s">
        <v>104</v>
      </c>
      <c r="D2145" s="10"/>
      <c r="F2145" s="10"/>
    </row>
    <row r="2146" ht="15.75" hidden="1" customHeight="1" outlineLevel="1">
      <c r="A2146" s="10"/>
      <c r="B2146" s="10"/>
      <c r="C2146" s="18" t="s">
        <v>105</v>
      </c>
      <c r="D2146" s="10"/>
      <c r="F2146" s="10"/>
    </row>
    <row r="2147" ht="15.75" hidden="1" customHeight="1" outlineLevel="1">
      <c r="A2147" s="10"/>
      <c r="B2147" s="10"/>
      <c r="C2147" s="10" t="s">
        <v>106</v>
      </c>
      <c r="D2147" s="10"/>
      <c r="F2147" s="10"/>
    </row>
    <row r="2148" ht="15.75" hidden="1" customHeight="1" outlineLevel="1">
      <c r="A2148" s="10"/>
      <c r="B2148" s="10"/>
      <c r="C2148" s="18" t="s">
        <v>107</v>
      </c>
      <c r="D2148" s="10"/>
      <c r="F2148" s="10"/>
    </row>
    <row r="2149" ht="15.75" hidden="1" customHeight="1" outlineLevel="1">
      <c r="A2149" s="10"/>
      <c r="B2149" s="10"/>
      <c r="C2149" s="18" t="s">
        <v>108</v>
      </c>
      <c r="D2149" s="10"/>
      <c r="F2149" s="10"/>
    </row>
    <row r="2150" ht="15.75" hidden="1" customHeight="1" outlineLevel="1">
      <c r="A2150" s="18"/>
      <c r="B2150" s="18" t="s">
        <v>34</v>
      </c>
      <c r="C2150" s="18"/>
      <c r="D2150" s="10"/>
      <c r="F2150" s="10"/>
    </row>
    <row r="2151" ht="15.75" hidden="1" customHeight="1" outlineLevel="1">
      <c r="A2151" s="10"/>
      <c r="B2151" s="10"/>
      <c r="C2151" s="18" t="s">
        <v>109</v>
      </c>
      <c r="D2151" s="10"/>
      <c r="F2151" s="10"/>
    </row>
    <row r="2152" ht="15.75" hidden="1" customHeight="1" outlineLevel="1">
      <c r="A2152" s="10"/>
      <c r="B2152" s="10"/>
      <c r="C2152" s="18" t="s">
        <v>110</v>
      </c>
      <c r="D2152" s="10"/>
      <c r="F2152" s="10"/>
    </row>
    <row r="2153" ht="15.75" hidden="1" customHeight="1" outlineLevel="1">
      <c r="A2153" s="10"/>
      <c r="B2153" s="10"/>
      <c r="C2153" s="18" t="s">
        <v>111</v>
      </c>
      <c r="D2153" s="10"/>
      <c r="F2153" s="10"/>
    </row>
    <row r="2154" ht="15.75" hidden="1" customHeight="1" outlineLevel="1">
      <c r="A2154" s="18"/>
      <c r="B2154" s="18" t="s">
        <v>112</v>
      </c>
      <c r="C2154" s="10"/>
      <c r="D2154" s="10"/>
      <c r="F2154" s="10"/>
    </row>
    <row r="2155" ht="15.75" hidden="1" customHeight="1" outlineLevel="1">
      <c r="A2155" s="18"/>
      <c r="B2155" s="18" t="s">
        <v>37</v>
      </c>
      <c r="D2155" s="10"/>
      <c r="F2155" s="10"/>
    </row>
    <row r="2156" ht="15.75" hidden="1" customHeight="1" outlineLevel="1">
      <c r="A2156" s="10"/>
      <c r="B2156" s="10"/>
      <c r="C2156" s="10" t="s">
        <v>113</v>
      </c>
      <c r="F2156" s="10"/>
    </row>
    <row r="2157" ht="15.75" hidden="1" customHeight="1" outlineLevel="1">
      <c r="A2157" s="10"/>
      <c r="B2157" s="10"/>
      <c r="C2157" s="18"/>
      <c r="D2157" s="18"/>
      <c r="F2157" s="10"/>
    </row>
    <row r="2158" ht="15.75" hidden="1" customHeight="1" outlineLevel="1">
      <c r="A2158" s="18"/>
      <c r="B2158" s="18" t="s">
        <v>39</v>
      </c>
      <c r="D2158" s="18"/>
      <c r="F2158" s="10"/>
    </row>
    <row r="2159" ht="15.75" hidden="1" customHeight="1" outlineLevel="1">
      <c r="A2159" s="18"/>
      <c r="B2159" s="18"/>
      <c r="C2159" s="18" t="s">
        <v>114</v>
      </c>
      <c r="F2159" s="10"/>
    </row>
    <row r="2160" ht="15.75" hidden="1" customHeight="1" outlineLevel="1">
      <c r="A2160" s="18"/>
      <c r="B2160" s="18"/>
      <c r="C2160" s="10" t="s">
        <v>115</v>
      </c>
      <c r="F2160" s="10"/>
    </row>
    <row r="2161" ht="15.75" hidden="1" customHeight="1" outlineLevel="1">
      <c r="A2161" s="18"/>
      <c r="B2161" s="18"/>
      <c r="C2161" s="10" t="s">
        <v>116</v>
      </c>
      <c r="F2161" s="10"/>
    </row>
    <row r="2162" ht="15.75" hidden="1" customHeight="1" outlineLevel="1">
      <c r="A2162" s="18"/>
      <c r="B2162" s="18" t="s">
        <v>117</v>
      </c>
      <c r="C2162" s="10"/>
      <c r="F2162" s="10"/>
    </row>
    <row r="2163" ht="15.75" hidden="1" customHeight="1" outlineLevel="1">
      <c r="A2163" s="10"/>
      <c r="B2163" s="10"/>
      <c r="C2163" s="18" t="s">
        <v>43</v>
      </c>
      <c r="D2163" s="10"/>
      <c r="F2163" s="10"/>
    </row>
    <row r="2164" ht="15.75" hidden="1" customHeight="1" outlineLevel="1">
      <c r="A2164" s="10"/>
      <c r="B2164" s="10"/>
      <c r="C2164" s="18" t="s">
        <v>118</v>
      </c>
      <c r="D2164" s="10"/>
      <c r="F2164" s="10"/>
    </row>
    <row r="2165" ht="15.75" hidden="1" customHeight="1" outlineLevel="1">
      <c r="A2165" s="37"/>
      <c r="B2165" s="37"/>
      <c r="C2165" s="26" t="s">
        <v>118</v>
      </c>
      <c r="D2165" s="26"/>
      <c r="F2165" s="10"/>
    </row>
    <row r="2166" ht="15.75" customHeight="1">
      <c r="A2166" s="10"/>
      <c r="B2166" s="10" t="s">
        <v>119</v>
      </c>
      <c r="C2166" s="10"/>
      <c r="D2166" s="10"/>
      <c r="F2166" s="10"/>
    </row>
    <row r="2167" ht="15.75" customHeight="1">
      <c r="A2167" s="18"/>
      <c r="B2167" s="18"/>
      <c r="C2167" s="10"/>
      <c r="D2167" s="10"/>
      <c r="F2167" s="10"/>
    </row>
    <row r="2168" ht="15.75" customHeight="1">
      <c r="A2168" s="10"/>
      <c r="B2168" s="10"/>
      <c r="C2168" s="4" t="s">
        <v>215</v>
      </c>
      <c r="D2168" s="10"/>
      <c r="F2168" s="10"/>
    </row>
    <row r="2169" ht="15.75" customHeight="1">
      <c r="A2169" s="18"/>
      <c r="B2169" s="18" t="s">
        <v>1</v>
      </c>
      <c r="C2169" s="10"/>
      <c r="D2169" s="10"/>
      <c r="F2169" s="51">
        <f>'YG_PL(M)'!AP105</f>
        <v>7842190</v>
      </c>
    </row>
    <row r="2170" ht="15.75" customHeight="1">
      <c r="A2170" s="18"/>
      <c r="B2170" s="18" t="s">
        <v>67</v>
      </c>
      <c r="C2170" s="10"/>
      <c r="D2170" s="10"/>
      <c r="F2170" s="51">
        <f>F2169</f>
        <v>7842190</v>
      </c>
    </row>
    <row r="2171" ht="15.75" customHeight="1">
      <c r="A2171" s="18"/>
      <c r="B2171" s="18" t="s">
        <v>28</v>
      </c>
      <c r="C2171" s="10"/>
      <c r="D2171" s="10"/>
      <c r="F2171" s="10"/>
    </row>
    <row r="2172" ht="15.75" customHeight="1">
      <c r="A2172" s="10"/>
      <c r="B2172" s="10"/>
      <c r="C2172" s="18" t="s">
        <v>68</v>
      </c>
      <c r="D2172" s="10"/>
      <c r="F2172" s="10"/>
    </row>
    <row r="2173" ht="15.75" customHeight="1">
      <c r="A2173" s="10"/>
      <c r="B2173" s="10"/>
      <c r="C2173" s="18" t="s">
        <v>69</v>
      </c>
      <c r="D2173" s="10"/>
      <c r="F2173" s="5">
        <f t="array" ref="F2173">-SUMPRODUCT('YG_PL(M)'!AP$105:AP$114 * ISNUMBER(MATCH('YG_PL(M)'!$B$105:$B$114, {"当期商品仕入高","外注費","荷造運賃","支払手数料","保険料","広告宣伝費","その他","採用教育費"}, 0)))</f>
        <v>2381159</v>
      </c>
    </row>
    <row r="2174" ht="15.75" customHeight="1">
      <c r="A2174" s="10"/>
      <c r="B2174" s="10"/>
      <c r="C2174" s="18" t="s">
        <v>71</v>
      </c>
      <c r="D2174" s="10"/>
      <c r="F2174" s="10"/>
    </row>
    <row r="2175" ht="15.75" customHeight="1">
      <c r="A2175" s="18"/>
      <c r="B2175" s="18" t="s">
        <v>28</v>
      </c>
      <c r="C2175" s="10"/>
      <c r="D2175" s="10"/>
      <c r="F2175" s="5">
        <f>F2172+F2173-F2174</f>
        <v>2381159</v>
      </c>
    </row>
    <row r="2176" ht="15.75" customHeight="1">
      <c r="A2176" s="18"/>
      <c r="B2176" s="18" t="s">
        <v>5</v>
      </c>
      <c r="C2176" s="10"/>
      <c r="D2176" s="10"/>
      <c r="F2176" s="51">
        <f>F2169-F2175</f>
        <v>5461031</v>
      </c>
    </row>
    <row r="2177" ht="15.75" customHeight="1">
      <c r="A2177" s="18"/>
      <c r="B2177" s="18" t="s">
        <v>29</v>
      </c>
      <c r="C2177" s="10"/>
      <c r="D2177" s="10"/>
      <c r="F2177" s="10"/>
    </row>
    <row r="2178" ht="15.75" customHeight="1">
      <c r="A2178" s="10"/>
      <c r="B2178" s="10"/>
      <c r="C2178" s="18" t="s">
        <v>72</v>
      </c>
      <c r="D2178" s="10"/>
      <c r="F2178" s="10">
        <f t="array" ref="F2178">-SUMIF('YG_PL(M)'!$B$115:$B$130, XLOOKUP($C2178, 'マスタ'!$D$2:$D$318, 'マスタ'!$D$2:$D$318, $C2178), 'YG_PL(M)'!AP$115:AP$130)</f>
        <v>0</v>
      </c>
    </row>
    <row r="2179" ht="15.75" customHeight="1">
      <c r="A2179" s="10"/>
      <c r="B2179" s="10"/>
      <c r="C2179" s="18" t="s">
        <v>73</v>
      </c>
      <c r="D2179" s="10"/>
      <c r="F2179" s="10">
        <f t="array" ref="F2179">-SUMIF('YG_PL(M)'!$B$115:$B$130, XLOOKUP($C2179, 'マスタ'!$D$2:$D$318, 'マスタ'!$D$2:$D$318, $C2179), 'YG_PL(M)'!AP$115:AP$130)</f>
        <v>0</v>
      </c>
    </row>
    <row r="2180" ht="15.75" customHeight="1">
      <c r="A2180" s="10"/>
      <c r="B2180" s="10"/>
      <c r="C2180" s="18" t="s">
        <v>74</v>
      </c>
      <c r="D2180" s="10"/>
      <c r="F2180" s="10">
        <f t="array" ref="F2180">-SUMIF('YG_PL(M)'!$B$115:$B$130, XLOOKUP($C2180, 'マスタ'!$D$2:$D$318, 'マスタ'!$D$2:$D$318, $C2180), 'YG_PL(M)'!AP$115:AP$130)</f>
        <v>0</v>
      </c>
    </row>
    <row r="2181" ht="15.75" customHeight="1">
      <c r="A2181" s="10"/>
      <c r="B2181" s="10"/>
      <c r="C2181" s="18" t="s">
        <v>75</v>
      </c>
      <c r="D2181" s="10"/>
      <c r="F2181" s="10">
        <f t="array" ref="F2181">-SUMIF('YG_PL(M)'!$B$115:$B$130, XLOOKUP($C2181, 'マスタ'!$D$2:$D$318, 'マスタ'!$D$2:$D$318, $C2181), 'YG_PL(M)'!AP$115:AP$130)</f>
        <v>0</v>
      </c>
    </row>
    <row r="2182" ht="15.75" customHeight="1">
      <c r="A2182" s="10"/>
      <c r="B2182" s="10"/>
      <c r="C2182" s="18" t="s">
        <v>76</v>
      </c>
      <c r="D2182" s="10"/>
      <c r="F2182" s="10">
        <f t="array" ref="F2182">-SUMIF('YG_PL(M)'!$B$115:$B$130, XLOOKUP($C2182, 'マスタ'!$D$2:$D$318, 'マスタ'!$D$2:$D$318, $C2182), 'YG_PL(M)'!AP$115:AP$130)</f>
        <v>0</v>
      </c>
    </row>
    <row r="2183" ht="15.75" customHeight="1">
      <c r="A2183" s="10"/>
      <c r="B2183" s="10"/>
      <c r="C2183" s="18" t="s">
        <v>77</v>
      </c>
      <c r="D2183" s="10"/>
      <c r="F2183" s="10">
        <f t="array" ref="F2183">-SUMIF('YG_PL(M)'!$B$115:$B$130, XLOOKUP($C2183, 'マスタ'!$D$2:$D$318, 'マスタ'!$D$2:$D$318, $C2183), 'YG_PL(M)'!AP$115:AP$130)</f>
        <v>0</v>
      </c>
    </row>
    <row r="2184" ht="15.75" customHeight="1">
      <c r="A2184" s="10"/>
      <c r="B2184" s="10"/>
      <c r="C2184" s="18" t="s">
        <v>78</v>
      </c>
      <c r="D2184" s="10"/>
      <c r="F2184" s="10">
        <f t="array" ref="F2184">-SUMIF('YG_PL(M)'!$B$115:$B$130, XLOOKUP($C2184, 'マスタ'!$D$2:$D$318, 'マスタ'!$D$2:$D$318, $C2184), 'YG_PL(M)'!AP$115:AP$130)</f>
        <v>0</v>
      </c>
    </row>
    <row r="2185" ht="15.75" customHeight="1">
      <c r="A2185" s="10"/>
      <c r="B2185" s="10"/>
      <c r="C2185" s="18" t="s">
        <v>79</v>
      </c>
      <c r="D2185" s="10"/>
      <c r="F2185" s="10">
        <f t="array" ref="F2185">-SUMIF('YG_PL(M)'!$B$115:$B$130, XLOOKUP($C2185, 'マスタ'!$D$2:$D$318, 'マスタ'!$D$2:$D$318, $C2185), 'YG_PL(M)'!AP$115:AP$130)</f>
        <v>0</v>
      </c>
    </row>
    <row r="2186" ht="15.75" customHeight="1">
      <c r="A2186" s="10"/>
      <c r="B2186" s="10"/>
      <c r="C2186" s="18" t="s">
        <v>80</v>
      </c>
      <c r="D2186" s="10"/>
      <c r="F2186" s="10">
        <f t="array" ref="F2186">-SUMIF('YG_PL(M)'!$B$115:$B$130, XLOOKUP($C2186, 'マスタ'!$D$2:$D$318, 'マスタ'!$D$2:$D$318, $C2186), 'YG_PL(M)'!AP$115:AP$130)</f>
        <v>0</v>
      </c>
    </row>
    <row r="2187" ht="15.75" customHeight="1">
      <c r="A2187" s="10"/>
      <c r="B2187" s="10"/>
      <c r="C2187" s="18" t="s">
        <v>81</v>
      </c>
      <c r="D2187" s="10"/>
      <c r="F2187" s="10">
        <f t="array" ref="F2187">-SUMIF('YG_PL(M)'!$B$115:$B$130, XLOOKUP($C2187, 'マスタ'!$D$2:$D$318, 'マスタ'!$D$2:$D$318, $C2187), 'YG_PL(M)'!AP$115:AP$130)</f>
        <v>0</v>
      </c>
    </row>
    <row r="2188" ht="15.75" customHeight="1">
      <c r="A2188" s="10"/>
      <c r="B2188" s="10"/>
      <c r="C2188" s="18" t="s">
        <v>82</v>
      </c>
      <c r="D2188" s="10"/>
      <c r="F2188" s="10">
        <f t="array" ref="F2188">-SUMIF('YG_PL(M)'!$B$115:$B$130, XLOOKUP($C2188, 'マスタ'!$D$2:$D$318, 'マスタ'!$D$2:$D$318, $C2188), 'YG_PL(M)'!AP$115:AP$130)</f>
        <v>0</v>
      </c>
    </row>
    <row r="2189" ht="15.75" customHeight="1">
      <c r="A2189" s="10"/>
      <c r="B2189" s="10"/>
      <c r="C2189" s="18" t="s">
        <v>83</v>
      </c>
      <c r="D2189" s="10"/>
      <c r="F2189" s="10">
        <f t="array" ref="F2189">-SUMIF('YG_PL(M)'!$B$115:$B$130, XLOOKUP($C2189, 'マスタ'!$D$2:$D$318, 'マスタ'!$D$2:$D$318, $C2189), 'YG_PL(M)'!AP$115:AP$130)</f>
        <v>0</v>
      </c>
    </row>
    <row r="2190" ht="15.75" customHeight="1">
      <c r="A2190" s="10"/>
      <c r="B2190" s="10"/>
      <c r="C2190" s="18" t="s">
        <v>84</v>
      </c>
      <c r="D2190" s="10"/>
      <c r="F2190" s="10">
        <f t="array" ref="F2190">-SUMIF('YG_PL(M)'!$B$115:$B$130, XLOOKUP($C2190, 'マスタ'!$D$2:$D$318, 'マスタ'!$D$2:$D$318, $C2190), 'YG_PL(M)'!AP$115:AP$130)</f>
        <v>35352</v>
      </c>
    </row>
    <row r="2191" ht="15.75" customHeight="1">
      <c r="A2191" s="10"/>
      <c r="B2191" s="10"/>
      <c r="C2191" s="18" t="s">
        <v>85</v>
      </c>
      <c r="D2191" s="10"/>
      <c r="F2191" s="10">
        <f t="array" ref="F2191">-SUMIF('YG_PL(M)'!$B$115:$B$130, XLOOKUP($C2191, 'マスタ'!$D$2:$D$318, 'マスタ'!$D$2:$D$318, $C2191), 'YG_PL(M)'!AP$115:AP$130)</f>
        <v>0</v>
      </c>
    </row>
    <row r="2192" ht="15.75" customHeight="1">
      <c r="A2192" s="10"/>
      <c r="B2192" s="10"/>
      <c r="C2192" s="18" t="s">
        <v>86</v>
      </c>
      <c r="D2192" s="10"/>
      <c r="F2192" s="10">
        <f t="array" ref="F2192">-SUMIF('YG_PL(M)'!$B$115:$B$130, XLOOKUP($C2192, 'マスタ'!$D$2:$D$318, 'マスタ'!$D$2:$D$318, $C2192), 'YG_PL(M)'!AP$115:AP$130)</f>
        <v>26155</v>
      </c>
    </row>
    <row r="2193" ht="15.75" customHeight="1">
      <c r="A2193" s="10"/>
      <c r="B2193" s="10"/>
      <c r="C2193" s="18" t="s">
        <v>87</v>
      </c>
      <c r="D2193" s="10"/>
      <c r="F2193" s="10">
        <f t="array" ref="F2193">-SUMIF('YG_PL(M)'!$B$115:$B$130, XLOOKUP($C2193, 'マスタ'!$D$2:$D$318, 'マスタ'!$D$2:$D$318, $C2193), 'YG_PL(M)'!AP$115:AP$130)</f>
        <v>1918728</v>
      </c>
    </row>
    <row r="2194" ht="15.75" customHeight="1">
      <c r="A2194" s="10"/>
      <c r="B2194" s="10"/>
      <c r="C2194" s="18" t="s">
        <v>88</v>
      </c>
      <c r="D2194" s="10"/>
      <c r="F2194" s="10">
        <f t="array" ref="F2194">-SUMIF('YG_PL(M)'!$B$115:$B$130, XLOOKUP($C2194, 'マスタ'!$D$2:$D$318, 'マスタ'!$D$2:$D$318, $C2194), 'YG_PL(M)'!AP$115:AP$130)</f>
        <v>0</v>
      </c>
    </row>
    <row r="2195" ht="15.75" customHeight="1">
      <c r="A2195" s="10"/>
      <c r="B2195" s="10"/>
      <c r="C2195" s="18" t="s">
        <v>89</v>
      </c>
      <c r="D2195" s="10"/>
      <c r="F2195" s="10">
        <f t="array" ref="F2195">-SUMIF('YG_PL(M)'!$B$115:$B$130, XLOOKUP($C2195, 'マスタ'!$D$2:$D$318, 'マスタ'!$D$2:$D$318, $C2195), 'YG_PL(M)'!AP$115:AP$130)</f>
        <v>0</v>
      </c>
    </row>
    <row r="2196" ht="15.75" customHeight="1">
      <c r="A2196" s="10"/>
      <c r="B2196" s="10"/>
      <c r="C2196" s="18" t="s">
        <v>90</v>
      </c>
      <c r="D2196" s="10"/>
      <c r="F2196" s="10">
        <f t="array" ref="F2196">-SUMIF('YG_PL(M)'!$B$115:$B$130, XLOOKUP($C2196, 'マスタ'!$D$2:$D$318, 'マスタ'!$D$2:$D$318, $C2196), 'YG_PL(M)'!AP$115:AP$130)</f>
        <v>0</v>
      </c>
    </row>
    <row r="2197" ht="15.75" customHeight="1">
      <c r="A2197" s="10"/>
      <c r="B2197" s="10"/>
      <c r="C2197" s="18" t="s">
        <v>91</v>
      </c>
      <c r="D2197" s="10"/>
      <c r="F2197" s="10">
        <f t="array" ref="F2197">-SUMIF('YG_PL(M)'!$B$115:$B$130, XLOOKUP($C2197, 'マスタ'!$D$2:$D$318, 'マスタ'!$D$2:$D$318, $C2197), 'YG_PL(M)'!AP$115:AP$130)</f>
        <v>35400</v>
      </c>
    </row>
    <row r="2198" ht="15.75" customHeight="1">
      <c r="A2198" s="10"/>
      <c r="B2198" s="10"/>
      <c r="C2198" s="18" t="s">
        <v>92</v>
      </c>
      <c r="D2198" s="10"/>
      <c r="F2198" s="10">
        <f t="array" ref="F2198">-SUMIF('YG_PL(M)'!$B$115:$B$130, XLOOKUP($C2198, 'マスタ'!$D$2:$D$318, 'マスタ'!$D$2:$D$318, $C2198), 'YG_PL(M)'!AP$115:AP$130)</f>
        <v>0</v>
      </c>
    </row>
    <row r="2199" ht="15.75" customHeight="1">
      <c r="A2199" s="10"/>
      <c r="B2199" s="10"/>
      <c r="C2199" s="18" t="s">
        <v>93</v>
      </c>
      <c r="D2199" s="10"/>
      <c r="F2199" s="10">
        <f t="array" ref="F2199">-SUMIF('YG_PL(M)'!$B$115:$B$130, XLOOKUP($C2199, 'マスタ'!$D$2:$D$318, 'マスタ'!$D$2:$D$318, $C2199), 'YG_PL(M)'!AP$115:AP$130)</f>
        <v>0</v>
      </c>
    </row>
    <row r="2200" ht="15.75" customHeight="1">
      <c r="A2200" s="10"/>
      <c r="B2200" s="10"/>
      <c r="C2200" s="18" t="s">
        <v>94</v>
      </c>
      <c r="D2200" s="10"/>
      <c r="F2200" s="10">
        <f t="array" ref="F2200">-SUMIF('YG_PL(M)'!$B$115:$B$130, XLOOKUP($C2200, 'マスタ'!$D$2:$D$318, 'マスタ'!$D$2:$D$318, $C2200), 'YG_PL(M)'!AP$115:AP$130)</f>
        <v>0</v>
      </c>
    </row>
    <row r="2201" ht="15.75" customHeight="1">
      <c r="A2201" s="10"/>
      <c r="B2201" s="10"/>
      <c r="C2201" s="18" t="s">
        <v>178</v>
      </c>
      <c r="D2201" s="10"/>
      <c r="F2201" s="10">
        <f t="array" ref="F2201">-SUMIF('YG_PL(M)'!$B$115:$B$130, XLOOKUP($C2201, 'マスタ'!$D$2:$D$318, 'マスタ'!$D$2:$D$318, $C2201), 'YG_PL(M)'!AP$115:AP$130)</f>
        <v>199043</v>
      </c>
    </row>
    <row r="2202" ht="15.75" customHeight="1">
      <c r="A2202" s="10"/>
      <c r="B2202" s="10"/>
      <c r="C2202" s="18" t="s">
        <v>95</v>
      </c>
      <c r="D2202" s="10"/>
      <c r="F2202" s="10">
        <f t="array" ref="F2202">-SUMIF('YG_PL(M)'!$B$115:$B$130, XLOOKUP($C2202, 'マスタ'!$D$2:$D$318, 'マスタ'!$D$2:$D$318, $C2202), 'YG_PL(M)'!AP$115:AP$130)</f>
        <v>279128</v>
      </c>
    </row>
    <row r="2203" ht="15.75" customHeight="1">
      <c r="A2203" s="10"/>
      <c r="B2203" s="10"/>
      <c r="C2203" s="18" t="s">
        <v>96</v>
      </c>
      <c r="D2203" s="10"/>
      <c r="F2203" s="10">
        <f t="array" ref="F2203">-SUMIF('YG_PL(M)'!$B$115:$B$130, XLOOKUP($C2203, 'マスタ'!$D$2:$D$318, 'マスタ'!$D$2:$D$318, $C2203), 'YG_PL(M)'!AP$115:AP$130)</f>
        <v>0</v>
      </c>
    </row>
    <row r="2204" ht="15.75" customHeight="1">
      <c r="A2204" s="10"/>
      <c r="B2204" s="10"/>
      <c r="C2204" s="18" t="s">
        <v>97</v>
      </c>
      <c r="D2204" s="10"/>
      <c r="F2204" s="10">
        <f t="array" ref="F2204">-SUMIF('YG_PL(M)'!$B$115:$B$130, XLOOKUP($C2204, 'マスタ'!$D$2:$D$318, 'マスタ'!$D$2:$D$318, $C2204), 'YG_PL(M)'!AP$115:AP$130)</f>
        <v>0</v>
      </c>
    </row>
    <row r="2205" ht="15.75" customHeight="1">
      <c r="A2205" s="10"/>
      <c r="B2205" s="10"/>
      <c r="C2205" s="18" t="s">
        <v>98</v>
      </c>
      <c r="D2205" s="10"/>
      <c r="F2205" s="10">
        <f t="array" ref="F2205">-SUMIF('YG_PL(M)'!$B$115:$B$130, XLOOKUP($C2205, 'マスタ'!$D$2:$D$318, 'マスタ'!$D$2:$D$318, $C2205), 'YG_PL(M)'!AP$115:AP$130)</f>
        <v>0</v>
      </c>
    </row>
    <row r="2206" ht="15.75" customHeight="1">
      <c r="A2206" s="10"/>
      <c r="B2206" s="10"/>
      <c r="C2206" s="18" t="s">
        <v>99</v>
      </c>
      <c r="D2206" s="10"/>
      <c r="F2206" s="10">
        <f t="array" ref="F2206">-SUMIF('YG_PL(M)'!$B$115:$B$130, XLOOKUP($C2206, 'マスタ'!$D$2:$D$318, 'マスタ'!$D$2:$D$318, $C2206), 'YG_PL(M)'!AP$115:AP$130)</f>
        <v>0</v>
      </c>
    </row>
    <row r="2207" ht="15.75" customHeight="1">
      <c r="A2207" s="10"/>
      <c r="B2207" s="10"/>
      <c r="C2207" s="18" t="s">
        <v>100</v>
      </c>
      <c r="D2207" s="10"/>
      <c r="F2207" s="10">
        <f t="array" ref="F2207">-SUMIF('YG_PL(M)'!$B$115:$B$130, XLOOKUP($C2207, 'マスタ'!$D$2:$D$318, 'マスタ'!$D$2:$D$318, $C2207), 'YG_PL(M)'!AP$115:AP$130)</f>
        <v>37000</v>
      </c>
    </row>
    <row r="2208" ht="15.75" customHeight="1">
      <c r="A2208" s="10"/>
      <c r="B2208" s="10"/>
      <c r="C2208" s="18" t="s">
        <v>213</v>
      </c>
      <c r="D2208" s="10"/>
      <c r="F2208" s="10">
        <f t="array" ref="F2208">-SUMIF('YG_PL(M)'!$B$115:$B$130, XLOOKUP($C2208, 'マスタ'!$D$2:$D$318, 'マスタ'!$D$2:$D$318, $C2208), 'YG_PL(M)'!AP$115:AP$130)</f>
        <v>0</v>
      </c>
    </row>
    <row r="2209" ht="15.75" customHeight="1">
      <c r="A2209" s="18"/>
      <c r="B2209" s="18" t="s">
        <v>102</v>
      </c>
      <c r="C2209" s="10"/>
      <c r="D2209" s="10"/>
      <c r="F2209" s="10">
        <f>SUM(F2178:F2208)</f>
        <v>2530806</v>
      </c>
    </row>
    <row r="2210" ht="15.75" customHeight="1" collapsed="1">
      <c r="A2210" s="18"/>
      <c r="B2210" s="18" t="s">
        <v>31</v>
      </c>
      <c r="C2210" s="10"/>
      <c r="D2210" s="10"/>
      <c r="F2210" s="51">
        <f>F2176-F2209</f>
        <v>2930225</v>
      </c>
    </row>
    <row r="2211" ht="15.75" hidden="1" customHeight="1" outlineLevel="1">
      <c r="A2211" s="18"/>
      <c r="B2211" s="18" t="s">
        <v>32</v>
      </c>
      <c r="C2211" s="18"/>
      <c r="D2211" s="10"/>
      <c r="F2211" s="10"/>
    </row>
    <row r="2212" ht="15.75" hidden="1" customHeight="1" outlineLevel="1">
      <c r="A2212" s="10"/>
      <c r="B2212" s="10"/>
      <c r="C2212" s="18" t="s">
        <v>103</v>
      </c>
      <c r="D2212" s="10"/>
      <c r="F2212" s="10"/>
    </row>
    <row r="2213" ht="15.75" hidden="1" customHeight="1" outlineLevel="1">
      <c r="A2213" s="10"/>
      <c r="B2213" s="10"/>
      <c r="C2213" s="10" t="s">
        <v>104</v>
      </c>
      <c r="D2213" s="10"/>
      <c r="F2213" s="10"/>
    </row>
    <row r="2214" ht="15.75" hidden="1" customHeight="1" outlineLevel="1">
      <c r="A2214" s="10"/>
      <c r="B2214" s="10"/>
      <c r="C2214" s="18" t="s">
        <v>105</v>
      </c>
      <c r="D2214" s="10"/>
      <c r="F2214" s="10"/>
    </row>
    <row r="2215" ht="15.75" hidden="1" customHeight="1" outlineLevel="1">
      <c r="A2215" s="10"/>
      <c r="B2215" s="10"/>
      <c r="C2215" s="10" t="s">
        <v>106</v>
      </c>
      <c r="D2215" s="10"/>
      <c r="F2215" s="10"/>
    </row>
    <row r="2216" ht="15.75" hidden="1" customHeight="1" outlineLevel="1">
      <c r="A2216" s="10"/>
      <c r="B2216" s="10"/>
      <c r="C2216" s="18" t="s">
        <v>107</v>
      </c>
      <c r="D2216" s="10"/>
      <c r="F2216" s="10"/>
    </row>
    <row r="2217" ht="15.75" hidden="1" customHeight="1" outlineLevel="1">
      <c r="A2217" s="10"/>
      <c r="B2217" s="10"/>
      <c r="C2217" s="18" t="s">
        <v>108</v>
      </c>
      <c r="D2217" s="10"/>
      <c r="F2217" s="10"/>
    </row>
    <row r="2218" ht="15.75" hidden="1" customHeight="1" outlineLevel="1">
      <c r="A2218" s="18"/>
      <c r="B2218" s="18" t="s">
        <v>34</v>
      </c>
      <c r="C2218" s="18"/>
      <c r="D2218" s="10"/>
      <c r="F2218" s="10"/>
    </row>
    <row r="2219" ht="15.75" hidden="1" customHeight="1" outlineLevel="1">
      <c r="A2219" s="10"/>
      <c r="B2219" s="10"/>
      <c r="C2219" s="18" t="s">
        <v>109</v>
      </c>
      <c r="D2219" s="10"/>
      <c r="F2219" s="10"/>
    </row>
    <row r="2220" ht="15.75" hidden="1" customHeight="1" outlineLevel="1">
      <c r="A2220" s="10"/>
      <c r="B2220" s="10"/>
      <c r="C2220" s="18" t="s">
        <v>110</v>
      </c>
      <c r="D2220" s="10"/>
      <c r="F2220" s="10"/>
    </row>
    <row r="2221" ht="15.75" hidden="1" customHeight="1" outlineLevel="1">
      <c r="A2221" s="10"/>
      <c r="B2221" s="10"/>
      <c r="C2221" s="18" t="s">
        <v>111</v>
      </c>
      <c r="D2221" s="10"/>
      <c r="F2221" s="10"/>
    </row>
    <row r="2222" ht="15.75" hidden="1" customHeight="1" outlineLevel="1">
      <c r="A2222" s="18"/>
      <c r="B2222" s="18" t="s">
        <v>112</v>
      </c>
      <c r="C2222" s="10"/>
      <c r="D2222" s="10"/>
      <c r="F2222" s="10"/>
    </row>
    <row r="2223" ht="15.75" hidden="1" customHeight="1" outlineLevel="1">
      <c r="A2223" s="18"/>
      <c r="B2223" s="18" t="s">
        <v>37</v>
      </c>
      <c r="D2223" s="10"/>
      <c r="F2223" s="10"/>
    </row>
    <row r="2224" ht="15.75" hidden="1" customHeight="1" outlineLevel="1">
      <c r="A2224" s="10"/>
      <c r="B2224" s="10"/>
      <c r="C2224" s="10" t="s">
        <v>113</v>
      </c>
      <c r="F2224" s="10"/>
    </row>
    <row r="2225" ht="15.75" hidden="1" customHeight="1" outlineLevel="1">
      <c r="A2225" s="10"/>
      <c r="B2225" s="10"/>
      <c r="C2225" s="18"/>
      <c r="D2225" s="18"/>
      <c r="F2225" s="10"/>
    </row>
    <row r="2226" ht="15.75" hidden="1" customHeight="1" outlineLevel="1">
      <c r="A2226" s="18"/>
      <c r="B2226" s="18" t="s">
        <v>39</v>
      </c>
      <c r="D2226" s="18"/>
      <c r="F2226" s="10"/>
    </row>
    <row r="2227" ht="15.75" hidden="1" customHeight="1" outlineLevel="1">
      <c r="A2227" s="18"/>
      <c r="B2227" s="18"/>
      <c r="C2227" s="18" t="s">
        <v>114</v>
      </c>
      <c r="F2227" s="10"/>
    </row>
    <row r="2228" ht="15.75" hidden="1" customHeight="1" outlineLevel="1">
      <c r="A2228" s="18"/>
      <c r="B2228" s="18"/>
      <c r="C2228" s="10" t="s">
        <v>115</v>
      </c>
      <c r="F2228" s="10"/>
    </row>
    <row r="2229" ht="15.75" hidden="1" customHeight="1" outlineLevel="1">
      <c r="A2229" s="18"/>
      <c r="B2229" s="18"/>
      <c r="C2229" s="10" t="s">
        <v>116</v>
      </c>
      <c r="F2229" s="10"/>
    </row>
    <row r="2230" ht="15.75" hidden="1" customHeight="1" outlineLevel="1">
      <c r="A2230" s="18"/>
      <c r="B2230" s="18" t="s">
        <v>117</v>
      </c>
      <c r="C2230" s="10"/>
      <c r="F2230" s="10"/>
    </row>
    <row r="2231" ht="15.75" hidden="1" customHeight="1" outlineLevel="1">
      <c r="A2231" s="10"/>
      <c r="B2231" s="10"/>
      <c r="C2231" s="18" t="s">
        <v>43</v>
      </c>
      <c r="D2231" s="10"/>
      <c r="F2231" s="10"/>
    </row>
    <row r="2232" ht="15.75" hidden="1" customHeight="1" outlineLevel="1">
      <c r="A2232" s="10"/>
      <c r="B2232" s="10"/>
      <c r="C2232" s="18" t="s">
        <v>118</v>
      </c>
      <c r="D2232" s="10"/>
      <c r="F2232" s="10"/>
    </row>
    <row r="2233" ht="15.75" hidden="1" customHeight="1" outlineLevel="1">
      <c r="A2233" s="37"/>
      <c r="B2233" s="37"/>
      <c r="C2233" s="26" t="s">
        <v>118</v>
      </c>
      <c r="D2233" s="26"/>
      <c r="F2233" s="10"/>
    </row>
    <row r="2234" ht="15.75" customHeight="1">
      <c r="A2234" s="10"/>
      <c r="B2234" s="10" t="s">
        <v>119</v>
      </c>
      <c r="C2234" s="10"/>
      <c r="D2234" s="10"/>
      <c r="F2234" s="10"/>
    </row>
    <row r="2235" ht="15.75" customHeight="1">
      <c r="A2235" s="18"/>
      <c r="B2235" s="18"/>
      <c r="C2235" s="10"/>
      <c r="D2235" s="10"/>
      <c r="F2235" s="10"/>
    </row>
    <row r="2236" ht="15.75" customHeight="1">
      <c r="A2236" s="10"/>
      <c r="B2236" s="10"/>
      <c r="C2236" s="4" t="s">
        <v>216</v>
      </c>
      <c r="D2236" s="10"/>
      <c r="F2236" s="10"/>
    </row>
    <row r="2237" ht="15.75" customHeight="1">
      <c r="A2237" s="18"/>
      <c r="B2237" s="18" t="s">
        <v>1</v>
      </c>
      <c r="C2237" s="10"/>
      <c r="D2237" s="10"/>
      <c r="F2237" s="51">
        <f>'YG_PL(M)'!AP134</f>
        <v>8285708</v>
      </c>
    </row>
    <row r="2238" ht="15.75" customHeight="1">
      <c r="A2238" s="18"/>
      <c r="B2238" s="18" t="s">
        <v>67</v>
      </c>
      <c r="C2238" s="10"/>
      <c r="D2238" s="10"/>
      <c r="F2238" s="51">
        <f>F2237</f>
        <v>8285708</v>
      </c>
    </row>
    <row r="2239" ht="15.75" customHeight="1">
      <c r="A2239" s="18"/>
      <c r="B2239" s="18" t="s">
        <v>28</v>
      </c>
      <c r="C2239" s="10"/>
      <c r="D2239" s="10"/>
      <c r="F2239" s="10"/>
    </row>
    <row r="2240" ht="15.75" customHeight="1">
      <c r="A2240" s="10"/>
      <c r="B2240" s="10"/>
      <c r="C2240" s="18" t="s">
        <v>68</v>
      </c>
      <c r="D2240" s="10"/>
      <c r="F2240" s="10"/>
    </row>
    <row r="2241" ht="15.75" customHeight="1">
      <c r="A2241" s="10"/>
      <c r="B2241" s="10"/>
      <c r="C2241" s="18" t="s">
        <v>69</v>
      </c>
      <c r="D2241" s="10"/>
      <c r="F2241" s="5">
        <f t="array" ref="F2241">-SUMPRODUCT('YG_PL(M)'!AP$134:AP$143 * ISNUMBER(MATCH('YG_PL(M)'!$B$134:$B$143, {"当期商品仕入高","仕入高","外注費","荷造運賃","支払手数料","保険料","広告宣伝費","その他","タレント報酬","人件費","採用教育費","共通費配賦"}, 0)))</f>
        <v>47309500</v>
      </c>
    </row>
    <row r="2242" ht="15.75" customHeight="1">
      <c r="A2242" s="10"/>
      <c r="B2242" s="10"/>
      <c r="C2242" s="18" t="s">
        <v>71</v>
      </c>
      <c r="D2242" s="10"/>
      <c r="F2242" s="10"/>
    </row>
    <row r="2243" ht="15.75" customHeight="1">
      <c r="A2243" s="18"/>
      <c r="B2243" s="18" t="s">
        <v>28</v>
      </c>
      <c r="C2243" s="10"/>
      <c r="D2243" s="10"/>
      <c r="F2243" s="5">
        <f>F2240+F2241-F2242</f>
        <v>47309500</v>
      </c>
    </row>
    <row r="2244" ht="15.75" customHeight="1">
      <c r="A2244" s="18"/>
      <c r="B2244" s="18" t="s">
        <v>5</v>
      </c>
      <c r="C2244" s="10"/>
      <c r="D2244" s="10"/>
      <c r="F2244" s="51">
        <f>F2237-F2243</f>
        <v>-39023792</v>
      </c>
    </row>
    <row r="2245" ht="15.75" customHeight="1">
      <c r="A2245" s="18"/>
      <c r="B2245" s="18" t="s">
        <v>29</v>
      </c>
      <c r="C2245" s="10"/>
      <c r="D2245" s="10"/>
      <c r="F2245" s="10"/>
    </row>
    <row r="2246" ht="15.75" customHeight="1">
      <c r="A2246" s="10"/>
      <c r="B2246" s="10"/>
      <c r="C2246" s="18" t="s">
        <v>72</v>
      </c>
      <c r="D2246" s="10"/>
      <c r="F2246" s="5">
        <f t="array" ref="F2246">-SUMIF('YG_PL(M)'!$B$145:$B$159, XLOOKUP($C2246, 'マスタ'!$D$2:$D$318, 'マスタ'!$D$2:$D$318, $C2246), 'YG_PL(M)'!AP$145:AP$159)</f>
        <v>0</v>
      </c>
    </row>
    <row r="2247" ht="15.75" customHeight="1">
      <c r="A2247" s="10"/>
      <c r="B2247" s="10"/>
      <c r="C2247" s="18" t="s">
        <v>73</v>
      </c>
      <c r="D2247" s="10"/>
      <c r="F2247" s="5">
        <f t="array" ref="F2247">-SUMIF('YG_PL(M)'!$B$145:$B$159, XLOOKUP($C2247, 'マスタ'!$D$2:$D$318, 'マスタ'!$D$2:$D$318, $C2247), 'YG_PL(M)'!AP$145:AP$159)</f>
        <v>0</v>
      </c>
    </row>
    <row r="2248" ht="15.75" customHeight="1">
      <c r="A2248" s="10"/>
      <c r="B2248" s="10"/>
      <c r="C2248" s="18" t="s">
        <v>74</v>
      </c>
      <c r="D2248" s="10"/>
      <c r="F2248" s="5">
        <f t="array" ref="F2248">-SUMIF('YG_PL(M)'!$B$145:$B$159, XLOOKUP($C2248, 'マスタ'!$D$2:$D$318, 'マスタ'!$D$2:$D$318, $C2248), 'YG_PL(M)'!AP$145:AP$159)</f>
        <v>0</v>
      </c>
    </row>
    <row r="2249" ht="15.75" customHeight="1">
      <c r="A2249" s="10"/>
      <c r="B2249" s="10"/>
      <c r="C2249" s="18" t="s">
        <v>75</v>
      </c>
      <c r="D2249" s="10"/>
      <c r="F2249" s="5">
        <f t="array" ref="F2249">-SUMIF('YG_PL(M)'!$B$145:$B$159, XLOOKUP($C2249, 'マスタ'!$D$2:$D$318, 'マスタ'!$D$2:$D$318, $C2249), 'YG_PL(M)'!AP$145:AP$159)</f>
        <v>0</v>
      </c>
    </row>
    <row r="2250" ht="15.75" customHeight="1">
      <c r="A2250" s="10"/>
      <c r="B2250" s="10"/>
      <c r="C2250" s="18" t="s">
        <v>76</v>
      </c>
      <c r="D2250" s="10"/>
      <c r="F2250" s="5">
        <f t="array" ref="F2250">-SUMIF('YG_PL(M)'!$B$145:$B$159, XLOOKUP($C2250, 'マスタ'!$D$2:$D$318, 'マスタ'!$D$2:$D$318, $C2250), 'YG_PL(M)'!AP$145:AP$159)</f>
        <v>0</v>
      </c>
    </row>
    <row r="2251" ht="15.75" customHeight="1">
      <c r="A2251" s="10"/>
      <c r="B2251" s="10"/>
      <c r="C2251" s="18" t="s">
        <v>77</v>
      </c>
      <c r="D2251" s="10"/>
      <c r="F2251" s="5">
        <f t="array" ref="F2251">-SUMIF('YG_PL(M)'!$B$145:$B$159, XLOOKUP($C2251, 'マスタ'!$D$2:$D$318, 'マスタ'!$D$2:$D$318, $C2251), 'YG_PL(M)'!AP$145:AP$159)</f>
        <v>4550800</v>
      </c>
    </row>
    <row r="2252" ht="15.75" customHeight="1">
      <c r="A2252" s="10"/>
      <c r="B2252" s="10"/>
      <c r="C2252" s="18" t="s">
        <v>78</v>
      </c>
      <c r="D2252" s="10"/>
      <c r="F2252" s="5">
        <f t="array" ref="F2252">-SUMIF('YG_PL(M)'!$B$145:$B$159, XLOOKUP($C2252, 'マスタ'!$D$2:$D$318, 'マスタ'!$D$2:$D$318, $C2252), 'YG_PL(M)'!AP$145:AP$159)</f>
        <v>0</v>
      </c>
    </row>
    <row r="2253" ht="15.75" customHeight="1">
      <c r="A2253" s="10"/>
      <c r="B2253" s="10"/>
      <c r="C2253" s="18" t="s">
        <v>79</v>
      </c>
      <c r="D2253" s="10"/>
      <c r="F2253" s="5">
        <f t="array" ref="F2253">-SUMIF('YG_PL(M)'!$B$145:$B$159, XLOOKUP($C2253, 'マスタ'!$D$2:$D$318, 'マスタ'!$D$2:$D$318, $C2253), 'YG_PL(M)'!AP$145:AP$159)</f>
        <v>0</v>
      </c>
    </row>
    <row r="2254" ht="15.75" customHeight="1">
      <c r="A2254" s="10"/>
      <c r="B2254" s="10"/>
      <c r="C2254" s="18" t="s">
        <v>80</v>
      </c>
      <c r="D2254" s="10"/>
      <c r="F2254" s="5">
        <f t="array" ref="F2254">-SUMIF('YG_PL(M)'!$B$145:$B$159, XLOOKUP($C2254, 'マスタ'!$D$2:$D$318, 'マスタ'!$D$2:$D$318, $C2254), 'YG_PL(M)'!AP$145:AP$159)</f>
        <v>0</v>
      </c>
    </row>
    <row r="2255" ht="15.75" customHeight="1">
      <c r="A2255" s="10"/>
      <c r="B2255" s="10"/>
      <c r="C2255" s="18" t="s">
        <v>81</v>
      </c>
      <c r="D2255" s="10"/>
      <c r="F2255" s="5">
        <f t="array" ref="F2255">-SUMIF('YG_PL(M)'!$B$145:$B$159, XLOOKUP($C2255, 'マスタ'!$D$2:$D$318, 'マスタ'!$D$2:$D$318, $C2255), 'YG_PL(M)'!AP$145:AP$159)</f>
        <v>0</v>
      </c>
    </row>
    <row r="2256" ht="15.75" customHeight="1">
      <c r="A2256" s="10"/>
      <c r="B2256" s="10"/>
      <c r="C2256" s="18" t="s">
        <v>82</v>
      </c>
      <c r="D2256" s="10"/>
      <c r="F2256" s="5">
        <f t="array" ref="F2256">-SUMIF('YG_PL(M)'!$B$145:$B$159, XLOOKUP($C2256, 'マスタ'!$D$2:$D$318, 'マスタ'!$D$2:$D$318, $C2256), 'YG_PL(M)'!AP$145:AP$159)</f>
        <v>62278</v>
      </c>
    </row>
    <row r="2257" ht="15.75" customHeight="1">
      <c r="A2257" s="10"/>
      <c r="B2257" s="10"/>
      <c r="C2257" s="18" t="s">
        <v>83</v>
      </c>
      <c r="D2257" s="10"/>
      <c r="F2257" s="5">
        <f t="array" ref="F2257">-SUMIF('YG_PL(M)'!$B$145:$B$159, XLOOKUP($C2257, 'マスタ'!$D$2:$D$318, 'マスタ'!$D$2:$D$318, $C2257), 'YG_PL(M)'!AP$145:AP$159)</f>
        <v>321080</v>
      </c>
    </row>
    <row r="2258" ht="15.75" customHeight="1">
      <c r="A2258" s="10"/>
      <c r="B2258" s="10"/>
      <c r="C2258" s="18" t="s">
        <v>84</v>
      </c>
      <c r="D2258" s="10"/>
      <c r="F2258" s="5">
        <f t="array" ref="F2258">-SUMIF('YG_PL(M)'!$B$145:$B$159, XLOOKUP($C2258, 'マスタ'!$D$2:$D$318, 'マスタ'!$D$2:$D$318, $C2258), 'YG_PL(M)'!AP$145:AP$159)</f>
        <v>1612595</v>
      </c>
    </row>
    <row r="2259" ht="15.75" customHeight="1">
      <c r="A2259" s="10"/>
      <c r="B2259" s="10"/>
      <c r="C2259" s="18" t="s">
        <v>85</v>
      </c>
      <c r="D2259" s="10"/>
      <c r="F2259" s="5">
        <f t="array" ref="F2259">-SUMIF('YG_PL(M)'!$B$145:$B$159, XLOOKUP($C2259, 'マスタ'!$D$2:$D$318, 'マスタ'!$D$2:$D$318, $C2259), 'YG_PL(M)'!AP$145:AP$159)</f>
        <v>0</v>
      </c>
    </row>
    <row r="2260" ht="15.75" customHeight="1">
      <c r="A2260" s="10"/>
      <c r="B2260" s="10"/>
      <c r="C2260" s="18" t="s">
        <v>178</v>
      </c>
      <c r="D2260" s="10"/>
      <c r="F2260" s="5">
        <f t="array" ref="F2260">-SUMIF('YG_PL(M)'!$B$145:$B$159, XLOOKUP($C2260, 'マスタ'!$D$2:$D$318, 'マスタ'!$D$2:$D$318, $C2260), 'YG_PL(M)'!AP$145:AP$159)</f>
        <v>9535</v>
      </c>
    </row>
    <row r="2261" ht="15.75" customHeight="1">
      <c r="A2261" s="10"/>
      <c r="B2261" s="10"/>
      <c r="C2261" s="18" t="s">
        <v>86</v>
      </c>
      <c r="D2261" s="10"/>
      <c r="F2261" s="5">
        <f t="array" ref="F2261">-SUMIF('YG_PL(M)'!$B$145:$B$159, XLOOKUP($C2261, 'マスタ'!$D$2:$D$318, 'マスタ'!$D$2:$D$318, $C2261), 'YG_PL(M)'!AP$145:AP$159)</f>
        <v>120248</v>
      </c>
    </row>
    <row r="2262" ht="15.75" customHeight="1">
      <c r="A2262" s="10"/>
      <c r="B2262" s="10"/>
      <c r="C2262" s="18" t="s">
        <v>87</v>
      </c>
      <c r="D2262" s="10"/>
      <c r="F2262" s="5">
        <f t="array" ref="F2262">-SUMIF('YG_PL(M)'!$B$145:$B$159, XLOOKUP($C2262, 'マスタ'!$D$2:$D$318, 'マスタ'!$D$2:$D$318, $C2262), 'YG_PL(M)'!AP$145:AP$159)</f>
        <v>6996880</v>
      </c>
    </row>
    <row r="2263" ht="15.75" customHeight="1">
      <c r="A2263" s="10"/>
      <c r="B2263" s="10"/>
      <c r="C2263" s="18" t="s">
        <v>88</v>
      </c>
      <c r="D2263" s="10"/>
      <c r="F2263" s="5">
        <f t="array" ref="F2263">-SUMIF('YG_PL(M)'!$B$145:$B$159, XLOOKUP($C2263, 'マスタ'!$D$2:$D$318, 'マスタ'!$D$2:$D$318, $C2263), 'YG_PL(M)'!AP$145:AP$159)</f>
        <v>0</v>
      </c>
    </row>
    <row r="2264" ht="15.75" customHeight="1">
      <c r="A2264" s="10"/>
      <c r="B2264" s="10"/>
      <c r="C2264" s="18" t="s">
        <v>89</v>
      </c>
      <c r="D2264" s="10"/>
      <c r="F2264" s="5">
        <f t="array" ref="F2264">-SUMIF('YG_PL(M)'!$B$145:$B$159, XLOOKUP($C2264, 'マスタ'!$D$2:$D$318, 'マスタ'!$D$2:$D$318, $C2264), 'YG_PL(M)'!AP$145:AP$159)</f>
        <v>0</v>
      </c>
    </row>
    <row r="2265" ht="15.75" customHeight="1">
      <c r="A2265" s="10"/>
      <c r="B2265" s="10"/>
      <c r="C2265" s="18" t="s">
        <v>90</v>
      </c>
      <c r="D2265" s="10"/>
      <c r="F2265" s="5">
        <f t="array" ref="F2265">-SUMIF('YG_PL(M)'!$B$145:$B$159, XLOOKUP($C2265, 'マスタ'!$D$2:$D$318, 'マスタ'!$D$2:$D$318, $C2265), 'YG_PL(M)'!AP$145:AP$159)</f>
        <v>0</v>
      </c>
    </row>
    <row r="2266" ht="15.75" customHeight="1">
      <c r="A2266" s="10"/>
      <c r="B2266" s="10"/>
      <c r="C2266" s="18" t="s">
        <v>91</v>
      </c>
      <c r="D2266" s="10"/>
      <c r="F2266" s="5">
        <f t="array" ref="F2266">-SUMIF('YG_PL(M)'!$B$145:$B$159, XLOOKUP($C2266, 'マスタ'!$D$2:$D$318, 'マスタ'!$D$2:$D$318, $C2266), 'YG_PL(M)'!AP$145:AP$159)</f>
        <v>597931</v>
      </c>
    </row>
    <row r="2267" ht="15.75" customHeight="1">
      <c r="A2267" s="10"/>
      <c r="B2267" s="10"/>
      <c r="C2267" s="18" t="s">
        <v>92</v>
      </c>
      <c r="D2267" s="10"/>
      <c r="F2267" s="5">
        <f t="array" ref="F2267">-SUMIF('YG_PL(M)'!$B$145:$B$159, XLOOKUP($C2267, 'マスタ'!$D$2:$D$318, 'マスタ'!$D$2:$D$318, $C2267), 'YG_PL(M)'!AP$145:AP$159)</f>
        <v>0</v>
      </c>
    </row>
    <row r="2268" ht="15.75" customHeight="1">
      <c r="A2268" s="10"/>
      <c r="B2268" s="10"/>
      <c r="C2268" s="18" t="s">
        <v>93</v>
      </c>
      <c r="D2268" s="10"/>
      <c r="F2268" s="5">
        <f t="array" ref="F2268">-SUMIF('YG_PL(M)'!$B$145:$B$159, XLOOKUP($C2268, 'マスタ'!$D$2:$D$318, 'マスタ'!$D$2:$D$318, $C2268), 'YG_PL(M)'!AP$145:AP$159)</f>
        <v>3785297</v>
      </c>
    </row>
    <row r="2269" ht="15.75" customHeight="1">
      <c r="A2269" s="10"/>
      <c r="B2269" s="10"/>
      <c r="C2269" s="18" t="s">
        <v>94</v>
      </c>
      <c r="D2269" s="10"/>
      <c r="F2269" s="5">
        <f t="array" ref="F2269">-SUMIF('YG_PL(M)'!$B$145:$B$159, XLOOKUP($C2269, 'マスタ'!$D$2:$D$318, 'マスタ'!$D$2:$D$318, $C2269), 'YG_PL(M)'!AP$145:AP$159)</f>
        <v>0</v>
      </c>
    </row>
    <row r="2270" ht="15.75" customHeight="1">
      <c r="A2270" s="10"/>
      <c r="B2270" s="10"/>
      <c r="C2270" s="18" t="s">
        <v>95</v>
      </c>
      <c r="D2270" s="10"/>
      <c r="F2270" s="5">
        <f t="array" ref="F2270">-SUMIF('YG_PL(M)'!$B$145:$B$159, XLOOKUP($C2270, 'マスタ'!$D$2:$D$318, 'マスタ'!$D$2:$D$318, $C2270), 'YG_PL(M)'!AP$145:AP$159)</f>
        <v>337598</v>
      </c>
    </row>
    <row r="2271" ht="15.75" customHeight="1">
      <c r="A2271" s="10"/>
      <c r="B2271" s="10"/>
      <c r="C2271" s="18" t="s">
        <v>96</v>
      </c>
      <c r="D2271" s="10"/>
      <c r="F2271" s="5">
        <f t="array" ref="F2271">-SUMIF('YG_PL(M)'!$B$145:$B$159, XLOOKUP($C2271, 'マスタ'!$D$2:$D$318, 'マスタ'!$D$2:$D$318, $C2271), 'YG_PL(M)'!AP$145:AP$159)</f>
        <v>0</v>
      </c>
    </row>
    <row r="2272" ht="15.75" customHeight="1">
      <c r="A2272" s="10"/>
      <c r="B2272" s="10"/>
      <c r="C2272" s="18" t="s">
        <v>97</v>
      </c>
      <c r="D2272" s="10"/>
      <c r="F2272" s="5">
        <f t="array" ref="F2272">-SUMIF('YG_PL(M)'!$B$145:$B$159, XLOOKUP($C2272, 'マスタ'!$D$2:$D$318, 'マスタ'!$D$2:$D$318, $C2272), 'YG_PL(M)'!AP$145:AP$159)</f>
        <v>0</v>
      </c>
    </row>
    <row r="2273" ht="15.75" customHeight="1">
      <c r="A2273" s="10"/>
      <c r="B2273" s="10"/>
      <c r="C2273" s="18" t="s">
        <v>98</v>
      </c>
      <c r="D2273" s="10"/>
      <c r="F2273" s="5">
        <f t="array" ref="F2273">-SUMIF('YG_PL(M)'!$B$145:$B$159, XLOOKUP($C2273, 'マスタ'!$D$2:$D$318, 'マスタ'!$D$2:$D$318, $C2273), 'YG_PL(M)'!AP$145:AP$159)</f>
        <v>0</v>
      </c>
    </row>
    <row r="2274" ht="15.75" customHeight="1">
      <c r="A2274" s="10"/>
      <c r="B2274" s="10"/>
      <c r="C2274" s="18" t="s">
        <v>99</v>
      </c>
      <c r="D2274" s="10"/>
      <c r="F2274" s="5">
        <f t="array" ref="F2274">-SUMIF('YG_PL(M)'!$B$145:$B$159, XLOOKUP($C2274, 'マスタ'!$D$2:$D$318, 'マスタ'!$D$2:$D$318, $C2274), 'YG_PL(M)'!AP$145:AP$159)</f>
        <v>0</v>
      </c>
    </row>
    <row r="2275" ht="15.75" customHeight="1">
      <c r="A2275" s="10"/>
      <c r="B2275" s="10"/>
      <c r="C2275" s="18" t="s">
        <v>100</v>
      </c>
      <c r="D2275" s="10"/>
      <c r="F2275" s="5">
        <f t="array" ref="F2275">-SUMIF('YG_PL(M)'!$B$145:$B$159, XLOOKUP($C2275, 'マスタ'!$D$2:$D$318, 'マスタ'!$D$2:$D$318, $C2275), 'YG_PL(M)'!AP$145:AP$159)</f>
        <v>454970</v>
      </c>
    </row>
    <row r="2276" ht="15.75" customHeight="1">
      <c r="A2276" s="10"/>
      <c r="B2276" s="10"/>
      <c r="C2276" s="18"/>
      <c r="D2276" s="10"/>
      <c r="F2276" s="5"/>
    </row>
    <row r="2277" ht="15.75" customHeight="1">
      <c r="A2277" s="18"/>
      <c r="B2277" s="18" t="s">
        <v>102</v>
      </c>
      <c r="C2277" s="10"/>
      <c r="D2277" s="10"/>
      <c r="F2277" s="5">
        <f>SUM(F2246:F2275)</f>
        <v>18849212</v>
      </c>
    </row>
    <row r="2278" ht="15.75" customHeight="1" collapsed="1">
      <c r="A2278" s="18"/>
      <c r="B2278" s="18" t="s">
        <v>31</v>
      </c>
      <c r="C2278" s="10"/>
      <c r="D2278" s="10"/>
      <c r="F2278" s="51">
        <f>F2244-F2277</f>
        <v>-57873004</v>
      </c>
    </row>
    <row r="2279" ht="15.75" hidden="1" customHeight="1" outlineLevel="1">
      <c r="A2279" s="18"/>
      <c r="B2279" s="18" t="s">
        <v>32</v>
      </c>
      <c r="C2279" s="18"/>
      <c r="D2279" s="10"/>
      <c r="F2279" s="10"/>
    </row>
    <row r="2280" ht="15.75" hidden="1" customHeight="1" outlineLevel="1">
      <c r="A2280" s="10"/>
      <c r="B2280" s="10"/>
      <c r="C2280" s="18" t="s">
        <v>103</v>
      </c>
      <c r="D2280" s="10"/>
      <c r="F2280" s="10"/>
    </row>
    <row r="2281" ht="15.75" hidden="1" customHeight="1" outlineLevel="1">
      <c r="A2281" s="10"/>
      <c r="B2281" s="10"/>
      <c r="C2281" s="10" t="s">
        <v>104</v>
      </c>
      <c r="D2281" s="10"/>
      <c r="F2281" s="10"/>
    </row>
    <row r="2282" ht="15.75" hidden="1" customHeight="1" outlineLevel="1">
      <c r="A2282" s="10"/>
      <c r="B2282" s="10"/>
      <c r="C2282" s="18" t="s">
        <v>105</v>
      </c>
      <c r="D2282" s="10"/>
      <c r="F2282" s="10"/>
    </row>
    <row r="2283" ht="15.75" hidden="1" customHeight="1" outlineLevel="1">
      <c r="A2283" s="10"/>
      <c r="B2283" s="10"/>
      <c r="C2283" s="10" t="s">
        <v>106</v>
      </c>
      <c r="D2283" s="10"/>
      <c r="F2283" s="10"/>
    </row>
    <row r="2284" ht="15.75" hidden="1" customHeight="1" outlineLevel="1">
      <c r="A2284" s="10"/>
      <c r="B2284" s="10"/>
      <c r="C2284" s="18" t="s">
        <v>107</v>
      </c>
      <c r="D2284" s="10"/>
      <c r="F2284" s="10"/>
    </row>
    <row r="2285" ht="15.75" hidden="1" customHeight="1" outlineLevel="1">
      <c r="A2285" s="10"/>
      <c r="B2285" s="10"/>
      <c r="C2285" s="18" t="s">
        <v>108</v>
      </c>
      <c r="D2285" s="10"/>
      <c r="F2285" s="10"/>
    </row>
    <row r="2286" ht="15.75" hidden="1" customHeight="1" outlineLevel="1">
      <c r="A2286" s="18"/>
      <c r="B2286" s="18" t="s">
        <v>34</v>
      </c>
      <c r="C2286" s="18"/>
      <c r="D2286" s="10"/>
      <c r="F2286" s="10"/>
    </row>
    <row r="2287" ht="15.75" hidden="1" customHeight="1" outlineLevel="1">
      <c r="A2287" s="10"/>
      <c r="B2287" s="10"/>
      <c r="C2287" s="18" t="s">
        <v>109</v>
      </c>
      <c r="D2287" s="10"/>
      <c r="F2287" s="10"/>
    </row>
    <row r="2288" ht="15.75" hidden="1" customHeight="1" outlineLevel="1">
      <c r="A2288" s="10"/>
      <c r="B2288" s="10"/>
      <c r="C2288" s="18" t="s">
        <v>110</v>
      </c>
      <c r="D2288" s="10"/>
      <c r="F2288" s="10"/>
    </row>
    <row r="2289" ht="15.75" hidden="1" customHeight="1" outlineLevel="1">
      <c r="A2289" s="10"/>
      <c r="B2289" s="10"/>
      <c r="C2289" s="18" t="s">
        <v>111</v>
      </c>
      <c r="D2289" s="10"/>
      <c r="F2289" s="10"/>
    </row>
    <row r="2290" ht="15.75" hidden="1" customHeight="1" outlineLevel="1">
      <c r="A2290" s="18"/>
      <c r="B2290" s="18" t="s">
        <v>112</v>
      </c>
      <c r="C2290" s="10"/>
      <c r="D2290" s="10"/>
      <c r="F2290" s="10"/>
    </row>
    <row r="2291" ht="15.75" hidden="1" customHeight="1" outlineLevel="1">
      <c r="A2291" s="18"/>
      <c r="B2291" s="18" t="s">
        <v>37</v>
      </c>
      <c r="D2291" s="10"/>
      <c r="F2291" s="10"/>
    </row>
    <row r="2292" ht="15.75" hidden="1" customHeight="1" outlineLevel="1">
      <c r="A2292" s="10"/>
      <c r="B2292" s="10"/>
      <c r="C2292" s="10" t="s">
        <v>113</v>
      </c>
      <c r="F2292" s="10"/>
    </row>
    <row r="2293" ht="15.75" hidden="1" customHeight="1" outlineLevel="1">
      <c r="A2293" s="10"/>
      <c r="B2293" s="10"/>
      <c r="C2293" s="18"/>
      <c r="D2293" s="18"/>
      <c r="F2293" s="10"/>
    </row>
    <row r="2294" ht="15.75" hidden="1" customHeight="1" outlineLevel="1">
      <c r="A2294" s="18"/>
      <c r="B2294" s="18" t="s">
        <v>39</v>
      </c>
      <c r="D2294" s="18"/>
      <c r="F2294" s="10"/>
    </row>
    <row r="2295" ht="15.75" hidden="1" customHeight="1" outlineLevel="1">
      <c r="A2295" s="18"/>
      <c r="B2295" s="18"/>
      <c r="C2295" s="18" t="s">
        <v>114</v>
      </c>
      <c r="F2295" s="10"/>
    </row>
    <row r="2296" ht="15.75" hidden="1" customHeight="1" outlineLevel="1">
      <c r="A2296" s="18"/>
      <c r="B2296" s="18"/>
      <c r="C2296" s="10" t="s">
        <v>115</v>
      </c>
      <c r="F2296" s="10"/>
    </row>
    <row r="2297" ht="15.75" hidden="1" customHeight="1" outlineLevel="1">
      <c r="A2297" s="18"/>
      <c r="B2297" s="18"/>
      <c r="C2297" s="10" t="s">
        <v>116</v>
      </c>
      <c r="F2297" s="10"/>
    </row>
    <row r="2298" ht="15.75" hidden="1" customHeight="1" outlineLevel="1">
      <c r="A2298" s="18"/>
      <c r="B2298" s="18" t="s">
        <v>117</v>
      </c>
      <c r="C2298" s="10"/>
      <c r="F2298" s="10"/>
    </row>
    <row r="2299" ht="15.75" hidden="1" customHeight="1" outlineLevel="1">
      <c r="A2299" s="10"/>
      <c r="B2299" s="10"/>
      <c r="C2299" s="18" t="s">
        <v>43</v>
      </c>
      <c r="D2299" s="10"/>
      <c r="F2299" s="10"/>
    </row>
    <row r="2300" ht="15.75" hidden="1" customHeight="1" outlineLevel="1">
      <c r="A2300" s="10"/>
      <c r="B2300" s="10"/>
      <c r="C2300" s="18" t="s">
        <v>118</v>
      </c>
      <c r="D2300" s="10"/>
      <c r="F2300" s="10"/>
    </row>
    <row r="2301" ht="15.75" hidden="1" customHeight="1" outlineLevel="1">
      <c r="A2301" s="37"/>
      <c r="B2301" s="37"/>
      <c r="C2301" s="26" t="s">
        <v>118</v>
      </c>
      <c r="D2301" s="26"/>
      <c r="F2301" s="10"/>
    </row>
    <row r="2302" ht="15.75" customHeight="1">
      <c r="A2302" s="10"/>
      <c r="B2302" s="10" t="s">
        <v>119</v>
      </c>
      <c r="C2302" s="10"/>
      <c r="D2302" s="10"/>
      <c r="F2302" s="10"/>
    </row>
    <row r="2303" ht="15.75" customHeight="1">
      <c r="A2303" s="18"/>
      <c r="B2303" s="18"/>
      <c r="C2303" s="10"/>
      <c r="D2303" s="10"/>
      <c r="F2303" s="10"/>
    </row>
    <row r="2304" ht="15.75" customHeight="1">
      <c r="A2304" s="52"/>
      <c r="B2304" s="52" t="s">
        <v>217</v>
      </c>
      <c r="C2304" s="52"/>
      <c r="D2304" s="52"/>
      <c r="E2304" s="53"/>
      <c r="F2304" s="39"/>
    </row>
    <row r="2305" ht="15.75" customHeight="1">
      <c r="A2305" s="4"/>
      <c r="B2305" s="4" t="s">
        <v>50</v>
      </c>
      <c r="C2305" s="4"/>
      <c r="D2305" s="4" t="s">
        <v>27</v>
      </c>
      <c r="F2305" s="10"/>
    </row>
    <row r="2306" ht="15.75" customHeight="1">
      <c r="A2306" s="18"/>
      <c r="B2306" s="18" t="s">
        <v>1</v>
      </c>
      <c r="D2306" s="10"/>
      <c r="F2306" s="41"/>
    </row>
    <row r="2307" ht="15.75" customHeight="1">
      <c r="C2307" s="18" t="s">
        <v>1</v>
      </c>
      <c r="D2307" s="10"/>
      <c r="F2307" s="42">
        <f t="array" ref="F2307">SUMIF(UTAGE_PL!$A$4:$A$100, XLOOKUP($C2307, 'マスタ'!$D$2:$D$318, 'マスタ'!$D$2:$D$318, $C2307), UTAGE_PL!N$4:N$100)</f>
        <v>32877701</v>
      </c>
    </row>
    <row r="2308" ht="15.75" customHeight="1">
      <c r="A2308" s="18"/>
      <c r="B2308" s="18" t="s">
        <v>67</v>
      </c>
      <c r="C2308" s="10"/>
      <c r="D2308" s="10"/>
      <c r="F2308" s="42">
        <f>F2307</f>
        <v>32877701</v>
      </c>
    </row>
    <row r="2309" ht="15.75" customHeight="1">
      <c r="A2309" s="18"/>
      <c r="B2309" s="18" t="s">
        <v>28</v>
      </c>
      <c r="C2309" s="10"/>
      <c r="D2309" s="10"/>
      <c r="F2309" s="42"/>
    </row>
    <row r="2310" ht="15.75" customHeight="1">
      <c r="A2310" s="10"/>
      <c r="B2310" s="10"/>
      <c r="C2310" s="18" t="s">
        <v>68</v>
      </c>
      <c r="D2310" s="10"/>
      <c r="F2310" s="42">
        <f t="array" ref="F2310">SUMIF(UTAGE_PL!$A$4:$A$100, XLOOKUP($C2310, 'マスタ'!$D$2:$D$318, 'マスタ'!$D$2:$D$318, $C2310), UTAGE_PL!J$4:J$100)</f>
        <v>0</v>
      </c>
    </row>
    <row r="2311" ht="15.75" customHeight="1">
      <c r="A2311" s="10"/>
      <c r="B2311" s="10"/>
      <c r="C2311" s="18" t="s">
        <v>69</v>
      </c>
      <c r="D2311" s="10"/>
      <c r="F2311" s="42">
        <f t="array" ref="F2311">SUMIF(UTAGE_PL!$A$4:$A$100, XLOOKUP($C2311, 'マスタ'!$D$2:$D$318, 'マスタ'!$D$2:$D$318, $C2311), UTAGE_PL!N$4:N$100)</f>
        <v>26441388</v>
      </c>
    </row>
    <row r="2312" ht="15.75" customHeight="1">
      <c r="A2312" s="10"/>
      <c r="B2312" s="10"/>
      <c r="C2312" s="18" t="s">
        <v>71</v>
      </c>
      <c r="D2312" s="10"/>
      <c r="F2312" s="42">
        <f t="array" ref="F2312">SUMIF(UTAGE_PL!$A$4:$A$100, XLOOKUP($C2312, 'マスタ'!$D$2:$D$318, 'マスタ'!$D$2:$D$318, $C2312), UTAGE_PL!J$4:J$100)</f>
        <v>0</v>
      </c>
    </row>
    <row r="2313" ht="15.75" customHeight="1">
      <c r="A2313" s="18"/>
      <c r="B2313" s="18" t="s">
        <v>28</v>
      </c>
      <c r="C2313" s="10"/>
      <c r="D2313" s="10"/>
      <c r="F2313" s="43">
        <f>F2311-F2312</f>
        <v>26441388</v>
      </c>
    </row>
    <row r="2314" ht="15.75" customHeight="1">
      <c r="A2314" s="18"/>
      <c r="B2314" s="18" t="s">
        <v>5</v>
      </c>
      <c r="C2314" s="10"/>
      <c r="D2314" s="10"/>
      <c r="F2314" s="43">
        <f>F2308-F2313</f>
        <v>6436313</v>
      </c>
    </row>
    <row r="2315" ht="15.75" customHeight="1">
      <c r="A2315" s="18"/>
      <c r="B2315" s="18" t="s">
        <v>29</v>
      </c>
      <c r="C2315" s="10"/>
      <c r="D2315" s="10"/>
      <c r="F2315" s="20"/>
    </row>
    <row r="2316" ht="15.75" customHeight="1">
      <c r="A2316" s="10"/>
      <c r="B2316" s="10"/>
      <c r="C2316" s="18" t="s">
        <v>72</v>
      </c>
      <c r="D2316" s="10"/>
      <c r="F2316" s="6">
        <f t="array" ref="F2316">IFERROR(SUMIF(UTAGE_PL!$A$4:$A$100, XLOOKUP($C2316, 'マスタ'!$D$2:$D$318, 'マスタ'!$D$2:$D$318, $C2316), UTAGE_PL!N$4:N$100), 0)</f>
        <v>5400000</v>
      </c>
    </row>
    <row r="2317" ht="15.75" customHeight="1">
      <c r="A2317" s="10"/>
      <c r="B2317" s="10"/>
      <c r="C2317" s="18" t="s">
        <v>73</v>
      </c>
      <c r="D2317" s="10"/>
      <c r="F2317" s="6">
        <f t="array" ref="F2317">IFERROR(SUMIF(UTAGE_PL!$A$4:$A$100, XLOOKUP($C2317, 'マスタ'!$D$2:$D$318, 'マスタ'!$D$2:$D$318, $C2317), UTAGE_PL!N$4:N$100), 0)</f>
        <v>7924909</v>
      </c>
    </row>
    <row r="2318" ht="15.75" customHeight="1">
      <c r="A2318" s="10"/>
      <c r="B2318" s="10"/>
      <c r="C2318" s="18" t="s">
        <v>74</v>
      </c>
      <c r="D2318" s="10"/>
      <c r="F2318" s="6">
        <f t="array" ref="F2318">IFERROR(SUMIF(UTAGE_PL!$A$4:$A$100, XLOOKUP($C2318, 'マスタ'!$D$2:$D$318, 'マスタ'!$D$2:$D$318, $C2318), UTAGE_PL!N$4:N$100), 0)</f>
        <v>1235835</v>
      </c>
    </row>
    <row r="2319" ht="15.75" customHeight="1">
      <c r="A2319" s="10"/>
      <c r="B2319" s="10"/>
      <c r="C2319" s="18" t="s">
        <v>75</v>
      </c>
      <c r="D2319" s="10"/>
      <c r="F2319" s="6">
        <f t="array" ref="F2319">IFERROR(SUMIF(UTAGE_PL!$A$4:$A$100, XLOOKUP($C2319, 'マスタ'!$D$2:$D$318, 'マスタ'!$D$2:$D$318, $C2319), UTAGE_PL!N$4:N$100), 0)</f>
        <v>42000</v>
      </c>
    </row>
    <row r="2320" ht="15.75" customHeight="1">
      <c r="A2320" s="10"/>
      <c r="B2320" s="10"/>
      <c r="C2320" s="18" t="s">
        <v>76</v>
      </c>
      <c r="D2320" s="10"/>
      <c r="F2320" s="6">
        <f t="array" ref="F2320">IFERROR(SUMIF(UTAGE_PL!$A$4:$A$100, XLOOKUP($C2320, 'マスタ'!$D$2:$D$318, 'マスタ'!$D$2:$D$318, $C2320), UTAGE_PL!N$4:N$100), 0)</f>
        <v>0</v>
      </c>
    </row>
    <row r="2321" ht="15.75" customHeight="1">
      <c r="A2321" s="10"/>
      <c r="B2321" s="10"/>
      <c r="C2321" s="18" t="s">
        <v>77</v>
      </c>
      <c r="D2321" s="10"/>
      <c r="F2321" s="6">
        <f t="array" ref="F2321">IFERROR(SUMIF(UTAGE_PL!$A$4:$A$100, XLOOKUP($C2321, 'マスタ'!$D$2:$D$318, 'マスタ'!$D$2:$D$318, $C2321), UTAGE_PL!N$4:N$100), 0)</f>
        <v>0</v>
      </c>
    </row>
    <row r="2322" ht="15.75" customHeight="1">
      <c r="A2322" s="10"/>
      <c r="B2322" s="10"/>
      <c r="C2322" s="18" t="s">
        <v>78</v>
      </c>
      <c r="D2322" s="10"/>
      <c r="F2322" s="6">
        <f t="array" ref="F2322">IFERROR(SUMIF(UTAGE_PL!$A$4:$A$100, XLOOKUP($C2322, 'マスタ'!$D$2:$D$318, 'マスタ'!$D$2:$D$318, $C2322), UTAGE_PL!N$4:N$100), 0)</f>
        <v>115435</v>
      </c>
    </row>
    <row r="2323" ht="15.75" customHeight="1">
      <c r="A2323" s="10"/>
      <c r="B2323" s="10"/>
      <c r="C2323" s="18" t="s">
        <v>79</v>
      </c>
      <c r="D2323" s="10"/>
      <c r="F2323" s="6">
        <f t="array" ref="F2323">IFERROR(SUMIF(UTAGE_PL!$A$4:$A$100, XLOOKUP($C2323, 'マスタ'!$D$2:$D$318, 'マスタ'!$D$2:$D$318, $C2323), UTAGE_PL!N$4:N$100), 0)</f>
        <v>0</v>
      </c>
    </row>
    <row r="2324" ht="15.75" customHeight="1">
      <c r="A2324" s="10"/>
      <c r="B2324" s="10"/>
      <c r="C2324" s="18" t="s">
        <v>80</v>
      </c>
      <c r="D2324" s="10"/>
      <c r="F2324" s="6">
        <f t="array" ref="F2324">IFERROR(SUMIF(UTAGE_PL!$A$4:$A$100, XLOOKUP($C2324, 'マスタ'!$D$2:$D$318, 'マスタ'!$D$2:$D$318, $C2324), UTAGE_PL!N$4:N$100), 0)</f>
        <v>3234264</v>
      </c>
    </row>
    <row r="2325" ht="15.75" customHeight="1">
      <c r="A2325" s="10"/>
      <c r="B2325" s="10"/>
      <c r="C2325" s="18" t="s">
        <v>81</v>
      </c>
      <c r="D2325" s="10"/>
      <c r="F2325" s="6">
        <f t="array" ref="F2325">IFERROR(SUMIF(UTAGE_PL!$A$4:$A$100, XLOOKUP($C2325, 'マスタ'!$D$2:$D$318, 'マスタ'!$D$2:$D$318, $C2325), UTAGE_PL!N$4:N$100), 0)</f>
        <v>0</v>
      </c>
    </row>
    <row r="2326" ht="15.75" customHeight="1">
      <c r="A2326" s="10"/>
      <c r="B2326" s="10"/>
      <c r="C2326" s="18" t="s">
        <v>82</v>
      </c>
      <c r="D2326" s="10"/>
      <c r="F2326" s="6">
        <f t="array" ref="F2326">IFERROR(SUMIF(UTAGE_PL!$A$4:$A$100, XLOOKUP($C2326, 'マスタ'!$D$2:$D$318, 'マスタ'!$D$2:$D$318, $C2326), UTAGE_PL!N$4:N$100), 0)</f>
        <v>404675</v>
      </c>
    </row>
    <row r="2327" ht="15.75" customHeight="1">
      <c r="A2327" s="10"/>
      <c r="B2327" s="10"/>
      <c r="C2327" s="18" t="s">
        <v>83</v>
      </c>
      <c r="D2327" s="10"/>
      <c r="F2327" s="6">
        <f t="array" ref="F2327">IFERROR(SUMIF(UTAGE_PL!$A$4:$A$100, XLOOKUP($C2327, 'マスタ'!$D$2:$D$318, 'マスタ'!$D$2:$D$318, $C2327), UTAGE_PL!N$4:N$100), 0)</f>
        <v>79115</v>
      </c>
    </row>
    <row r="2328" ht="15.75" customHeight="1">
      <c r="A2328" s="10"/>
      <c r="B2328" s="10"/>
      <c r="C2328" s="18" t="s">
        <v>84</v>
      </c>
      <c r="D2328" s="10"/>
      <c r="F2328" s="6">
        <f t="array" ref="F2328">IFERROR(SUMIF(UTAGE_PL!$A$4:$A$100, XLOOKUP($C2328, 'マスタ'!$D$2:$D$318, 'マスタ'!$D$2:$D$318, $C2328), UTAGE_PL!N$4:N$100), 0)</f>
        <v>275508</v>
      </c>
    </row>
    <row r="2329" ht="15.75" customHeight="1">
      <c r="A2329" s="10"/>
      <c r="B2329" s="10"/>
      <c r="C2329" s="18" t="s">
        <v>85</v>
      </c>
      <c r="D2329" s="10"/>
      <c r="F2329" s="6">
        <f t="array" ref="F2329">IFERROR(SUMIF(UTAGE_PL!$A$4:$A$100, XLOOKUP($C2329, 'マスタ'!$D$2:$D$318, 'マスタ'!$D$2:$D$318, $C2329), UTAGE_PL!N$4:N$100), 0)</f>
        <v>0</v>
      </c>
    </row>
    <row r="2330" ht="15.75" customHeight="1">
      <c r="A2330" s="10"/>
      <c r="B2330" s="10"/>
      <c r="C2330" s="18" t="s">
        <v>86</v>
      </c>
      <c r="D2330" s="10"/>
      <c r="F2330" s="6">
        <f t="array" ref="F2330">IFERROR(SUMIF(UTAGE_PL!$A$4:$A$100, XLOOKUP($C2330, 'マスタ'!$D$2:$D$318, 'マスタ'!$D$2:$D$318, $C2330), UTAGE_PL!N$4:N$100), 0)</f>
        <v>129190</v>
      </c>
    </row>
    <row r="2331" ht="15.75" customHeight="1">
      <c r="A2331" s="10"/>
      <c r="B2331" s="10"/>
      <c r="C2331" s="18" t="s">
        <v>87</v>
      </c>
      <c r="D2331" s="10"/>
      <c r="F2331" s="6">
        <f t="array" ref="F2331">IFERROR(SUMIF(UTAGE_PL!$A$4:$A$100, XLOOKUP($C2331, 'マスタ'!$D$2:$D$318, 'マスタ'!$D$2:$D$318, $C2331), UTAGE_PL!N$4:N$100), 0)</f>
        <v>884456</v>
      </c>
    </row>
    <row r="2332" ht="15.75" customHeight="1">
      <c r="A2332" s="10"/>
      <c r="B2332" s="10"/>
      <c r="C2332" s="18" t="s">
        <v>88</v>
      </c>
      <c r="D2332" s="10"/>
      <c r="F2332" s="6">
        <f t="array" ref="F2332">IFERROR(SUMIF(UTAGE_PL!$A$4:$A$100, XLOOKUP($C2332, 'マスタ'!$D$2:$D$318, 'マスタ'!$D$2:$D$318, $C2332), UTAGE_PL!N$4:N$100), 0)</f>
        <v>0</v>
      </c>
    </row>
    <row r="2333" ht="15.75" customHeight="1">
      <c r="A2333" s="10"/>
      <c r="B2333" s="10"/>
      <c r="C2333" s="18" t="s">
        <v>89</v>
      </c>
      <c r="D2333" s="10"/>
      <c r="F2333" s="6">
        <f t="array" ref="F2333">IFERROR(SUMIF(UTAGE_PL!$A$4:$A$100, XLOOKUP($C2333, 'マスタ'!$D$2:$D$318, 'マスタ'!$D$2:$D$318, $C2333), UTAGE_PL!N$4:N$100), 0)</f>
        <v>0</v>
      </c>
    </row>
    <row r="2334" ht="15.75" customHeight="1">
      <c r="A2334" s="10"/>
      <c r="B2334" s="10"/>
      <c r="C2334" s="18" t="s">
        <v>90</v>
      </c>
      <c r="D2334" s="10"/>
      <c r="F2334" s="6">
        <f t="array" ref="F2334">IFERROR(SUMIF(UTAGE_PL!$A$4:$A$100, XLOOKUP($C2334, 'マスタ'!$D$2:$D$318, 'マスタ'!$D$2:$D$318, $C2334), UTAGE_PL!N$4:N$100), 0)</f>
        <v>0</v>
      </c>
    </row>
    <row r="2335" ht="15.75" customHeight="1">
      <c r="A2335" s="10"/>
      <c r="B2335" s="10"/>
      <c r="C2335" s="18" t="s">
        <v>91</v>
      </c>
      <c r="D2335" s="10"/>
      <c r="F2335" s="6">
        <f t="array" ref="F2335">IFERROR(SUMIF(UTAGE_PL!$A$4:$A$100, XLOOKUP($C2335, 'マスタ'!$D$2:$D$318, 'マスタ'!$D$2:$D$318, $C2335), UTAGE_PL!N$4:N$100), 0)</f>
        <v>0</v>
      </c>
    </row>
    <row r="2336" ht="15.75" customHeight="1">
      <c r="A2336" s="10"/>
      <c r="B2336" s="10"/>
      <c r="C2336" s="18" t="s">
        <v>92</v>
      </c>
      <c r="D2336" s="10"/>
      <c r="F2336" s="6">
        <f t="array" ref="F2336">IFERROR(SUMIF(UTAGE_PL!$A$4:$A$100, XLOOKUP($C2336, 'マスタ'!$D$2:$D$318, 'マスタ'!$D$2:$D$318, $C2336), UTAGE_PL!N$4:N$100), 0)</f>
        <v>139626</v>
      </c>
    </row>
    <row r="2337" ht="15.75" customHeight="1">
      <c r="A2337" s="10"/>
      <c r="B2337" s="10"/>
      <c r="C2337" s="18" t="s">
        <v>93</v>
      </c>
      <c r="D2337" s="10"/>
      <c r="F2337" s="6">
        <f t="array" ref="F2337">IFERROR(SUMIF(UTAGE_PL!$A$4:$A$100, XLOOKUP($C2337, 'マスタ'!$D$2:$D$318, 'マスタ'!$D$2:$D$318, $C2337), UTAGE_PL!N$4:N$100), 0)</f>
        <v>154000</v>
      </c>
    </row>
    <row r="2338" ht="15.75" customHeight="1">
      <c r="A2338" s="10"/>
      <c r="B2338" s="10"/>
      <c r="C2338" s="18" t="s">
        <v>94</v>
      </c>
      <c r="D2338" s="10"/>
      <c r="F2338" s="6">
        <f t="array" ref="F2338">IFERROR(SUMIF(UTAGE_PL!$A$4:$A$100, XLOOKUP($C2338, 'マスタ'!$D$2:$D$318, 'マスタ'!$D$2:$D$318, $C2338), UTAGE_PL!N$4:N$100), 0)</f>
        <v>22890</v>
      </c>
    </row>
    <row r="2339" ht="15.75" customHeight="1">
      <c r="A2339" s="10"/>
      <c r="B2339" s="10"/>
      <c r="C2339" s="18" t="s">
        <v>95</v>
      </c>
      <c r="D2339" s="10"/>
      <c r="F2339" s="6">
        <f t="array" ref="F2339">IFERROR(SUMIF(UTAGE_PL!$A$4:$A$100, XLOOKUP($C2339, 'マスタ'!$D$2:$D$318, 'マスタ'!$D$2:$D$318, $C2339), UTAGE_PL!N$4:N$100), 0)</f>
        <v>335231</v>
      </c>
    </row>
    <row r="2340" ht="15.75" customHeight="1">
      <c r="A2340" s="10"/>
      <c r="B2340" s="10"/>
      <c r="C2340" s="18" t="s">
        <v>96</v>
      </c>
      <c r="D2340" s="10"/>
      <c r="F2340" s="6">
        <f t="array" ref="F2340">IFERROR(SUMIF(UTAGE_PL!$A$4:$A$100, XLOOKUP($C2340, 'マスタ'!$D$2:$D$318, 'マスタ'!$D$2:$D$318, $C2340), UTAGE_PL!N$4:N$100), 0)</f>
        <v>0</v>
      </c>
    </row>
    <row r="2341" ht="15.75" customHeight="1">
      <c r="A2341" s="10"/>
      <c r="B2341" s="10"/>
      <c r="C2341" s="18" t="s">
        <v>97</v>
      </c>
      <c r="D2341" s="10"/>
      <c r="F2341" s="6">
        <f t="array" ref="F2341">IFERROR(SUMIF(UTAGE_PL!$A$4:$A$100, XLOOKUP($C2341, 'マスタ'!$D$2:$D$318, 'マスタ'!$D$2:$D$318, $C2341), UTAGE_PL!N$4:N$100), 0)</f>
        <v>0</v>
      </c>
    </row>
    <row r="2342" ht="15.75" customHeight="1">
      <c r="A2342" s="10"/>
      <c r="B2342" s="10"/>
      <c r="C2342" s="18" t="s">
        <v>98</v>
      </c>
      <c r="D2342" s="10"/>
      <c r="F2342" s="6">
        <f t="array" ref="F2342">IFERROR(SUMIF(UTAGE_PL!$A$4:$A$100, XLOOKUP($C2342, 'マスタ'!$D$2:$D$318, 'マスタ'!$D$2:$D$318, $C2342), UTAGE_PL!N$4:N$100), 0)</f>
        <v>0</v>
      </c>
    </row>
    <row r="2343" ht="15.75" customHeight="1">
      <c r="A2343" s="10"/>
      <c r="B2343" s="10"/>
      <c r="C2343" s="18" t="s">
        <v>177</v>
      </c>
      <c r="D2343" s="10"/>
      <c r="F2343" s="6">
        <f t="array" ref="F2343">IFERROR(SUMIF(UTAGE_PL!$A$4:$A$100, XLOOKUP($C2343, 'マスタ'!$D$2:$D$318, 'マスタ'!$D$2:$D$318, $C2343), UTAGE_PL!N$4:N$100), 0)</f>
        <v>1050000</v>
      </c>
    </row>
    <row r="2344" ht="15.75" customHeight="1">
      <c r="A2344" s="10"/>
      <c r="B2344" s="10"/>
      <c r="C2344" s="18" t="s">
        <v>99</v>
      </c>
      <c r="D2344" s="10"/>
      <c r="F2344" s="6">
        <f t="array" ref="F2344">IFERROR(SUMIF(UTAGE_PL!$A$4:$A$100, XLOOKUP($C2344, 'マスタ'!$D$2:$D$318, 'マスタ'!$D$2:$D$318, $C2344), UTAGE_PL!N$4:N$100), 0)</f>
        <v>0</v>
      </c>
    </row>
    <row r="2345" ht="15.75" customHeight="1">
      <c r="A2345" s="10"/>
      <c r="B2345" s="10"/>
      <c r="C2345" s="18" t="s">
        <v>100</v>
      </c>
      <c r="D2345" s="10"/>
      <c r="F2345" s="6">
        <f t="array" ref="F2345">IFERROR(SUMIF(UTAGE_PL!$A$4:$A$100, XLOOKUP($C2345, 'マスタ'!$D$2:$D$318, 'マスタ'!$D$2:$D$318, $C2345), UTAGE_PL!N$4:N$100), 0)</f>
        <v>0</v>
      </c>
    </row>
    <row r="2346" ht="15.75" customHeight="1">
      <c r="A2346" s="10"/>
      <c r="B2346" s="10"/>
      <c r="C2346" s="18" t="s">
        <v>101</v>
      </c>
      <c r="D2346" s="10"/>
      <c r="F2346" s="6">
        <f t="array" ref="F2346">IFERROR(SUMIF(UTAGE_PL!$A$4:$A$100, XLOOKUP($C2346, 'マスタ'!$D$2:$D$318, 'マスタ'!$D$2:$D$318, $C2346), UTAGE_PL!N$4:N$100), 0)</f>
        <v>0</v>
      </c>
    </row>
    <row r="2347" ht="15.75" customHeight="1">
      <c r="A2347" s="18"/>
      <c r="B2347" s="18" t="s">
        <v>102</v>
      </c>
      <c r="C2347" s="10"/>
      <c r="D2347" s="10"/>
      <c r="F2347" s="6">
        <f>SUM(F2316:F2346)</f>
        <v>21427134</v>
      </c>
    </row>
    <row r="2348" ht="15.75" customHeight="1">
      <c r="A2348" s="18"/>
      <c r="B2348" s="18" t="s">
        <v>31</v>
      </c>
      <c r="C2348" s="10"/>
      <c r="D2348" s="10"/>
      <c r="F2348" s="6">
        <f>F2314-F2347</f>
        <v>-14990821</v>
      </c>
    </row>
    <row r="2349" ht="15.75" customHeight="1">
      <c r="A2349" s="18"/>
      <c r="B2349" s="18" t="s">
        <v>32</v>
      </c>
      <c r="C2349" s="18"/>
      <c r="D2349" s="10"/>
      <c r="F2349" s="6">
        <f>SUM(F2350:F2355)</f>
        <v>48062</v>
      </c>
    </row>
    <row r="2350" ht="15.75" customHeight="1">
      <c r="A2350" s="10"/>
      <c r="B2350" s="10"/>
      <c r="C2350" s="18" t="s">
        <v>103</v>
      </c>
      <c r="D2350" s="10"/>
      <c r="F2350" s="6">
        <f t="array" ref="F2350">IFERROR(SUMIF(UTAGE_PL!$A$4:$A$100, XLOOKUP($C2350, 'マスタ'!$D$2:$D$318, 'マスタ'!$D$2:$D$318, $C2350), UTAGE_PL!N$4:N$100), 0)</f>
        <v>43935</v>
      </c>
    </row>
    <row r="2351" ht="15.75" customHeight="1">
      <c r="A2351" s="10"/>
      <c r="B2351" s="10"/>
      <c r="C2351" s="10" t="s">
        <v>104</v>
      </c>
      <c r="D2351" s="10"/>
      <c r="F2351" s="6">
        <f t="array" ref="F2351">IFERROR(SUMIF(UTAGE_PL!$A$4:$A$100, XLOOKUP($C2351, 'マスタ'!$D$2:$D$318, 'マスタ'!$D$2:$D$318, $C2351), UTAGE_PL!N$4:N$100), 0)</f>
        <v>0</v>
      </c>
    </row>
    <row r="2352" ht="15.75" customHeight="1">
      <c r="A2352" s="10"/>
      <c r="B2352" s="10"/>
      <c r="C2352" s="18" t="s">
        <v>105</v>
      </c>
      <c r="D2352" s="10"/>
      <c r="F2352" s="6">
        <f t="array" ref="F2352">IFERROR(SUMIF(UTAGE_PL!$A$4:$A$100, XLOOKUP($C2352, 'マスタ'!$D$2:$D$318, 'マスタ'!$D$2:$D$318, $C2352), UTAGE_PL!N$4:N$100), 0)</f>
        <v>0</v>
      </c>
    </row>
    <row r="2353" ht="15.75" customHeight="1">
      <c r="A2353" s="10"/>
      <c r="B2353" s="10"/>
      <c r="C2353" s="10" t="s">
        <v>106</v>
      </c>
      <c r="D2353" s="10"/>
      <c r="F2353" s="6">
        <f t="array" ref="F2353">IFERROR(SUMIF(UTAGE_PL!$A$4:$A$100, XLOOKUP($C2353, 'マスタ'!$D$2:$D$318, 'マスタ'!$D$2:$D$318, $C2353), UTAGE_PL!N$4:N$100), 0)</f>
        <v>0</v>
      </c>
    </row>
    <row r="2354" ht="15.75" customHeight="1">
      <c r="A2354" s="10"/>
      <c r="B2354" s="10"/>
      <c r="C2354" s="18" t="s">
        <v>107</v>
      </c>
      <c r="D2354" s="10"/>
      <c r="F2354" s="6">
        <f t="array" ref="F2354">IFERROR(SUMIF(UTAGE_PL!$A$4:$A$100, XLOOKUP($C2354, 'マスタ'!$D$2:$D$318, 'マスタ'!$D$2:$D$318, $C2354), UTAGE_PL!N$4:N$100), 0)</f>
        <v>0</v>
      </c>
    </row>
    <row r="2355" ht="15.75" customHeight="1">
      <c r="A2355" s="10"/>
      <c r="B2355" s="10"/>
      <c r="C2355" s="18" t="s">
        <v>108</v>
      </c>
      <c r="D2355" s="10"/>
      <c r="E2355" s="44"/>
      <c r="F2355" s="6">
        <f t="array" ref="F2355">IFERROR(SUMIF(UTAGE_PL!$A$4:$A$100, XLOOKUP($C2355, 'マスタ'!$D$2:$D$318, 'マスタ'!$D$2:$D$318, $C2355), UTAGE_PL!N$4:N$100), 0)</f>
        <v>4127</v>
      </c>
    </row>
    <row r="2356" ht="15.75" customHeight="1">
      <c r="A2356" s="18"/>
      <c r="B2356" s="18" t="s">
        <v>34</v>
      </c>
      <c r="C2356" s="18"/>
      <c r="D2356" s="10"/>
      <c r="F2356" s="6">
        <f>SUM(F2357:F2359)</f>
        <v>145191</v>
      </c>
    </row>
    <row r="2357" ht="15.75" customHeight="1">
      <c r="A2357" s="10"/>
      <c r="B2357" s="10"/>
      <c r="C2357" s="18" t="s">
        <v>109</v>
      </c>
      <c r="D2357" s="10"/>
      <c r="F2357" s="6">
        <f t="array" ref="F2357">IFERROR(SUMIF(UTAGE_PL!$A$4:$A$100, XLOOKUP($C2357, 'マスタ'!$D$2:$D$318, 'マスタ'!$D$2:$D$318, $C2357), UTAGE_PL!N$4:N$100), 0)</f>
        <v>145191</v>
      </c>
    </row>
    <row r="2358" ht="15.75" customHeight="1">
      <c r="A2358" s="10"/>
      <c r="B2358" s="10"/>
      <c r="C2358" s="18" t="s">
        <v>110</v>
      </c>
      <c r="D2358" s="10"/>
      <c r="F2358" s="6">
        <f t="array" ref="F2358">IFERROR(SUMIF(UTAGE_PL!$A$4:$A$100, XLOOKUP($C2358, 'マスタ'!$D$2:$D$318, 'マスタ'!$D$2:$D$318, $C2358), UTAGE_PL!N$4:N$100), 0)</f>
        <v>0</v>
      </c>
    </row>
    <row r="2359" ht="15.75" customHeight="1">
      <c r="A2359" s="10"/>
      <c r="B2359" s="10"/>
      <c r="C2359" s="18" t="s">
        <v>111</v>
      </c>
      <c r="D2359" s="10"/>
      <c r="F2359" s="6">
        <f t="array" ref="F2359">IFERROR(SUMIF(UTAGE_PL!$A$4:$A$100, XLOOKUP($C2359, 'マスタ'!$D$2:$D$318, 'マスタ'!$D$2:$D$318, $C2359), UTAGE_PL!N$4:N$100), 0)</f>
        <v>0</v>
      </c>
    </row>
    <row r="2360" ht="15.75" customHeight="1">
      <c r="A2360" s="18"/>
      <c r="B2360" s="18" t="s">
        <v>112</v>
      </c>
      <c r="C2360" s="10"/>
      <c r="D2360" s="10"/>
      <c r="F2360" s="6">
        <f>F2348+F2349-F2356</f>
        <v>-15087950</v>
      </c>
    </row>
    <row r="2361" ht="15.75" customHeight="1">
      <c r="A2361" s="18"/>
      <c r="B2361" s="18" t="s">
        <v>37</v>
      </c>
      <c r="D2361" s="10"/>
      <c r="F2361" s="6">
        <f t="array" ref="F2361">SUMIF('VO_PL(ORIGIN)'!$A$4:$A$100, XLOOKUP($C2361, 'マスタ'!$D$2:$D$318, 'マスタ'!$D$2:$D$318, $C2361), 'VO_PL(ORIGIN)'!J$4:J$100)</f>
        <v>0</v>
      </c>
    </row>
    <row r="2362" ht="15.75" customHeight="1">
      <c r="A2362" s="10"/>
      <c r="B2362" s="10"/>
      <c r="C2362" s="10" t="s">
        <v>113</v>
      </c>
      <c r="F2362" s="6">
        <f t="array" ref="F2362">IFERROR(SUMIF(UTAGE_PL!$A$4:$A$100, XLOOKUP($C2362, 'マスタ'!$D$2:$D$318, 'マスタ'!$D$2:$D$318, $C2362), UTAGE_PL!N$4:N$100), 0)</f>
        <v>0</v>
      </c>
    </row>
    <row r="2363" ht="15.75" customHeight="1">
      <c r="A2363" s="10"/>
      <c r="B2363" s="10"/>
      <c r="C2363" s="18"/>
      <c r="D2363" s="18"/>
      <c r="F2363" s="6">
        <f t="array" ref="F2363">SUMIF('VO_PL(ORIGIN)'!$A$4:$A$100, XLOOKUP($C2363, 'マスタ'!$D$2:$D$318, 'マスタ'!$D$2:$D$318, $C2363), 'VO_PL(ORIGIN)'!J$4:J$100)</f>
        <v>0</v>
      </c>
    </row>
    <row r="2364" ht="15.75" customHeight="1">
      <c r="A2364" s="18"/>
      <c r="B2364" s="18" t="s">
        <v>39</v>
      </c>
      <c r="D2364" s="18"/>
      <c r="F2364" s="6">
        <f t="array" ref="F2364">SUMIF('VO_PL(ORIGIN)'!$A$4:$A$100, XLOOKUP($C2364, 'マスタ'!$D$2:$D$318, 'マスタ'!$D$2:$D$318, $C2364), 'VO_PL(ORIGIN)'!J$4:J$100)</f>
        <v>0</v>
      </c>
    </row>
    <row r="2365" ht="15.75" customHeight="1">
      <c r="A2365" s="18"/>
      <c r="B2365" s="18"/>
      <c r="C2365" s="18" t="s">
        <v>114</v>
      </c>
      <c r="F2365" s="6">
        <f t="array" ref="F2365">IFERROR(SUMIF(UTAGE_PL!$A$4:$A$100, XLOOKUP($C2365, 'マスタ'!$D$2:$D$318, 'マスタ'!$D$2:$D$318, $C2365), UTAGE_PL!N$4:N$100), 0)</f>
        <v>0</v>
      </c>
    </row>
    <row r="2366" ht="15.75" customHeight="1">
      <c r="A2366" s="18"/>
      <c r="B2366" s="18"/>
      <c r="C2366" s="10" t="s">
        <v>115</v>
      </c>
      <c r="F2366" s="6">
        <f t="array" ref="F2366">IFERROR(SUMIF(UTAGE_PL!$A$4:$A$100, XLOOKUP($C2366, 'マスタ'!$D$2:$D$318, 'マスタ'!$D$2:$D$318, $C2366), UTAGE_PL!N$4:N$100), 0)</f>
        <v>0</v>
      </c>
    </row>
    <row r="2367" ht="15.75" customHeight="1">
      <c r="A2367" s="18"/>
      <c r="B2367" s="18"/>
      <c r="C2367" s="10" t="s">
        <v>116</v>
      </c>
      <c r="F2367" s="6">
        <f t="array" ref="F2367">IFERROR(SUMIF(UTAGE_PL!$A$4:$A$100, XLOOKUP($C2367, 'マスタ'!$D$2:$D$318, 'マスタ'!$D$2:$D$318, $C2367), UTAGE_PL!N$4:N$100), 0)</f>
        <v>0</v>
      </c>
    </row>
    <row r="2368" ht="15.75" customHeight="1">
      <c r="A2368" s="18"/>
      <c r="B2368" s="18" t="s">
        <v>117</v>
      </c>
      <c r="C2368" s="10"/>
      <c r="F2368" s="6">
        <f>F2360+F2361-F2364</f>
        <v>-15087950</v>
      </c>
    </row>
    <row r="2369" ht="15.75" customHeight="1">
      <c r="A2369" s="10"/>
      <c r="B2369" s="10"/>
      <c r="C2369" s="18" t="s">
        <v>43</v>
      </c>
      <c r="D2369" s="10"/>
      <c r="F2369" s="6">
        <f t="array" ref="F2369">IFERROR(SUMIF(UTAGE_PL!$A$4:$A$100, XLOOKUP($C2369, 'マスタ'!$D$2:$D$318, 'マスタ'!$D$2:$D$318, $C2369), UTAGE_PL!N$4:N$100), 0)</f>
        <v>6729</v>
      </c>
    </row>
    <row r="2370" ht="15.75" customHeight="1">
      <c r="A2370" s="10"/>
      <c r="B2370" s="10"/>
      <c r="C2370" s="18" t="s">
        <v>118</v>
      </c>
      <c r="D2370" s="10"/>
      <c r="F2370" s="6">
        <f t="array" ref="F2370">IFERROR(SUMIF(UTAGE_PL!$A$4:$A$100, XLOOKUP($C2370, 'マスタ'!$D$2:$D$318, 'マスタ'!$D$2:$D$318, $C2370), UTAGE_PL!N$4:N$100), 0)</f>
        <v>0</v>
      </c>
    </row>
    <row r="2371" ht="15.75" customHeight="1">
      <c r="A2371" s="18"/>
      <c r="B2371" s="18" t="s">
        <v>119</v>
      </c>
      <c r="C2371" s="10"/>
      <c r="D2371" s="10"/>
      <c r="F2371" s="6">
        <f>F2368-(F2369-F2370)</f>
        <v>-15094679</v>
      </c>
    </row>
    <row r="2372" ht="15.75" customHeight="1" collapsed="1">
      <c r="A2372" s="18"/>
      <c r="B2372" s="18"/>
      <c r="C2372" s="10"/>
      <c r="D2372" s="10"/>
      <c r="F2372" s="10"/>
    </row>
    <row r="2373" ht="15.75" hidden="1" customHeight="1" outlineLevel="1">
      <c r="A2373" s="18"/>
      <c r="B2373" s="18" t="s">
        <v>102</v>
      </c>
      <c r="C2373" s="10"/>
      <c r="D2373" s="10"/>
      <c r="F2373" s="10"/>
    </row>
    <row r="2374" ht="15.75" hidden="1" customHeight="1" outlineLevel="1">
      <c r="A2374" s="18"/>
      <c r="B2374" s="18" t="s">
        <v>31</v>
      </c>
      <c r="C2374" s="10"/>
      <c r="D2374" s="10"/>
      <c r="F2374" s="20"/>
    </row>
    <row r="2375" ht="15.75" hidden="1" customHeight="1" outlineLevel="1">
      <c r="A2375" s="18"/>
      <c r="B2375" s="18" t="s">
        <v>32</v>
      </c>
      <c r="C2375" s="10"/>
      <c r="D2375" s="10"/>
      <c r="F2375" s="6"/>
    </row>
    <row r="2376" ht="15.75" hidden="1" customHeight="1" outlineLevel="1">
      <c r="A2376" s="18"/>
      <c r="B2376" s="18" t="s">
        <v>103</v>
      </c>
      <c r="C2376" s="10"/>
      <c r="D2376" s="10"/>
      <c r="F2376" s="6"/>
    </row>
    <row r="2377" ht="15.75" hidden="1" customHeight="1" outlineLevel="1">
      <c r="A2377" s="18"/>
      <c r="B2377" s="18" t="s">
        <v>108</v>
      </c>
      <c r="C2377" s="10"/>
      <c r="D2377" s="10"/>
      <c r="F2377" s="10"/>
    </row>
    <row r="2378" ht="15.75" hidden="1" customHeight="1" outlineLevel="1">
      <c r="A2378" s="18"/>
      <c r="B2378" s="18" t="s">
        <v>207</v>
      </c>
      <c r="C2378" s="10"/>
      <c r="D2378" s="10"/>
      <c r="F2378" s="10"/>
    </row>
    <row r="2379" ht="15.75" hidden="1" customHeight="1" outlineLevel="1">
      <c r="A2379" s="18"/>
      <c r="B2379" s="18" t="s">
        <v>34</v>
      </c>
      <c r="C2379" s="10"/>
      <c r="D2379" s="10"/>
      <c r="F2379" s="10"/>
    </row>
    <row r="2380" ht="15.75" hidden="1" customHeight="1" outlineLevel="1">
      <c r="A2380" s="18"/>
      <c r="B2380" s="18" t="s">
        <v>109</v>
      </c>
      <c r="C2380" s="10"/>
      <c r="D2380" s="10"/>
      <c r="F2380" s="10"/>
    </row>
    <row r="2381" ht="15.75" hidden="1" customHeight="1" outlineLevel="1">
      <c r="A2381" s="18"/>
      <c r="B2381" s="18" t="s">
        <v>208</v>
      </c>
      <c r="C2381" s="10"/>
      <c r="D2381" s="10"/>
      <c r="F2381" s="6"/>
    </row>
    <row r="2382" ht="15.75" hidden="1" customHeight="1" outlineLevel="1">
      <c r="A2382" s="18"/>
      <c r="B2382" s="18" t="s">
        <v>36</v>
      </c>
      <c r="C2382" s="10"/>
      <c r="D2382" s="10"/>
      <c r="F2382" s="20"/>
    </row>
    <row r="2383" ht="15.75" hidden="1" customHeight="1" outlineLevel="1">
      <c r="A2383" s="18"/>
      <c r="B2383" s="18" t="s">
        <v>37</v>
      </c>
      <c r="C2383" s="10"/>
      <c r="D2383" s="10"/>
      <c r="F2383" s="6"/>
    </row>
    <row r="2384" ht="15.75" hidden="1" customHeight="1" outlineLevel="1">
      <c r="A2384" s="10"/>
      <c r="B2384" s="10" t="s">
        <v>209</v>
      </c>
      <c r="C2384" s="10"/>
      <c r="D2384" s="10"/>
      <c r="F2384" s="6"/>
    </row>
    <row r="2385" ht="15.75" hidden="1" customHeight="1" outlineLevel="1">
      <c r="A2385" s="10"/>
      <c r="B2385" s="10" t="s">
        <v>39</v>
      </c>
      <c r="C2385" s="10"/>
      <c r="D2385" s="10"/>
      <c r="F2385" s="6"/>
    </row>
    <row r="2386" ht="15.75" hidden="1" customHeight="1" outlineLevel="1">
      <c r="A2386" s="10"/>
      <c r="B2386" s="10" t="s">
        <v>210</v>
      </c>
      <c r="C2386" s="10"/>
      <c r="D2386" s="10"/>
      <c r="F2386" s="6"/>
    </row>
    <row r="2387" ht="15.75" hidden="1" customHeight="1" outlineLevel="1">
      <c r="A2387" s="54"/>
      <c r="B2387" s="54" t="s">
        <v>41</v>
      </c>
      <c r="C2387" s="55"/>
      <c r="D2387" s="55"/>
      <c r="F2387" s="6"/>
    </row>
    <row r="2388" ht="15.75" hidden="1" customHeight="1" outlineLevel="1">
      <c r="A2388" s="56"/>
      <c r="B2388" s="56" t="s">
        <v>211</v>
      </c>
      <c r="C2388" s="56"/>
      <c r="D2388" s="56"/>
      <c r="F2388" s="6"/>
    </row>
    <row r="2389" ht="15.75" hidden="1" customHeight="1" outlineLevel="1">
      <c r="A2389" s="56"/>
      <c r="B2389" s="56" t="s">
        <v>44</v>
      </c>
      <c r="C2389" s="56"/>
      <c r="D2389" s="56"/>
      <c r="F2389" s="6"/>
    </row>
    <row r="2390" ht="15.75" customHeight="1">
      <c r="A2390" s="57"/>
      <c r="B2390" s="57"/>
      <c r="C2390" s="56"/>
      <c r="D2390" s="57"/>
      <c r="F2390" s="6"/>
    </row>
    <row r="2391" ht="15.75" customHeight="1">
      <c r="A2391" s="57"/>
      <c r="B2391" s="57"/>
      <c r="C2391" s="56"/>
      <c r="D2391" s="57"/>
      <c r="F2391" s="6"/>
    </row>
    <row r="2392" ht="15.75" customHeight="1">
      <c r="A2392" s="57"/>
      <c r="B2392" s="57"/>
      <c r="C2392" s="56"/>
      <c r="D2392" s="57"/>
      <c r="F2392" s="6"/>
    </row>
    <row r="2393" ht="15.75" customHeight="1">
      <c r="A2393" s="56"/>
      <c r="B2393" s="56"/>
      <c r="C2393" s="56"/>
      <c r="D2393" s="56"/>
      <c r="F2393" s="6"/>
    </row>
    <row r="2394" ht="15.75" customHeight="1">
      <c r="A2394" s="57"/>
      <c r="B2394" s="57" t="s">
        <v>218</v>
      </c>
      <c r="C2394" s="56"/>
      <c r="D2394" s="57" t="s">
        <v>219</v>
      </c>
      <c r="F2394" s="6"/>
    </row>
    <row r="2395" ht="15.75" customHeight="1">
      <c r="A2395" s="57"/>
      <c r="B2395" s="57" t="s">
        <v>15</v>
      </c>
      <c r="C2395" s="56"/>
      <c r="D2395" s="57" t="s">
        <v>219</v>
      </c>
      <c r="F2395" s="6"/>
    </row>
    <row r="2396" ht="15.75" customHeight="1">
      <c r="A2396" s="57"/>
      <c r="B2396" s="57" t="s">
        <v>217</v>
      </c>
      <c r="C2396" s="56"/>
      <c r="D2396" s="57" t="s">
        <v>219</v>
      </c>
      <c r="F2396" s="6"/>
    </row>
    <row r="2397" ht="15.75" customHeight="1">
      <c r="A2397" s="57"/>
      <c r="B2397" s="57" t="s">
        <v>20</v>
      </c>
      <c r="C2397" s="56"/>
      <c r="D2397" s="57" t="s">
        <v>219</v>
      </c>
      <c r="F2397" s="6"/>
    </row>
    <row r="2398" ht="15.75" customHeight="1">
      <c r="A2398" s="56"/>
      <c r="B2398" s="56"/>
      <c r="C2398" s="56"/>
      <c r="D2398" s="56"/>
      <c r="F2398" s="6"/>
    </row>
    <row r="2399" ht="15.75" customHeight="1">
      <c r="A2399" s="58"/>
      <c r="B2399" s="58" t="s">
        <v>220</v>
      </c>
      <c r="C2399" s="56"/>
      <c r="D2399" s="58" t="s">
        <v>221</v>
      </c>
      <c r="F2399" s="6"/>
    </row>
    <row r="2400" ht="15.75" customHeight="1">
      <c r="A2400" s="58"/>
      <c r="B2400" s="58" t="s">
        <v>18</v>
      </c>
      <c r="C2400" s="56"/>
      <c r="D2400" s="58" t="s">
        <v>221</v>
      </c>
      <c r="F2400" s="6"/>
    </row>
    <row r="2401" ht="15.75" customHeight="1">
      <c r="A2401" s="58"/>
      <c r="B2401" s="58" t="s">
        <v>218</v>
      </c>
      <c r="C2401" s="56"/>
      <c r="D2401" s="58" t="s">
        <v>221</v>
      </c>
      <c r="F2401" s="6"/>
    </row>
    <row r="2402" ht="15.75" customHeight="1">
      <c r="A2402" s="58"/>
      <c r="B2402" s="58" t="s">
        <v>15</v>
      </c>
      <c r="C2402" s="56"/>
      <c r="D2402" s="58" t="s">
        <v>221</v>
      </c>
      <c r="F2402" s="6"/>
    </row>
    <row r="2403" ht="15.75" customHeight="1">
      <c r="A2403" s="58"/>
      <c r="B2403" s="58" t="s">
        <v>217</v>
      </c>
      <c r="C2403" s="56"/>
      <c r="D2403" s="58" t="s">
        <v>221</v>
      </c>
      <c r="F2403" s="6"/>
    </row>
    <row r="2404" ht="15.75" customHeight="1">
      <c r="A2404" s="58"/>
      <c r="B2404" s="58" t="s">
        <v>20</v>
      </c>
      <c r="C2404" s="56"/>
      <c r="D2404" s="58" t="s">
        <v>221</v>
      </c>
      <c r="F2404" s="6"/>
    </row>
    <row r="2405" ht="15.75" customHeight="1">
      <c r="A2405" s="56"/>
      <c r="B2405" s="56"/>
      <c r="C2405" s="56"/>
      <c r="D2405" s="56"/>
      <c r="F2405" s="6"/>
    </row>
    <row r="2406" ht="15.75" customHeight="1">
      <c r="A2406" s="56"/>
      <c r="B2406" s="56"/>
      <c r="C2406" s="56"/>
      <c r="D2406" s="56"/>
      <c r="F2406" s="6"/>
    </row>
    <row r="2407" ht="15.75" customHeight="1">
      <c r="A2407" s="56"/>
      <c r="B2407" s="56"/>
      <c r="C2407" s="56"/>
      <c r="D2407" s="56"/>
      <c r="F2407" s="6"/>
    </row>
  </sheetData>
  <hyperlinks>
    <hyperlink r:id="rId2" ref="C95"/>
    <hyperlink r:id="rId3" location="gid=93262643" ref="C96"/>
    <hyperlink r:id="rId4" location="gid=1658084189" ref="C114"/>
    <hyperlink r:id="rId5" location="gid=1824114713" ref="C132"/>
    <hyperlink r:id="rId6" ref="C1444"/>
  </hyperlinks>
  <printOptions/>
  <pageMargins bottom="1.0" footer="0.0" header="0.0" left="0.75" right="0.75" top="1.0"/>
  <pageSetup orientation="landscape"/>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4.38"/>
    <col customWidth="1" min="3" max="3" width="13.75"/>
    <col customWidth="1" min="4" max="6" width="12.63"/>
  </cols>
  <sheetData>
    <row r="1" ht="15.75" customHeight="1">
      <c r="B1" s="53" t="s">
        <v>222</v>
      </c>
      <c r="C1" s="53" t="s">
        <v>223</v>
      </c>
      <c r="D1" s="38" t="s">
        <v>224</v>
      </c>
    </row>
    <row r="2" ht="15.75" customHeight="1">
      <c r="B2" s="53"/>
      <c r="C2" s="53"/>
      <c r="J2" s="2">
        <v>46113.0</v>
      </c>
      <c r="K2" s="2">
        <v>46143.0</v>
      </c>
      <c r="L2" s="2">
        <v>46174.0</v>
      </c>
      <c r="M2" s="2">
        <v>46204.0</v>
      </c>
      <c r="N2" s="2">
        <v>46235.0</v>
      </c>
      <c r="O2" s="2">
        <v>46266.0</v>
      </c>
      <c r="P2" s="3">
        <v>46296.0</v>
      </c>
      <c r="Q2" s="3">
        <v>46327.0</v>
      </c>
      <c r="R2" s="3">
        <v>46357.0</v>
      </c>
      <c r="S2" s="2">
        <v>46388.0</v>
      </c>
      <c r="T2" s="2">
        <v>46419.0</v>
      </c>
      <c r="U2" s="2">
        <v>46447.0</v>
      </c>
      <c r="V2" s="38" t="s">
        <v>225</v>
      </c>
    </row>
    <row r="3" ht="15.75" customHeight="1">
      <c r="A3" s="38"/>
      <c r="B3" s="53"/>
      <c r="C3" s="53"/>
      <c r="D3" s="38" t="s">
        <v>1</v>
      </c>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E4" s="38" t="s">
        <v>1</v>
      </c>
      <c r="J4" s="60">
        <v>4.3119318E7</v>
      </c>
      <c r="K4" s="60">
        <v>5.3884627E7</v>
      </c>
      <c r="L4" s="60">
        <v>4.3374767E7</v>
      </c>
      <c r="M4" s="60">
        <v>4.338E7</v>
      </c>
      <c r="N4" s="60">
        <v>4.338E7</v>
      </c>
      <c r="O4" s="60">
        <v>4.338E7</v>
      </c>
      <c r="P4" s="38">
        <v>0.0</v>
      </c>
      <c r="Q4" s="38">
        <v>0.0</v>
      </c>
      <c r="R4" s="38">
        <v>0.0</v>
      </c>
      <c r="S4" s="38">
        <v>0.0</v>
      </c>
      <c r="T4" s="38">
        <v>0.0</v>
      </c>
      <c r="U4" s="38">
        <v>0.0</v>
      </c>
      <c r="V4" s="60">
        <v>2.70518712E8</v>
      </c>
    </row>
    <row r="5" ht="15.75" customHeight="1">
      <c r="A5" s="59" t="str">
        <f t="array" ref="A5">XLOOKUP(C5, 'マスタ'!$C$2:$C$312, 'マスタ'!$D$2:$D$312, "マスタ未登録")</f>
        <v>マスタ未登録</v>
      </c>
      <c r="B5" s="53" t="str">
        <f>IF(AND(C5&lt;&gt;"", COUNTIF('マスタ'!$C:$C, C5)=0), "マスタ未登録", "")</f>
        <v>マスタ未登録</v>
      </c>
      <c r="C5" s="53" t="str">
        <f t="shared" si="1"/>
        <v>売上高 計</v>
      </c>
      <c r="D5" s="38" t="s">
        <v>226</v>
      </c>
      <c r="J5" s="60">
        <v>4.3119318E7</v>
      </c>
      <c r="K5" s="60">
        <v>5.3884627E7</v>
      </c>
      <c r="L5" s="60">
        <v>4.3374767E7</v>
      </c>
      <c r="M5" s="60">
        <v>4.338E7</v>
      </c>
      <c r="N5" s="60">
        <v>4.338E7</v>
      </c>
      <c r="O5" s="60">
        <v>4.338E7</v>
      </c>
      <c r="P5" s="38">
        <v>0.0</v>
      </c>
      <c r="Q5" s="38">
        <v>0.0</v>
      </c>
      <c r="R5" s="38">
        <v>0.0</v>
      </c>
      <c r="S5" s="38">
        <v>0.0</v>
      </c>
      <c r="T5" s="38">
        <v>0.0</v>
      </c>
      <c r="U5" s="38">
        <v>0.0</v>
      </c>
      <c r="V5" s="60">
        <v>2.70518712E8</v>
      </c>
    </row>
    <row r="6" ht="15.75" customHeight="1">
      <c r="A6" s="59" t="str">
        <f t="array" ref="A6">XLOOKUP(C6, 'マスタ'!$C$2:$C$312, 'マスタ'!$D$2:$D$312, "マスタ未登録")</f>
        <v>マスタ未登録</v>
      </c>
      <c r="B6" s="53" t="str">
        <f>IF(AND(C6&lt;&gt;"", COUNTIF('マスタ'!$C:$C, C6)=0), "マスタ未登録", "")</f>
        <v>マスタ未登録</v>
      </c>
      <c r="C6" s="53" t="str">
        <f t="shared" si="1"/>
        <v>売上原価</v>
      </c>
      <c r="E6" s="38" t="s">
        <v>28</v>
      </c>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E7" s="38" t="s">
        <v>28</v>
      </c>
      <c r="J7" s="60">
        <v>6959949.0</v>
      </c>
      <c r="K7" s="60">
        <v>2620001.0</v>
      </c>
      <c r="L7" s="38">
        <v>0.0</v>
      </c>
      <c r="M7" s="38">
        <v>0.0</v>
      </c>
      <c r="N7" s="38">
        <v>0.0</v>
      </c>
      <c r="O7" s="38">
        <v>0.0</v>
      </c>
      <c r="P7" s="38">
        <v>0.0</v>
      </c>
      <c r="Q7" s="38">
        <v>0.0</v>
      </c>
      <c r="R7" s="38">
        <v>0.0</v>
      </c>
      <c r="S7" s="38">
        <v>0.0</v>
      </c>
      <c r="T7" s="38">
        <v>0.0</v>
      </c>
      <c r="U7" s="38">
        <v>0.0</v>
      </c>
      <c r="V7" s="60">
        <v>9579950.0</v>
      </c>
    </row>
    <row r="8" ht="15.75" customHeight="1">
      <c r="A8" s="59" t="str">
        <f t="array" ref="A8">XLOOKUP(C8, 'マスタ'!$C$2:$C$312, 'マスタ'!$D$2:$D$312, "マスタ未登録")</f>
        <v>期首商品棚卸高</v>
      </c>
      <c r="B8" s="53" t="str">
        <f>IF(AND(C8&lt;&gt;"", COUNTIF('マスタ'!$C:$C, C8)=0), "マスタ未登録", "")</f>
        <v/>
      </c>
      <c r="C8" s="53" t="str">
        <f t="shared" si="1"/>
        <v>期首商品棚卸</v>
      </c>
      <c r="G8" s="38" t="s">
        <v>227</v>
      </c>
      <c r="J8" s="60">
        <v>1886546.0</v>
      </c>
      <c r="K8" s="38">
        <v>0.0</v>
      </c>
      <c r="L8" s="38">
        <v>0.0</v>
      </c>
      <c r="M8" s="38">
        <v>0.0</v>
      </c>
      <c r="N8" s="38">
        <v>0.0</v>
      </c>
      <c r="O8" s="38">
        <v>0.0</v>
      </c>
      <c r="P8" s="38">
        <v>0.0</v>
      </c>
      <c r="Q8" s="38">
        <v>0.0</v>
      </c>
      <c r="R8" s="38">
        <v>0.0</v>
      </c>
      <c r="S8" s="38">
        <v>0.0</v>
      </c>
      <c r="T8" s="38">
        <v>0.0</v>
      </c>
      <c r="U8" s="38">
        <v>0.0</v>
      </c>
      <c r="V8" s="60">
        <v>1886546.0</v>
      </c>
    </row>
    <row r="9" ht="15.75" customHeight="1">
      <c r="A9" s="59" t="str">
        <f t="array" ref="A9">XLOOKUP(C9, 'マスタ'!$C$2:$C$312, 'マスタ'!$D$2:$D$312, "マスタ未登録")</f>
        <v>期首商品棚卸高</v>
      </c>
      <c r="B9" s="53" t="str">
        <f>IF(AND(C9&lt;&gt;"", COUNTIF('マスタ'!$C:$C, C9)=0), "マスタ未登録", "")</f>
        <v/>
      </c>
      <c r="C9" s="53" t="str">
        <f t="shared" si="1"/>
        <v>期首商品棚卸高</v>
      </c>
      <c r="H9" s="38" t="s">
        <v>68</v>
      </c>
      <c r="J9" s="60">
        <v>1886546.0</v>
      </c>
      <c r="K9" s="38">
        <v>0.0</v>
      </c>
      <c r="L9" s="38">
        <v>0.0</v>
      </c>
      <c r="M9" s="38">
        <v>0.0</v>
      </c>
      <c r="N9" s="38">
        <v>0.0</v>
      </c>
      <c r="O9" s="38">
        <v>0.0</v>
      </c>
      <c r="P9" s="38">
        <v>0.0</v>
      </c>
      <c r="Q9" s="38">
        <v>0.0</v>
      </c>
      <c r="R9" s="38">
        <v>0.0</v>
      </c>
      <c r="S9" s="38">
        <v>0.0</v>
      </c>
      <c r="T9" s="38">
        <v>0.0</v>
      </c>
      <c r="U9" s="38">
        <v>0.0</v>
      </c>
      <c r="V9" s="60">
        <v>1886546.0</v>
      </c>
    </row>
    <row r="10" ht="15.75" customHeight="1">
      <c r="A10" s="59" t="str">
        <f t="array" ref="A10">XLOOKUP(C10, 'マスタ'!$C$2:$C$312, 'マスタ'!$D$2:$D$312, "マスタ未登録")</f>
        <v>当期商品仕入高</v>
      </c>
      <c r="B10" s="53" t="str">
        <f>IF(AND(C10&lt;&gt;"", COUNTIF('マスタ'!$C:$C, C10)=0), "マスタ未登録", "")</f>
        <v/>
      </c>
      <c r="C10" s="53" t="str">
        <f t="shared" si="1"/>
        <v>当期商品仕入</v>
      </c>
      <c r="G10" s="38" t="s">
        <v>228</v>
      </c>
      <c r="J10" s="60">
        <v>5788844.0</v>
      </c>
      <c r="K10" s="60">
        <v>2620001.0</v>
      </c>
      <c r="L10" s="38">
        <v>0.0</v>
      </c>
      <c r="M10" s="38">
        <v>0.0</v>
      </c>
      <c r="N10" s="38">
        <v>0.0</v>
      </c>
      <c r="O10" s="38">
        <v>0.0</v>
      </c>
      <c r="P10" s="38">
        <v>0.0</v>
      </c>
      <c r="Q10" s="38">
        <v>0.0</v>
      </c>
      <c r="R10" s="38">
        <v>0.0</v>
      </c>
      <c r="S10" s="38">
        <v>0.0</v>
      </c>
      <c r="T10" s="38">
        <v>0.0</v>
      </c>
      <c r="U10" s="38">
        <v>0.0</v>
      </c>
      <c r="V10" s="60">
        <v>8408845.0</v>
      </c>
    </row>
    <row r="11" ht="15.75" customHeight="1">
      <c r="A11" s="59" t="str">
        <f t="array" ref="A11">XLOOKUP(C11, 'マスタ'!$C$2:$C$312, 'マスタ'!$D$2:$D$312, "マスタ未登録")</f>
        <v>当期商品仕入高</v>
      </c>
      <c r="B11" s="53" t="str">
        <f>IF(AND(C11&lt;&gt;"", COUNTIF('マスタ'!$C:$C, C11)=0), "マスタ未登録", "")</f>
        <v/>
      </c>
      <c r="C11" s="53" t="str">
        <f t="shared" si="1"/>
        <v>給料手当(原)</v>
      </c>
      <c r="H11" s="38" t="s">
        <v>229</v>
      </c>
      <c r="J11" s="60">
        <v>3666203.0</v>
      </c>
      <c r="K11" s="60">
        <v>1915784.0</v>
      </c>
      <c r="L11" s="38">
        <v>0.0</v>
      </c>
      <c r="M11" s="38">
        <v>0.0</v>
      </c>
      <c r="N11" s="38">
        <v>0.0</v>
      </c>
      <c r="O11" s="38">
        <v>0.0</v>
      </c>
      <c r="P11" s="38">
        <v>0.0</v>
      </c>
      <c r="Q11" s="38">
        <v>0.0</v>
      </c>
      <c r="R11" s="38">
        <v>0.0</v>
      </c>
      <c r="S11" s="38">
        <v>0.0</v>
      </c>
      <c r="T11" s="38">
        <v>0.0</v>
      </c>
      <c r="U11" s="38">
        <v>0.0</v>
      </c>
      <c r="V11" s="60">
        <v>5581987.0</v>
      </c>
    </row>
    <row r="12" ht="15.75" customHeight="1">
      <c r="A12" s="59" t="str">
        <f t="array" ref="A12">XLOOKUP(C12, 'マスタ'!$C$2:$C$312, 'マスタ'!$D$2:$D$312, "マスタ未登録")</f>
        <v>当期商品仕入高</v>
      </c>
      <c r="B12" s="53" t="str">
        <f>IF(AND(C12&lt;&gt;"", COUNTIF('マスタ'!$C:$C, C12)=0), "マスタ未登録", "")</f>
        <v/>
      </c>
      <c r="C12" s="53" t="str">
        <f t="shared" si="1"/>
        <v>法定福利費(原)</v>
      </c>
      <c r="H12" s="38" t="s">
        <v>230</v>
      </c>
      <c r="J12" s="60">
        <v>574947.0</v>
      </c>
      <c r="K12" s="60">
        <v>274625.0</v>
      </c>
      <c r="L12" s="38">
        <v>0.0</v>
      </c>
      <c r="M12" s="38">
        <v>0.0</v>
      </c>
      <c r="N12" s="38">
        <v>0.0</v>
      </c>
      <c r="O12" s="38">
        <v>0.0</v>
      </c>
      <c r="P12" s="38">
        <v>0.0</v>
      </c>
      <c r="Q12" s="38">
        <v>0.0</v>
      </c>
      <c r="R12" s="38">
        <v>0.0</v>
      </c>
      <c r="S12" s="38">
        <v>0.0</v>
      </c>
      <c r="T12" s="38">
        <v>0.0</v>
      </c>
      <c r="U12" s="38">
        <v>0.0</v>
      </c>
      <c r="V12" s="60">
        <v>849572.0</v>
      </c>
    </row>
    <row r="13" ht="15.75" customHeight="1">
      <c r="A13" s="59" t="str">
        <f t="array" ref="A13">XLOOKUP(C13, 'マスタ'!$C$2:$C$312, 'マスタ'!$D$2:$D$312, "マスタ未登録")</f>
        <v>当期商品仕入高</v>
      </c>
      <c r="B13" s="53" t="str">
        <f>IF(AND(C13&lt;&gt;"", COUNTIF('マスタ'!$C:$C, C13)=0), "マスタ未登録", "")</f>
        <v/>
      </c>
      <c r="C13" s="53" t="str">
        <f t="shared" si="1"/>
        <v>外注費(原)</v>
      </c>
      <c r="H13" s="38" t="s">
        <v>231</v>
      </c>
      <c r="J13" s="60">
        <v>1173000.0</v>
      </c>
      <c r="K13" s="60">
        <v>380000.0</v>
      </c>
      <c r="L13" s="38">
        <v>0.0</v>
      </c>
      <c r="M13" s="38">
        <v>0.0</v>
      </c>
      <c r="N13" s="38">
        <v>0.0</v>
      </c>
      <c r="O13" s="38">
        <v>0.0</v>
      </c>
      <c r="P13" s="38">
        <v>0.0</v>
      </c>
      <c r="Q13" s="38">
        <v>0.0</v>
      </c>
      <c r="R13" s="38">
        <v>0.0</v>
      </c>
      <c r="S13" s="38">
        <v>0.0</v>
      </c>
      <c r="T13" s="38">
        <v>0.0</v>
      </c>
      <c r="U13" s="38">
        <v>0.0</v>
      </c>
      <c r="V13" s="60">
        <v>1553000.0</v>
      </c>
    </row>
    <row r="14" ht="15.75" customHeight="1">
      <c r="A14" s="59" t="str">
        <f t="array" ref="A14">XLOOKUP(C14, 'マスタ'!$C$2:$C$312, 'マスタ'!$D$2:$D$312, "マスタ未登録")</f>
        <v>当期商品仕入高</v>
      </c>
      <c r="B14" s="53" t="str">
        <f>IF(AND(C14&lt;&gt;"", COUNTIF('マスタ'!$C:$C, C14)=0), "マスタ未登録", "")</f>
        <v/>
      </c>
      <c r="C14" s="53" t="str">
        <f t="shared" si="1"/>
        <v>業務委託費(原)</v>
      </c>
      <c r="H14" s="38" t="s">
        <v>232</v>
      </c>
      <c r="J14" s="60">
        <v>269139.0</v>
      </c>
      <c r="K14" s="38">
        <v>1.0</v>
      </c>
      <c r="L14" s="38">
        <v>0.0</v>
      </c>
      <c r="M14" s="38">
        <v>0.0</v>
      </c>
      <c r="N14" s="38">
        <v>0.0</v>
      </c>
      <c r="O14" s="38">
        <v>0.0</v>
      </c>
      <c r="P14" s="38">
        <v>0.0</v>
      </c>
      <c r="Q14" s="38">
        <v>0.0</v>
      </c>
      <c r="R14" s="38">
        <v>0.0</v>
      </c>
      <c r="S14" s="38">
        <v>0.0</v>
      </c>
      <c r="T14" s="38">
        <v>0.0</v>
      </c>
      <c r="U14" s="38">
        <v>0.0</v>
      </c>
      <c r="V14" s="60">
        <v>269140.0</v>
      </c>
    </row>
    <row r="15" ht="15.75" customHeight="1">
      <c r="A15" s="59" t="str">
        <f t="array" ref="A15">XLOOKUP(C15, 'マスタ'!$C$2:$C$312, 'マスタ'!$D$2:$D$312, "マスタ未登録")</f>
        <v>当期商品仕入高</v>
      </c>
      <c r="B15" s="53" t="str">
        <f>IF(AND(C15&lt;&gt;"", COUNTIF('マスタ'!$C:$C, C15)=0), "マスタ未登録", "")</f>
        <v/>
      </c>
      <c r="C15" s="53" t="str">
        <f t="shared" si="1"/>
        <v>旅費交通費(原)</v>
      </c>
      <c r="H15" s="38" t="s">
        <v>233</v>
      </c>
      <c r="J15" s="60">
        <v>105355.0</v>
      </c>
      <c r="K15" s="60">
        <v>49591.0</v>
      </c>
      <c r="L15" s="38">
        <v>0.0</v>
      </c>
      <c r="M15" s="38">
        <v>0.0</v>
      </c>
      <c r="N15" s="38">
        <v>0.0</v>
      </c>
      <c r="O15" s="38">
        <v>0.0</v>
      </c>
      <c r="P15" s="38">
        <v>0.0</v>
      </c>
      <c r="Q15" s="38">
        <v>0.0</v>
      </c>
      <c r="R15" s="38">
        <v>0.0</v>
      </c>
      <c r="S15" s="38">
        <v>0.0</v>
      </c>
      <c r="T15" s="38">
        <v>0.0</v>
      </c>
      <c r="U15" s="38">
        <v>0.0</v>
      </c>
      <c r="V15" s="60">
        <v>154946.0</v>
      </c>
    </row>
    <row r="16" ht="15.75" customHeight="1">
      <c r="A16" s="59" t="str">
        <f t="array" ref="A16">XLOOKUP(C16, 'マスタ'!$C$2:$C$312, 'マスタ'!$D$2:$D$312, "マスタ未登録")</f>
        <v>当期商品仕入高</v>
      </c>
      <c r="B16" s="53" t="str">
        <f>IF(AND(C16&lt;&gt;"", COUNTIF('マスタ'!$C:$C, C16)=0), "マスタ未登録", "")</f>
        <v/>
      </c>
      <c r="C16" s="53" t="str">
        <f t="shared" si="1"/>
        <v>消耗品費(原)</v>
      </c>
      <c r="H16" s="38" t="s">
        <v>234</v>
      </c>
      <c r="J16" s="38">
        <v>200.0</v>
      </c>
      <c r="K16" s="38">
        <v>0.0</v>
      </c>
      <c r="L16" s="38">
        <v>0.0</v>
      </c>
      <c r="M16" s="38">
        <v>0.0</v>
      </c>
      <c r="N16" s="38">
        <v>0.0</v>
      </c>
      <c r="O16" s="38">
        <v>0.0</v>
      </c>
      <c r="P16" s="38">
        <v>0.0</v>
      </c>
      <c r="Q16" s="38">
        <v>0.0</v>
      </c>
      <c r="R16" s="38">
        <v>0.0</v>
      </c>
      <c r="S16" s="38">
        <v>0.0</v>
      </c>
      <c r="T16" s="38">
        <v>0.0</v>
      </c>
      <c r="U16" s="38">
        <v>0.0</v>
      </c>
      <c r="V16" s="38">
        <v>200.0</v>
      </c>
    </row>
    <row r="17" ht="15.75" customHeight="1">
      <c r="A17" s="59" t="str">
        <f t="array" ref="A17">XLOOKUP(C17, 'マスタ'!$C$2:$C$312, 'マスタ'!$D$2:$D$312, "マスタ未登録")</f>
        <v>他勘定振替高</v>
      </c>
      <c r="B17" s="53" t="str">
        <f>IF(AND(C17&lt;&gt;"", COUNTIF('マスタ'!$C:$C, C17)=0), "マスタ未登録", "")</f>
        <v/>
      </c>
      <c r="C17" s="53" t="str">
        <f t="shared" si="1"/>
        <v>他勘定振替高(商)</v>
      </c>
      <c r="G17" s="38" t="s">
        <v>235</v>
      </c>
      <c r="J17" s="38">
        <v>0.0</v>
      </c>
      <c r="K17" s="38">
        <v>0.0</v>
      </c>
      <c r="L17" s="38">
        <v>0.0</v>
      </c>
      <c r="M17" s="38">
        <v>0.0</v>
      </c>
      <c r="N17" s="38">
        <v>0.0</v>
      </c>
      <c r="O17" s="38">
        <v>0.0</v>
      </c>
      <c r="P17" s="38">
        <v>0.0</v>
      </c>
      <c r="Q17" s="38">
        <v>0.0</v>
      </c>
      <c r="R17" s="38">
        <v>0.0</v>
      </c>
      <c r="S17" s="38">
        <v>0.0</v>
      </c>
      <c r="T17" s="38">
        <v>0.0</v>
      </c>
      <c r="U17" s="38">
        <v>0.0</v>
      </c>
      <c r="V17" s="38">
        <v>0.0</v>
      </c>
    </row>
    <row r="18" ht="15.75" customHeight="1">
      <c r="A18" s="59" t="str">
        <f t="array" ref="A18">XLOOKUP(C18, 'マスタ'!$C$2:$C$312, 'マスタ'!$D$2:$D$312, "マスタ未登録")</f>
        <v>期末商品棚卸高</v>
      </c>
      <c r="B18" s="53" t="str">
        <f>IF(AND(C18&lt;&gt;"", COUNTIF('マスタ'!$C:$C, C18)=0), "マスタ未登録", "")</f>
        <v/>
      </c>
      <c r="C18" s="53" t="str">
        <f t="shared" si="1"/>
        <v>期末商品棚卸</v>
      </c>
      <c r="G18" s="38" t="s">
        <v>236</v>
      </c>
      <c r="J18" s="60">
        <v>715441.0</v>
      </c>
      <c r="K18" s="38">
        <v>0.0</v>
      </c>
      <c r="L18" s="38">
        <v>0.0</v>
      </c>
      <c r="M18" s="38">
        <v>0.0</v>
      </c>
      <c r="N18" s="38">
        <v>0.0</v>
      </c>
      <c r="O18" s="38">
        <v>0.0</v>
      </c>
      <c r="P18" s="38">
        <v>0.0</v>
      </c>
      <c r="Q18" s="38">
        <v>0.0</v>
      </c>
      <c r="R18" s="38">
        <v>0.0</v>
      </c>
      <c r="S18" s="38">
        <v>0.0</v>
      </c>
      <c r="T18" s="38">
        <v>0.0</v>
      </c>
      <c r="U18" s="38">
        <v>0.0</v>
      </c>
      <c r="V18" s="60">
        <v>715441.0</v>
      </c>
    </row>
    <row r="19" ht="15.75" customHeight="1">
      <c r="A19" s="59" t="str">
        <f t="array" ref="A19">XLOOKUP(C19, 'マスタ'!$C$2:$C$312, 'マスタ'!$D$2:$D$312, "マスタ未登録")</f>
        <v>期末商品棚卸高</v>
      </c>
      <c r="B19" s="53" t="str">
        <f>IF(AND(C19&lt;&gt;"", COUNTIF('マスタ'!$C:$C, C19)=0), "マスタ未登録", "")</f>
        <v/>
      </c>
      <c r="C19" s="53" t="str">
        <f t="shared" si="1"/>
        <v>期末商品棚卸高</v>
      </c>
      <c r="H19" s="38" t="s">
        <v>71</v>
      </c>
      <c r="J19" s="60">
        <v>715441.0</v>
      </c>
      <c r="K19" s="38">
        <v>0.0</v>
      </c>
      <c r="L19" s="38">
        <v>0.0</v>
      </c>
      <c r="M19" s="38">
        <v>0.0</v>
      </c>
      <c r="N19" s="38">
        <v>0.0</v>
      </c>
      <c r="O19" s="38">
        <v>0.0</v>
      </c>
      <c r="P19" s="38">
        <v>0.0</v>
      </c>
      <c r="Q19" s="38">
        <v>0.0</v>
      </c>
      <c r="R19" s="38">
        <v>0.0</v>
      </c>
      <c r="S19" s="38">
        <v>0.0</v>
      </c>
      <c r="T19" s="38">
        <v>0.0</v>
      </c>
      <c r="U19" s="38">
        <v>0.0</v>
      </c>
      <c r="V19" s="60">
        <v>715441.0</v>
      </c>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商品売上原価</v>
      </c>
      <c r="F20" s="38" t="s">
        <v>3</v>
      </c>
      <c r="J20" s="60">
        <v>6959949.0</v>
      </c>
      <c r="K20" s="60">
        <v>2620001.0</v>
      </c>
      <c r="L20" s="38">
        <v>0.0</v>
      </c>
      <c r="M20" s="38">
        <v>0.0</v>
      </c>
      <c r="N20" s="38">
        <v>0.0</v>
      </c>
      <c r="O20" s="38">
        <v>0.0</v>
      </c>
      <c r="P20" s="38">
        <v>0.0</v>
      </c>
      <c r="Q20" s="38">
        <v>0.0</v>
      </c>
      <c r="R20" s="38">
        <v>0.0</v>
      </c>
      <c r="S20" s="38">
        <v>0.0</v>
      </c>
      <c r="T20" s="38">
        <v>0.0</v>
      </c>
      <c r="U20" s="38">
        <v>0.0</v>
      </c>
      <c r="V20" s="60">
        <v>9579950.0</v>
      </c>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売上総損益金額</v>
      </c>
      <c r="D21" s="38" t="s">
        <v>237</v>
      </c>
      <c r="J21" s="60">
        <v>3.6159369E7</v>
      </c>
      <c r="K21" s="60">
        <v>5.1264626E7</v>
      </c>
      <c r="L21" s="60">
        <v>4.3374767E7</v>
      </c>
      <c r="M21" s="60">
        <v>4.338E7</v>
      </c>
      <c r="N21" s="60">
        <v>4.338E7</v>
      </c>
      <c r="O21" s="60">
        <v>4.338E7</v>
      </c>
      <c r="P21" s="38">
        <v>0.0</v>
      </c>
      <c r="Q21" s="38">
        <v>0.0</v>
      </c>
      <c r="R21" s="38">
        <v>0.0</v>
      </c>
      <c r="S21" s="38">
        <v>0.0</v>
      </c>
      <c r="T21" s="38">
        <v>0.0</v>
      </c>
      <c r="U21" s="38">
        <v>0.0</v>
      </c>
      <c r="V21" s="60">
        <v>2.60938762E8</v>
      </c>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販売管理費</v>
      </c>
      <c r="E22" s="38" t="s">
        <v>238</v>
      </c>
    </row>
    <row r="23" ht="15.75" customHeight="1">
      <c r="A23" s="59" t="str">
        <f t="array" ref="A23">XLOOKUP(C23, 'マスタ'!$C$2:$C$312, 'マスタ'!$D$2:$D$312, "マスタ未登録")</f>
        <v>役員報酬</v>
      </c>
      <c r="B23" s="53" t="str">
        <f>IF(AND(C23&lt;&gt;"", COUNTIF('マスタ'!$C:$C, C23)=0), "マスタ未登録", "")</f>
        <v/>
      </c>
      <c r="C23" s="53" t="str">
        <f t="shared" si="1"/>
        <v>役員報酬</v>
      </c>
      <c r="F23" s="38" t="s">
        <v>72</v>
      </c>
      <c r="J23" s="60">
        <v>3650000.0</v>
      </c>
      <c r="K23" s="60">
        <v>3650000.0</v>
      </c>
      <c r="L23" s="60">
        <v>3650000.0</v>
      </c>
      <c r="M23" s="38">
        <v>0.0</v>
      </c>
      <c r="N23" s="38">
        <v>0.0</v>
      </c>
      <c r="O23" s="38">
        <v>0.0</v>
      </c>
      <c r="P23" s="38">
        <v>0.0</v>
      </c>
      <c r="Q23" s="38">
        <v>0.0</v>
      </c>
      <c r="R23" s="38">
        <v>0.0</v>
      </c>
      <c r="S23" s="38">
        <v>0.0</v>
      </c>
      <c r="T23" s="38">
        <v>0.0</v>
      </c>
      <c r="U23" s="38">
        <v>0.0</v>
      </c>
      <c r="V23" s="60">
        <v>1.095E7</v>
      </c>
    </row>
    <row r="24" ht="15.75" customHeight="1">
      <c r="A24" s="59" t="str">
        <f t="array" ref="A24">XLOOKUP(C24, 'マスタ'!$C$2:$C$312, 'マスタ'!$D$2:$D$312, "マスタ未登録")</f>
        <v>給料手当</v>
      </c>
      <c r="B24" s="53" t="str">
        <f>IF(AND(C24&lt;&gt;"", COUNTIF('マスタ'!$C:$C, C24)=0), "マスタ未登録", "")</f>
        <v/>
      </c>
      <c r="C24" s="53" t="str">
        <f t="shared" si="1"/>
        <v>給料手当</v>
      </c>
      <c r="F24" s="38" t="s">
        <v>73</v>
      </c>
      <c r="J24" s="60">
        <v>1906725.0</v>
      </c>
      <c r="K24" s="60">
        <v>1073609.0</v>
      </c>
      <c r="L24" s="38">
        <v>0.0</v>
      </c>
      <c r="M24" s="38">
        <v>0.0</v>
      </c>
      <c r="N24" s="38">
        <v>0.0</v>
      </c>
      <c r="O24" s="38">
        <v>0.0</v>
      </c>
      <c r="P24" s="38">
        <v>0.0</v>
      </c>
      <c r="Q24" s="38">
        <v>0.0</v>
      </c>
      <c r="R24" s="38">
        <v>0.0</v>
      </c>
      <c r="S24" s="38">
        <v>0.0</v>
      </c>
      <c r="T24" s="38">
        <v>0.0</v>
      </c>
      <c r="U24" s="38">
        <v>0.0</v>
      </c>
      <c r="V24" s="60">
        <v>2980334.0</v>
      </c>
    </row>
    <row r="25" ht="15.75" customHeight="1">
      <c r="A25" s="59" t="str">
        <f t="array" ref="A25">XLOOKUP(C25, 'マスタ'!$C$2:$C$312, 'マスタ'!$D$2:$D$312, "マスタ未登録")</f>
        <v>法定福利費</v>
      </c>
      <c r="B25" s="53" t="str">
        <f>IF(AND(C25&lt;&gt;"", COUNTIF('マスタ'!$C:$C, C25)=0), "マスタ未登録", "")</f>
        <v/>
      </c>
      <c r="C25" s="53" t="str">
        <f t="shared" si="1"/>
        <v>法定福利費</v>
      </c>
      <c r="F25" s="38" t="s">
        <v>74</v>
      </c>
      <c r="J25" s="60">
        <v>688384.0</v>
      </c>
      <c r="K25" s="60">
        <v>378471.0</v>
      </c>
      <c r="L25" s="60">
        <v>409505.0</v>
      </c>
      <c r="M25" s="38">
        <v>0.0</v>
      </c>
      <c r="N25" s="38">
        <v>0.0</v>
      </c>
      <c r="O25" s="38">
        <v>0.0</v>
      </c>
      <c r="P25" s="38">
        <v>0.0</v>
      </c>
      <c r="Q25" s="38">
        <v>0.0</v>
      </c>
      <c r="R25" s="38">
        <v>0.0</v>
      </c>
      <c r="S25" s="38">
        <v>0.0</v>
      </c>
      <c r="T25" s="38">
        <v>0.0</v>
      </c>
      <c r="U25" s="38">
        <v>0.0</v>
      </c>
      <c r="V25" s="60">
        <v>1476360.0</v>
      </c>
    </row>
    <row r="26" ht="15.75" customHeight="1">
      <c r="A26" s="59" t="str">
        <f t="array" ref="A26">XLOOKUP(C26, 'マスタ'!$C$2:$C$312, 'マスタ'!$D$2:$D$312, "マスタ未登録")</f>
        <v>株式報酬費用</v>
      </c>
      <c r="B26" s="53" t="str">
        <f>IF(AND(C26&lt;&gt;"", COUNTIF('マスタ'!$C:$C, C26)=0), "マスタ未登録", "")</f>
        <v/>
      </c>
      <c r="C26" s="53" t="str">
        <f t="shared" si="1"/>
        <v>株式報酬費用</v>
      </c>
      <c r="F26" s="38" t="s">
        <v>76</v>
      </c>
      <c r="J26" s="60">
        <v>1.7395635E7</v>
      </c>
      <c r="K26" s="60">
        <v>1.7395635E7</v>
      </c>
      <c r="L26" s="60">
        <v>1.7395635E7</v>
      </c>
      <c r="M26" s="60">
        <v>1.6543881E7</v>
      </c>
      <c r="N26" s="60">
        <v>1.6543881E7</v>
      </c>
      <c r="O26" s="60">
        <v>1.6543881E7</v>
      </c>
      <c r="P26" s="60">
        <v>1.6543881E7</v>
      </c>
      <c r="Q26" s="60">
        <v>1.6543881E7</v>
      </c>
      <c r="R26" s="60">
        <v>1.6543881E7</v>
      </c>
      <c r="S26" s="60">
        <v>1.6543881E7</v>
      </c>
      <c r="T26" s="60">
        <v>1.6543881E7</v>
      </c>
      <c r="U26" s="60">
        <v>1.6543874E7</v>
      </c>
      <c r="V26" s="60">
        <v>2.01081827E8</v>
      </c>
    </row>
    <row r="27" ht="15.75" customHeight="1">
      <c r="A27" s="59" t="str">
        <f t="array" ref="A27">XLOOKUP(C27, 'マスタ'!$C$2:$C$312, 'マスタ'!$D$2:$D$312, "マスタ未登録")</f>
        <v>旅費交通費</v>
      </c>
      <c r="B27" s="53" t="str">
        <f>IF(AND(C27&lt;&gt;"", COUNTIF('マスタ'!$C:$C, C27)=0), "マスタ未登録", "")</f>
        <v/>
      </c>
      <c r="C27" s="53" t="str">
        <f t="shared" si="1"/>
        <v>旅費交通費</v>
      </c>
      <c r="F27" s="38" t="s">
        <v>83</v>
      </c>
      <c r="J27" s="60">
        <v>1009055.0</v>
      </c>
      <c r="K27" s="60">
        <v>302890.0</v>
      </c>
      <c r="L27" s="60">
        <v>17846.0</v>
      </c>
      <c r="M27" s="38">
        <v>0.0</v>
      </c>
      <c r="N27" s="38">
        <v>0.0</v>
      </c>
      <c r="O27" s="38">
        <v>0.0</v>
      </c>
      <c r="P27" s="38">
        <v>0.0</v>
      </c>
      <c r="Q27" s="38">
        <v>0.0</v>
      </c>
      <c r="R27" s="38">
        <v>0.0</v>
      </c>
      <c r="S27" s="38">
        <v>0.0</v>
      </c>
      <c r="T27" s="38">
        <v>0.0</v>
      </c>
      <c r="U27" s="38">
        <v>0.0</v>
      </c>
      <c r="V27" s="60">
        <v>1329791.0</v>
      </c>
    </row>
    <row r="28" ht="15.75" customHeight="1">
      <c r="A28" s="59" t="str">
        <f t="array" ref="A28">XLOOKUP(C28, 'マスタ'!$C$2:$C$312, 'マスタ'!$D$2:$D$312, "マスタ未登録")</f>
        <v>通信費</v>
      </c>
      <c r="B28" s="53" t="str">
        <f>IF(AND(C28&lt;&gt;"", COUNTIF('マスタ'!$C:$C, C28)=0), "マスタ未登録", "")</f>
        <v/>
      </c>
      <c r="C28" s="53" t="str">
        <f t="shared" si="1"/>
        <v>通信費</v>
      </c>
      <c r="F28" s="38" t="s">
        <v>84</v>
      </c>
      <c r="J28" s="60">
        <v>394197.0</v>
      </c>
      <c r="K28" s="60">
        <v>1521086.0</v>
      </c>
      <c r="L28" s="60">
        <v>43630.0</v>
      </c>
      <c r="M28" s="38">
        <v>0.0</v>
      </c>
      <c r="N28" s="38">
        <v>0.0</v>
      </c>
      <c r="O28" s="38">
        <v>0.0</v>
      </c>
      <c r="P28" s="38">
        <v>0.0</v>
      </c>
      <c r="Q28" s="38">
        <v>0.0</v>
      </c>
      <c r="R28" s="38">
        <v>0.0</v>
      </c>
      <c r="S28" s="38">
        <v>0.0</v>
      </c>
      <c r="T28" s="38">
        <v>0.0</v>
      </c>
      <c r="U28" s="38">
        <v>0.0</v>
      </c>
      <c r="V28" s="60">
        <v>1958913.0</v>
      </c>
    </row>
    <row r="29" ht="15.75" customHeight="1">
      <c r="A29" s="59" t="str">
        <f t="array" ref="A29">XLOOKUP(C29, 'マスタ'!$C$2:$C$312, 'マスタ'!$D$2:$D$312, "マスタ未登録")</f>
        <v>採用教育費</v>
      </c>
      <c r="B29" s="53" t="str">
        <f>IF(AND(C29&lt;&gt;"", COUNTIF('マスタ'!$C:$C, C29)=0), "マスタ未登録", "")</f>
        <v/>
      </c>
      <c r="C29" s="53" t="str">
        <f t="shared" si="1"/>
        <v>採用教育費</v>
      </c>
      <c r="F29" s="38" t="s">
        <v>77</v>
      </c>
      <c r="J29" s="60">
        <v>1155634.0</v>
      </c>
      <c r="K29" s="60">
        <v>755634.0</v>
      </c>
      <c r="L29" s="60">
        <v>700634.0</v>
      </c>
      <c r="M29" s="60">
        <v>700634.0</v>
      </c>
      <c r="N29" s="60">
        <v>590634.0</v>
      </c>
      <c r="O29" s="60">
        <v>590634.0</v>
      </c>
      <c r="P29" s="60">
        <v>423967.0</v>
      </c>
      <c r="Q29" s="60">
        <v>423967.0</v>
      </c>
      <c r="R29" s="60">
        <v>296467.0</v>
      </c>
      <c r="S29" s="60">
        <v>296467.0</v>
      </c>
      <c r="T29" s="60">
        <v>296470.0</v>
      </c>
      <c r="U29" s="60">
        <v>61169.0</v>
      </c>
      <c r="V29" s="60">
        <v>6292311.0</v>
      </c>
    </row>
    <row r="30" ht="15.75" customHeight="1">
      <c r="A30" s="59" t="str">
        <f t="array" ref="A30">XLOOKUP(C30, 'マスタ'!$C$2:$C$312, 'マスタ'!$D$2:$D$312, "マスタ未登録")</f>
        <v>業務委託費</v>
      </c>
      <c r="B30" s="53" t="str">
        <f>IF(AND(C30&lt;&gt;"", COUNTIF('マスタ'!$C:$C, C30)=0), "マスタ未登録", "")</f>
        <v/>
      </c>
      <c r="C30" s="53" t="str">
        <f t="shared" si="1"/>
        <v>業務委託費</v>
      </c>
      <c r="F30" s="38" t="s">
        <v>78</v>
      </c>
      <c r="J30" s="60">
        <v>2015176.0</v>
      </c>
      <c r="K30" s="60">
        <v>1218548.0</v>
      </c>
      <c r="L30" s="38">
        <v>0.0</v>
      </c>
      <c r="M30" s="38">
        <v>0.0</v>
      </c>
      <c r="N30" s="38">
        <v>0.0</v>
      </c>
      <c r="O30" s="38">
        <v>0.0</v>
      </c>
      <c r="P30" s="38">
        <v>0.0</v>
      </c>
      <c r="Q30" s="38">
        <v>0.0</v>
      </c>
      <c r="R30" s="38">
        <v>0.0</v>
      </c>
      <c r="S30" s="38">
        <v>0.0</v>
      </c>
      <c r="T30" s="38">
        <v>0.0</v>
      </c>
      <c r="U30" s="38">
        <v>0.0</v>
      </c>
      <c r="V30" s="60">
        <v>3233724.0</v>
      </c>
    </row>
    <row r="31" ht="15.75" customHeight="1">
      <c r="A31" s="59" t="str">
        <f t="array" ref="A31">XLOOKUP(C31, 'マスタ'!$C$2:$C$312, 'マスタ'!$D$2:$D$312, "マスタ未登録")</f>
        <v>支払報酬</v>
      </c>
      <c r="B31" s="53" t="str">
        <f>IF(AND(C31&lt;&gt;"", COUNTIF('マスタ'!$C:$C, C31)=0), "マスタ未登録", "")</f>
        <v/>
      </c>
      <c r="C31" s="53" t="str">
        <f t="shared" si="1"/>
        <v>支払報酬料</v>
      </c>
      <c r="F31" s="38" t="s">
        <v>239</v>
      </c>
      <c r="J31" s="60">
        <v>2275000.0</v>
      </c>
      <c r="K31" s="60">
        <v>2585000.0</v>
      </c>
      <c r="L31" s="60">
        <v>250000.0</v>
      </c>
      <c r="M31" s="38">
        <v>0.0</v>
      </c>
      <c r="N31" s="38">
        <v>0.0</v>
      </c>
      <c r="O31" s="38">
        <v>0.0</v>
      </c>
      <c r="P31" s="38">
        <v>0.0</v>
      </c>
      <c r="Q31" s="38">
        <v>0.0</v>
      </c>
      <c r="R31" s="38">
        <v>0.0</v>
      </c>
      <c r="S31" s="38">
        <v>0.0</v>
      </c>
      <c r="T31" s="38">
        <v>0.0</v>
      </c>
      <c r="U31" s="38">
        <v>0.0</v>
      </c>
      <c r="V31" s="60">
        <v>5110000.0</v>
      </c>
    </row>
    <row r="32" ht="15.75" customHeight="1">
      <c r="A32" s="59" t="str">
        <f t="array" ref="A32">XLOOKUP(C32, 'マスタ'!$C$2:$C$312, 'マスタ'!$D$2:$D$312, "マスタ未登録")</f>
        <v>荷造運賃</v>
      </c>
      <c r="B32" s="53" t="str">
        <f>IF(AND(C32&lt;&gt;"", COUNTIF('マスタ'!$C:$C, C32)=0), "マスタ未登録", "")</f>
        <v/>
      </c>
      <c r="C32" s="53" t="str">
        <f t="shared" si="1"/>
        <v>荷造運賃</v>
      </c>
      <c r="F32" s="38" t="s">
        <v>80</v>
      </c>
      <c r="J32" s="60">
        <v>20359.0</v>
      </c>
      <c r="K32" s="60">
        <v>33608.0</v>
      </c>
      <c r="L32" s="38">
        <v>0.0</v>
      </c>
      <c r="M32" s="38">
        <v>0.0</v>
      </c>
      <c r="N32" s="38">
        <v>0.0</v>
      </c>
      <c r="O32" s="38">
        <v>0.0</v>
      </c>
      <c r="P32" s="38">
        <v>0.0</v>
      </c>
      <c r="Q32" s="38">
        <v>0.0</v>
      </c>
      <c r="R32" s="38">
        <v>0.0</v>
      </c>
      <c r="S32" s="38">
        <v>0.0</v>
      </c>
      <c r="T32" s="38">
        <v>0.0</v>
      </c>
      <c r="U32" s="38">
        <v>0.0</v>
      </c>
      <c r="V32" s="60">
        <v>53967.0</v>
      </c>
    </row>
    <row r="33" ht="15.75" customHeight="1">
      <c r="A33" s="59" t="str">
        <f t="array" ref="A33">XLOOKUP(C33, 'マスタ'!$C$2:$C$312, 'マスタ'!$D$2:$D$312, "マスタ未登録")</f>
        <v>支払手数料</v>
      </c>
      <c r="B33" s="53" t="str">
        <f>IF(AND(C33&lt;&gt;"", COUNTIF('マスタ'!$C:$C, C33)=0), "マスタ未登録", "")</f>
        <v/>
      </c>
      <c r="C33" s="53" t="str">
        <f t="shared" si="1"/>
        <v>支払手数料</v>
      </c>
      <c r="F33" s="38" t="s">
        <v>92</v>
      </c>
      <c r="J33" s="60">
        <v>28224.0</v>
      </c>
      <c r="K33" s="60">
        <v>251913.0</v>
      </c>
      <c r="L33" s="60">
        <v>4000.0</v>
      </c>
      <c r="M33" s="38">
        <v>0.0</v>
      </c>
      <c r="N33" s="38">
        <v>0.0</v>
      </c>
      <c r="O33" s="38">
        <v>0.0</v>
      </c>
      <c r="P33" s="38">
        <v>0.0</v>
      </c>
      <c r="Q33" s="38">
        <v>0.0</v>
      </c>
      <c r="R33" s="38">
        <v>0.0</v>
      </c>
      <c r="S33" s="38">
        <v>0.0</v>
      </c>
      <c r="T33" s="38">
        <v>0.0</v>
      </c>
      <c r="U33" s="38">
        <v>0.0</v>
      </c>
      <c r="V33" s="60">
        <v>284137.0</v>
      </c>
    </row>
    <row r="34" ht="15.75" customHeight="1">
      <c r="A34" s="59" t="str">
        <f t="array" ref="A34">XLOOKUP(C34, 'マスタ'!$C$2:$C$312, 'マスタ'!$D$2:$D$312, "マスタ未登録")</f>
        <v>地代家賃</v>
      </c>
      <c r="B34" s="53" t="str">
        <f>IF(AND(C34&lt;&gt;"", COUNTIF('マスタ'!$C:$C, C34)=0), "マスタ未登録", "")</f>
        <v/>
      </c>
      <c r="C34" s="53" t="str">
        <f t="shared" si="1"/>
        <v>地代家賃</v>
      </c>
      <c r="F34" s="38" t="s">
        <v>87</v>
      </c>
      <c r="J34" s="60">
        <v>625659.0</v>
      </c>
      <c r="K34" s="38">
        <v>0.0</v>
      </c>
      <c r="L34" s="38">
        <v>0.0</v>
      </c>
      <c r="M34" s="38">
        <v>0.0</v>
      </c>
      <c r="N34" s="38">
        <v>0.0</v>
      </c>
      <c r="O34" s="38">
        <v>0.0</v>
      </c>
      <c r="P34" s="38">
        <v>0.0</v>
      </c>
      <c r="Q34" s="38">
        <v>0.0</v>
      </c>
      <c r="R34" s="38">
        <v>0.0</v>
      </c>
      <c r="S34" s="38">
        <v>0.0</v>
      </c>
      <c r="T34" s="38">
        <v>0.0</v>
      </c>
      <c r="U34" s="38">
        <v>0.0</v>
      </c>
      <c r="V34" s="60">
        <v>625659.0</v>
      </c>
    </row>
    <row r="35" ht="15.75" customHeight="1">
      <c r="A35" s="59" t="str">
        <f t="array" ref="A35">XLOOKUP(C35, 'マスタ'!$C$2:$C$312, 'マスタ'!$D$2:$D$312, "マスタ未登録")</f>
        <v>リース料</v>
      </c>
      <c r="B35" s="53" t="str">
        <f>IF(AND(C35&lt;&gt;"", COUNTIF('マスタ'!$C:$C, C35)=0), "マスタ未登録", "")</f>
        <v/>
      </c>
      <c r="C35" s="53" t="str">
        <f t="shared" si="1"/>
        <v>リース料</v>
      </c>
      <c r="F35" s="38" t="s">
        <v>88</v>
      </c>
      <c r="J35" s="60">
        <v>30400.0</v>
      </c>
      <c r="K35" s="38">
        <v>0.0</v>
      </c>
      <c r="L35" s="60">
        <v>30400.0</v>
      </c>
      <c r="M35" s="38">
        <v>0.0</v>
      </c>
      <c r="N35" s="38">
        <v>0.0</v>
      </c>
      <c r="O35" s="38">
        <v>0.0</v>
      </c>
      <c r="P35" s="38">
        <v>0.0</v>
      </c>
      <c r="Q35" s="38">
        <v>0.0</v>
      </c>
      <c r="R35" s="38">
        <v>0.0</v>
      </c>
      <c r="S35" s="38">
        <v>0.0</v>
      </c>
      <c r="T35" s="38">
        <v>0.0</v>
      </c>
      <c r="U35" s="38">
        <v>0.0</v>
      </c>
      <c r="V35" s="60">
        <v>60800.0</v>
      </c>
    </row>
    <row r="36" ht="15.75" customHeight="1">
      <c r="A36" s="59" t="str">
        <f t="array" ref="A36">XLOOKUP(C36, 'マスタ'!$C$2:$C$312, 'マスタ'!$D$2:$D$312, "マスタ未登録")</f>
        <v>消耗品費</v>
      </c>
      <c r="B36" s="53" t="str">
        <f>IF(AND(C36&lt;&gt;"", COUNTIF('マスタ'!$C:$C, C36)=0), "マスタ未登録", "")</f>
        <v/>
      </c>
      <c r="C36" s="53" t="str">
        <f t="shared" si="1"/>
        <v>消耗品費</v>
      </c>
      <c r="F36" s="38" t="s">
        <v>86</v>
      </c>
      <c r="J36" s="60">
        <v>78736.0</v>
      </c>
      <c r="K36" s="60">
        <v>4133.0</v>
      </c>
      <c r="L36" s="60">
        <v>26317.0</v>
      </c>
      <c r="M36" s="38">
        <v>0.0</v>
      </c>
      <c r="N36" s="38">
        <v>0.0</v>
      </c>
      <c r="O36" s="38">
        <v>0.0</v>
      </c>
      <c r="P36" s="38">
        <v>0.0</v>
      </c>
      <c r="Q36" s="38">
        <v>0.0</v>
      </c>
      <c r="R36" s="38">
        <v>0.0</v>
      </c>
      <c r="S36" s="38">
        <v>0.0</v>
      </c>
      <c r="T36" s="38">
        <v>0.0</v>
      </c>
      <c r="U36" s="38">
        <v>0.0</v>
      </c>
      <c r="V36" s="60">
        <v>109186.0</v>
      </c>
    </row>
    <row r="37" ht="15.75" customHeight="1">
      <c r="A37" s="59" t="str">
        <f t="array" ref="A37">XLOOKUP(C37, 'マスタ'!$C$2:$C$312, 'マスタ'!$D$2:$D$312, "マスタ未登録")</f>
        <v>接待交際費</v>
      </c>
      <c r="B37" s="53" t="str">
        <f>IF(AND(C37&lt;&gt;"", COUNTIF('マスタ'!$C:$C, C37)=0), "マスタ未登録", "")</f>
        <v/>
      </c>
      <c r="C37" s="53" t="str">
        <f t="shared" si="1"/>
        <v>交際費（11,000円以下/人）</v>
      </c>
      <c r="F37" s="38" t="s">
        <v>240</v>
      </c>
      <c r="J37" s="60">
        <v>35898.0</v>
      </c>
      <c r="K37" s="38">
        <v>0.0</v>
      </c>
      <c r="L37" s="38">
        <v>0.0</v>
      </c>
      <c r="M37" s="38">
        <v>0.0</v>
      </c>
      <c r="N37" s="38">
        <v>0.0</v>
      </c>
      <c r="O37" s="38">
        <v>0.0</v>
      </c>
      <c r="P37" s="38">
        <v>0.0</v>
      </c>
      <c r="Q37" s="38">
        <v>0.0</v>
      </c>
      <c r="R37" s="38">
        <v>0.0</v>
      </c>
      <c r="S37" s="38">
        <v>0.0</v>
      </c>
      <c r="T37" s="38">
        <v>0.0</v>
      </c>
      <c r="U37" s="38">
        <v>0.0</v>
      </c>
      <c r="V37" s="60">
        <v>35898.0</v>
      </c>
    </row>
    <row r="38" ht="15.75" customHeight="1">
      <c r="A38" s="59" t="str">
        <f t="array" ref="A38">XLOOKUP(C38, 'マスタ'!$C$2:$C$312, 'マスタ'!$D$2:$D$312, "マスタ未登録")</f>
        <v>接待交際費</v>
      </c>
      <c r="B38" s="53" t="str">
        <f>IF(AND(C38&lt;&gt;"", COUNTIF('マスタ'!$C:$C, C38)=0), "マスタ未登録", "")</f>
        <v/>
      </c>
      <c r="C38" s="53" t="str">
        <f t="shared" si="1"/>
        <v>交際費（11,000円超/人）</v>
      </c>
      <c r="F38" s="38" t="s">
        <v>241</v>
      </c>
      <c r="J38" s="60">
        <v>63923.0</v>
      </c>
      <c r="K38" s="60">
        <v>73831.0</v>
      </c>
      <c r="L38" s="38">
        <v>0.0</v>
      </c>
      <c r="M38" s="38">
        <v>0.0</v>
      </c>
      <c r="N38" s="38">
        <v>0.0</v>
      </c>
      <c r="O38" s="38">
        <v>0.0</v>
      </c>
      <c r="P38" s="38">
        <v>0.0</v>
      </c>
      <c r="Q38" s="38">
        <v>0.0</v>
      </c>
      <c r="R38" s="38">
        <v>0.0</v>
      </c>
      <c r="S38" s="38">
        <v>0.0</v>
      </c>
      <c r="T38" s="38">
        <v>0.0</v>
      </c>
      <c r="U38" s="38">
        <v>0.0</v>
      </c>
      <c r="V38" s="60">
        <v>137754.0</v>
      </c>
    </row>
    <row r="39" ht="15.75" customHeight="1">
      <c r="A39" s="59" t="str">
        <f t="array" ref="A39">XLOOKUP(C39, 'マスタ'!$C$2:$C$312, 'マスタ'!$D$2:$D$312, "マスタ未登録")</f>
        <v>接待交際費</v>
      </c>
      <c r="B39" s="53" t="str">
        <f>IF(AND(C39&lt;&gt;"", COUNTIF('マスタ'!$C:$C, C39)=0), "マスタ未登録", "")</f>
        <v/>
      </c>
      <c r="C39" s="53" t="str">
        <f t="shared" si="1"/>
        <v>交際費（その他）</v>
      </c>
      <c r="F39" s="38" t="s">
        <v>242</v>
      </c>
      <c r="J39" s="60">
        <v>16511.0</v>
      </c>
      <c r="K39" s="38">
        <v>0.0</v>
      </c>
      <c r="L39" s="38">
        <v>0.0</v>
      </c>
      <c r="M39" s="38">
        <v>0.0</v>
      </c>
      <c r="N39" s="38">
        <v>0.0</v>
      </c>
      <c r="O39" s="38">
        <v>0.0</v>
      </c>
      <c r="P39" s="38">
        <v>0.0</v>
      </c>
      <c r="Q39" s="38">
        <v>0.0</v>
      </c>
      <c r="R39" s="38">
        <v>0.0</v>
      </c>
      <c r="S39" s="38">
        <v>0.0</v>
      </c>
      <c r="T39" s="38">
        <v>0.0</v>
      </c>
      <c r="U39" s="38">
        <v>0.0</v>
      </c>
      <c r="V39" s="60">
        <v>16511.0</v>
      </c>
    </row>
    <row r="40" ht="15.75" customHeight="1">
      <c r="A40" s="59" t="str">
        <f t="array" ref="A40">XLOOKUP(C40, 'マスタ'!$C$2:$C$312, 'マスタ'!$D$2:$D$312, "マスタ未登録")</f>
        <v>租税公課</v>
      </c>
      <c r="B40" s="53" t="str">
        <f>IF(AND(C40&lt;&gt;"", COUNTIF('マスタ'!$C:$C, C40)=0), "マスタ未登録", "")</f>
        <v/>
      </c>
      <c r="C40" s="53" t="str">
        <f t="shared" si="1"/>
        <v>租税公課</v>
      </c>
      <c r="F40" s="38" t="s">
        <v>91</v>
      </c>
      <c r="J40" s="60">
        <v>2805759.0</v>
      </c>
      <c r="K40" s="60">
        <v>409285.0</v>
      </c>
      <c r="L40" s="60">
        <v>1737.0</v>
      </c>
      <c r="M40" s="38">
        <v>0.0</v>
      </c>
      <c r="N40" s="38">
        <v>0.0</v>
      </c>
      <c r="O40" s="38">
        <v>0.0</v>
      </c>
      <c r="P40" s="38">
        <v>0.0</v>
      </c>
      <c r="Q40" s="38">
        <v>0.0</v>
      </c>
      <c r="R40" s="38">
        <v>0.0</v>
      </c>
      <c r="S40" s="38">
        <v>0.0</v>
      </c>
      <c r="T40" s="38">
        <v>0.0</v>
      </c>
      <c r="U40" s="38">
        <v>0.0</v>
      </c>
      <c r="V40" s="60">
        <v>3216781.0</v>
      </c>
    </row>
    <row r="41" ht="15.75" customHeight="1">
      <c r="A41" s="59" t="str">
        <f t="array" ref="A41">XLOOKUP(C41, 'マスタ'!$C$2:$C$312, 'マスタ'!$D$2:$D$312, "マスタ未登録")</f>
        <v>減価償却費</v>
      </c>
      <c r="B41" s="53" t="str">
        <f>IF(AND(C41&lt;&gt;"", COUNTIF('マスタ'!$C:$C, C41)=0), "マスタ未登録", "")</f>
        <v/>
      </c>
      <c r="C41" s="53" t="str">
        <f t="shared" si="1"/>
        <v>減価償却費</v>
      </c>
      <c r="F41" s="38" t="s">
        <v>95</v>
      </c>
      <c r="J41" s="60">
        <v>254649.0</v>
      </c>
      <c r="K41" s="60">
        <v>246513.0</v>
      </c>
      <c r="L41" s="60">
        <v>250174.0</v>
      </c>
      <c r="M41" s="60">
        <v>250174.0</v>
      </c>
      <c r="N41" s="60">
        <v>250174.0</v>
      </c>
      <c r="O41" s="60">
        <v>250174.0</v>
      </c>
      <c r="P41" s="60">
        <v>250174.0</v>
      </c>
      <c r="Q41" s="60">
        <v>250174.0</v>
      </c>
      <c r="R41" s="60">
        <v>250174.0</v>
      </c>
      <c r="S41" s="60">
        <v>250174.0</v>
      </c>
      <c r="T41" s="60">
        <v>250174.0</v>
      </c>
      <c r="U41" s="60">
        <v>250499.0</v>
      </c>
      <c r="V41" s="60">
        <v>3003227.0</v>
      </c>
    </row>
    <row r="42" ht="15.75" customHeight="1">
      <c r="A42" s="59" t="str">
        <f t="array" ref="A42">XLOOKUP(C42, 'マスタ'!$C$2:$C$312, 'マスタ'!$D$2:$D$312, "マスタ未登録")</f>
        <v>マスタ未登録</v>
      </c>
      <c r="B42" s="53" t="str">
        <f>IF(AND(C42&lt;&gt;"", COUNTIF('マスタ'!$C:$C, C42)=0), "マスタ未登録", "")</f>
        <v>マスタ未登録</v>
      </c>
      <c r="C42" s="53" t="str">
        <f t="shared" si="1"/>
        <v>販売管理費 計</v>
      </c>
      <c r="E42" s="38" t="s">
        <v>183</v>
      </c>
      <c r="J42" s="60">
        <v>3.4449924E7</v>
      </c>
      <c r="K42" s="60">
        <v>2.9900156E7</v>
      </c>
      <c r="L42" s="60">
        <v>2.2779878E7</v>
      </c>
      <c r="M42" s="60">
        <v>1.7494689E7</v>
      </c>
      <c r="N42" s="60">
        <v>1.7384689E7</v>
      </c>
      <c r="O42" s="60">
        <v>1.7384689E7</v>
      </c>
      <c r="P42" s="60">
        <v>1.7218022E7</v>
      </c>
      <c r="Q42" s="60">
        <v>1.7218022E7</v>
      </c>
      <c r="R42" s="60">
        <v>1.7090522E7</v>
      </c>
      <c r="S42" s="60">
        <v>1.7090522E7</v>
      </c>
      <c r="T42" s="60">
        <v>1.7090525E7</v>
      </c>
      <c r="U42" s="60">
        <v>1.6855542E7</v>
      </c>
      <c r="V42" s="60">
        <v>2.4195718E8</v>
      </c>
    </row>
    <row r="43" ht="15.75" customHeight="1">
      <c r="A43" s="59" t="str">
        <f t="array" ref="A43">XLOOKUP(C43, 'マスタ'!$C$2:$C$312, 'マスタ'!$D$2:$D$312, "マスタ未登録")</f>
        <v>マスタ未登録</v>
      </c>
      <c r="B43" s="53" t="str">
        <f>IF(AND(C43&lt;&gt;"", COUNTIF('マスタ'!$C:$C, C43)=0), "マスタ未登録", "")</f>
        <v>マスタ未登録</v>
      </c>
      <c r="C43" s="53" t="str">
        <f t="shared" si="1"/>
        <v>営業損益金額</v>
      </c>
      <c r="D43" s="38" t="s">
        <v>184</v>
      </c>
      <c r="J43" s="60">
        <v>1709445.0</v>
      </c>
      <c r="K43" s="60">
        <v>2.136447E7</v>
      </c>
      <c r="L43" s="60">
        <v>2.0594889E7</v>
      </c>
      <c r="M43" s="60">
        <v>2.5885311E7</v>
      </c>
      <c r="N43" s="60">
        <v>2.5995311E7</v>
      </c>
      <c r="O43" s="60">
        <v>2.5995311E7</v>
      </c>
      <c r="P43" s="60">
        <v>-1.7218022E7</v>
      </c>
      <c r="Q43" s="60">
        <v>-1.7218022E7</v>
      </c>
      <c r="R43" s="60">
        <v>-1.7090522E7</v>
      </c>
      <c r="S43" s="60">
        <v>-1.7090522E7</v>
      </c>
      <c r="T43" s="60">
        <v>-1.7090525E7</v>
      </c>
      <c r="U43" s="60">
        <v>-1.6855542E7</v>
      </c>
      <c r="V43" s="60">
        <v>1.8981582E7</v>
      </c>
    </row>
    <row r="44" ht="15.75" customHeight="1">
      <c r="A44" s="59" t="str">
        <f t="array" ref="A44">XLOOKUP(C44, 'マスタ'!$C$2:$C$312, 'マスタ'!$D$2:$D$312, "マスタ未登録")</f>
        <v>マスタ未登録</v>
      </c>
      <c r="B44" s="53" t="str">
        <f>IF(AND(C44&lt;&gt;"", COUNTIF('マスタ'!$C:$C, C44)=0), "マスタ未登録", "")</f>
        <v>マスタ未登録</v>
      </c>
      <c r="C44" s="53" t="str">
        <f t="shared" si="1"/>
        <v>営業外収益</v>
      </c>
      <c r="E44" s="38" t="s">
        <v>32</v>
      </c>
      <c r="J44" s="60">
        <v>1392416.0</v>
      </c>
      <c r="K44" s="60">
        <v>23741.0</v>
      </c>
      <c r="L44" s="60">
        <v>11342.0</v>
      </c>
      <c r="M44" s="38">
        <v>0.0</v>
      </c>
      <c r="N44" s="38">
        <v>0.0</v>
      </c>
      <c r="O44" s="38">
        <v>0.0</v>
      </c>
      <c r="P44" s="38">
        <v>0.0</v>
      </c>
      <c r="Q44" s="38">
        <v>0.0</v>
      </c>
      <c r="R44" s="38">
        <v>0.0</v>
      </c>
      <c r="S44" s="38">
        <v>0.0</v>
      </c>
      <c r="T44" s="38">
        <v>0.0</v>
      </c>
      <c r="U44" s="38">
        <v>0.0</v>
      </c>
      <c r="V44" s="60">
        <v>1427499.0</v>
      </c>
    </row>
    <row r="45" ht="15.75" customHeight="1">
      <c r="A45" s="59" t="str">
        <f t="array" ref="A45">XLOOKUP(C45, 'マスタ'!$C$2:$C$312, 'マスタ'!$D$2:$D$312, "マスタ未登録")</f>
        <v>受取利息</v>
      </c>
      <c r="B45" s="53" t="str">
        <f>IF(AND(C45&lt;&gt;"", COUNTIF('マスタ'!$C:$C, C45)=0), "マスタ未登録", "")</f>
        <v/>
      </c>
      <c r="C45" s="53" t="str">
        <f t="shared" si="1"/>
        <v>受取利息</v>
      </c>
      <c r="F45" s="38" t="s">
        <v>103</v>
      </c>
      <c r="J45" s="60">
        <v>12583.0</v>
      </c>
      <c r="K45" s="60">
        <v>11063.0</v>
      </c>
      <c r="L45" s="60">
        <v>11342.0</v>
      </c>
      <c r="M45" s="38">
        <v>0.0</v>
      </c>
      <c r="N45" s="38">
        <v>0.0</v>
      </c>
      <c r="O45" s="38">
        <v>0.0</v>
      </c>
      <c r="P45" s="38">
        <v>0.0</v>
      </c>
      <c r="Q45" s="38">
        <v>0.0</v>
      </c>
      <c r="R45" s="38">
        <v>0.0</v>
      </c>
      <c r="S45" s="38">
        <v>0.0</v>
      </c>
      <c r="T45" s="38">
        <v>0.0</v>
      </c>
      <c r="U45" s="38">
        <v>0.0</v>
      </c>
      <c r="V45" s="60">
        <v>34988.0</v>
      </c>
    </row>
    <row r="46" ht="15.75" customHeight="1">
      <c r="A46" s="59" t="str">
        <f t="array" ref="A46">XLOOKUP(C46, 'マスタ'!$C$2:$C$312, 'マスタ'!$D$2:$D$312, "マスタ未登録")</f>
        <v>雑収入</v>
      </c>
      <c r="B46" s="53" t="str">
        <f>IF(AND(C46&lt;&gt;"", COUNTIF('マスタ'!$C:$C, C46)=0), "マスタ未登録", "")</f>
        <v/>
      </c>
      <c r="C46" s="53" t="str">
        <f t="shared" si="1"/>
        <v>雑収入</v>
      </c>
      <c r="F46" s="38" t="s">
        <v>108</v>
      </c>
      <c r="J46" s="60">
        <v>1379833.0</v>
      </c>
      <c r="K46" s="60">
        <v>12678.0</v>
      </c>
      <c r="L46" s="38">
        <v>0.0</v>
      </c>
      <c r="M46" s="38">
        <v>0.0</v>
      </c>
      <c r="N46" s="38">
        <v>0.0</v>
      </c>
      <c r="O46" s="38">
        <v>0.0</v>
      </c>
      <c r="P46" s="38">
        <v>0.0</v>
      </c>
      <c r="Q46" s="38">
        <v>0.0</v>
      </c>
      <c r="R46" s="38">
        <v>0.0</v>
      </c>
      <c r="S46" s="38">
        <v>0.0</v>
      </c>
      <c r="T46" s="38">
        <v>0.0</v>
      </c>
      <c r="U46" s="38">
        <v>0.0</v>
      </c>
      <c r="V46" s="60">
        <v>1392511.0</v>
      </c>
    </row>
    <row r="47" ht="15.75" customHeight="1">
      <c r="A47" s="59" t="str">
        <f t="array" ref="A47">XLOOKUP(C47, 'マスタ'!$C$2:$C$312, 'マスタ'!$D$2:$D$312, "マスタ未登録")</f>
        <v>マスタ未登録</v>
      </c>
      <c r="B47" s="53" t="str">
        <f>IF(AND(C47&lt;&gt;"", COUNTIF('マスタ'!$C:$C, C47)=0), "マスタ未登録", "")</f>
        <v>マスタ未登録</v>
      </c>
      <c r="C47" s="53" t="str">
        <f t="shared" si="1"/>
        <v>営業外費用</v>
      </c>
      <c r="E47" s="38" t="s">
        <v>34</v>
      </c>
      <c r="J47" s="60">
        <v>4.3584257E7</v>
      </c>
      <c r="K47" s="60">
        <v>1.6225465E7</v>
      </c>
      <c r="L47" s="60">
        <v>1.6873731E7</v>
      </c>
      <c r="M47" s="60">
        <v>1709589.0</v>
      </c>
      <c r="N47" s="60">
        <v>1709589.0</v>
      </c>
      <c r="O47" s="60">
        <v>1656164.0</v>
      </c>
      <c r="P47" s="60">
        <v>1709589.0</v>
      </c>
      <c r="Q47" s="60">
        <v>1656164.0</v>
      </c>
      <c r="R47" s="60">
        <v>1709589.0</v>
      </c>
      <c r="S47" s="60">
        <v>1709589.0</v>
      </c>
      <c r="T47" s="60">
        <v>1549315.0</v>
      </c>
      <c r="U47" s="60">
        <v>1709589.0</v>
      </c>
      <c r="V47" s="60">
        <v>9.180263E7</v>
      </c>
    </row>
    <row r="48" ht="15.75" customHeight="1">
      <c r="A48" s="59" t="str">
        <f t="array" ref="A48">XLOOKUP(C48, 'マスタ'!$C$2:$C$312, 'マスタ'!$D$2:$D$312, "マスタ未登録")</f>
        <v>支払利息</v>
      </c>
      <c r="B48" s="53" t="str">
        <f>IF(AND(C48&lt;&gt;"", COUNTIF('マスタ'!$C:$C, C48)=0), "マスタ未登録", "")</f>
        <v/>
      </c>
      <c r="C48" s="53" t="str">
        <f t="shared" si="1"/>
        <v>支払利息</v>
      </c>
      <c r="F48" s="38" t="s">
        <v>109</v>
      </c>
      <c r="J48" s="60">
        <v>4.2868816E7</v>
      </c>
      <c r="K48" s="60">
        <v>1.2025465E7</v>
      </c>
      <c r="L48" s="60">
        <v>1.6873731E7</v>
      </c>
      <c r="M48" s="60">
        <v>1709589.0</v>
      </c>
      <c r="N48" s="60">
        <v>1709589.0</v>
      </c>
      <c r="O48" s="60">
        <v>1656164.0</v>
      </c>
      <c r="P48" s="60">
        <v>1709589.0</v>
      </c>
      <c r="Q48" s="60">
        <v>1656164.0</v>
      </c>
      <c r="R48" s="60">
        <v>1709589.0</v>
      </c>
      <c r="S48" s="60">
        <v>1709589.0</v>
      </c>
      <c r="T48" s="60">
        <v>1549315.0</v>
      </c>
      <c r="U48" s="60">
        <v>1709589.0</v>
      </c>
      <c r="V48" s="60">
        <v>8.6887189E7</v>
      </c>
    </row>
    <row r="49" ht="15.75" customHeight="1">
      <c r="A49" s="59" t="str">
        <f t="array" ref="A49">XLOOKUP(C49, 'マスタ'!$C$2:$C$312, 'マスタ'!$D$2:$D$312, "マスタ未登録")</f>
        <v>雑損失</v>
      </c>
      <c r="B49" s="53" t="str">
        <f>IF(AND(C49&lt;&gt;"", COUNTIF('マスタ'!$C:$C, C49)=0), "マスタ未登録", "")</f>
        <v/>
      </c>
      <c r="C49" s="53" t="str">
        <f t="shared" si="1"/>
        <v>雑損失</v>
      </c>
      <c r="F49" s="38" t="s">
        <v>111</v>
      </c>
      <c r="J49" s="60">
        <v>715441.0</v>
      </c>
      <c r="K49" s="38">
        <v>0.0</v>
      </c>
      <c r="L49" s="38">
        <v>0.0</v>
      </c>
      <c r="M49" s="38">
        <v>0.0</v>
      </c>
      <c r="N49" s="38">
        <v>0.0</v>
      </c>
      <c r="O49" s="38">
        <v>0.0</v>
      </c>
      <c r="P49" s="38">
        <v>0.0</v>
      </c>
      <c r="Q49" s="38">
        <v>0.0</v>
      </c>
      <c r="R49" s="38">
        <v>0.0</v>
      </c>
      <c r="S49" s="38">
        <v>0.0</v>
      </c>
      <c r="T49" s="38">
        <v>0.0</v>
      </c>
      <c r="U49" s="38">
        <v>0.0</v>
      </c>
      <c r="V49" s="60">
        <v>715441.0</v>
      </c>
    </row>
    <row r="50" ht="15.75" customHeight="1">
      <c r="A50" s="59" t="str">
        <f t="array" ref="A50">XLOOKUP(C50, 'マスタ'!$C$2:$C$312, 'マスタ'!$D$2:$D$312, "マスタ未登録")</f>
        <v>マスタ未登録</v>
      </c>
      <c r="B50" s="53" t="str">
        <f>IF(AND(C50&lt;&gt;"", COUNTIF('マスタ'!$C:$C, C50)=0), "マスタ未登録", "")</f>
        <v>マスタ未登録</v>
      </c>
      <c r="C50" s="53" t="str">
        <f t="shared" si="1"/>
        <v>支払手数料(営業外)</v>
      </c>
      <c r="F50" s="38" t="s">
        <v>243</v>
      </c>
      <c r="J50" s="38">
        <v>0.0</v>
      </c>
      <c r="K50" s="60">
        <v>4200000.0</v>
      </c>
      <c r="L50" s="38">
        <v>0.0</v>
      </c>
      <c r="M50" s="38">
        <v>0.0</v>
      </c>
      <c r="N50" s="38">
        <v>0.0</v>
      </c>
      <c r="O50" s="38">
        <v>0.0</v>
      </c>
      <c r="P50" s="38">
        <v>0.0</v>
      </c>
      <c r="Q50" s="38">
        <v>0.0</v>
      </c>
      <c r="R50" s="38">
        <v>0.0</v>
      </c>
      <c r="S50" s="38">
        <v>0.0</v>
      </c>
      <c r="T50" s="38">
        <v>0.0</v>
      </c>
      <c r="U50" s="38">
        <v>0.0</v>
      </c>
      <c r="V50" s="60">
        <v>4200000.0</v>
      </c>
    </row>
    <row r="51" ht="15.75" customHeight="1">
      <c r="A51" s="59" t="str">
        <f t="array" ref="A51">XLOOKUP(C51, 'マスタ'!$C$2:$C$312, 'マスタ'!$D$2:$D$312, "マスタ未登録")</f>
        <v>マスタ未登録</v>
      </c>
      <c r="B51" s="53" t="str">
        <f>IF(AND(C51&lt;&gt;"", COUNTIF('マスタ'!$C:$C, C51)=0), "マスタ未登録", "")</f>
        <v>マスタ未登録</v>
      </c>
      <c r="C51" s="53" t="str">
        <f t="shared" si="1"/>
        <v>経常損益金額</v>
      </c>
      <c r="D51" s="38" t="s">
        <v>112</v>
      </c>
      <c r="J51" s="60">
        <v>-4.0482396E7</v>
      </c>
      <c r="K51" s="60">
        <v>5162746.0</v>
      </c>
      <c r="L51" s="60">
        <v>3732500.0</v>
      </c>
      <c r="M51" s="60">
        <v>2.4175722E7</v>
      </c>
      <c r="N51" s="60">
        <v>2.4285722E7</v>
      </c>
      <c r="O51" s="60">
        <v>2.4339147E7</v>
      </c>
      <c r="P51" s="60">
        <v>-1.8927611E7</v>
      </c>
      <c r="Q51" s="60">
        <v>-1.8874186E7</v>
      </c>
      <c r="R51" s="60">
        <v>-1.8800111E7</v>
      </c>
      <c r="S51" s="60">
        <v>-1.8800111E7</v>
      </c>
      <c r="T51" s="60">
        <v>-1.863984E7</v>
      </c>
      <c r="U51" s="60">
        <v>-1.8565131E7</v>
      </c>
      <c r="V51" s="60">
        <v>-7.1393549E7</v>
      </c>
    </row>
    <row r="52" ht="15.75" customHeight="1">
      <c r="A52" s="59" t="str">
        <f t="array" ref="A52">XLOOKUP(C52, 'マスタ'!$C$2:$C$312, 'マスタ'!$D$2:$D$312, "マスタ未登録")</f>
        <v>マスタ未登録</v>
      </c>
      <c r="B52" s="53" t="str">
        <f>IF(AND(C52&lt;&gt;"", COUNTIF('マスタ'!$C:$C, C52)=0), "マスタ未登録", "")</f>
        <v>マスタ未登録</v>
      </c>
      <c r="C52" s="53" t="str">
        <f t="shared" si="1"/>
        <v>特別利益</v>
      </c>
      <c r="E52" s="38" t="s">
        <v>37</v>
      </c>
      <c r="J52" s="38">
        <v>0.0</v>
      </c>
      <c r="K52" s="38">
        <v>0.0</v>
      </c>
      <c r="L52" s="38">
        <v>0.0</v>
      </c>
      <c r="M52" s="38">
        <v>0.0</v>
      </c>
      <c r="N52" s="38">
        <v>0.0</v>
      </c>
      <c r="O52" s="38">
        <v>0.0</v>
      </c>
      <c r="P52" s="38">
        <v>0.0</v>
      </c>
      <c r="Q52" s="38">
        <v>0.0</v>
      </c>
      <c r="R52" s="38">
        <v>0.0</v>
      </c>
      <c r="S52" s="38">
        <v>0.0</v>
      </c>
      <c r="T52" s="38">
        <v>0.0</v>
      </c>
      <c r="U52" s="38">
        <v>0.0</v>
      </c>
      <c r="V52" s="38">
        <v>0.0</v>
      </c>
    </row>
    <row r="53" ht="15.75" customHeight="1">
      <c r="A53" s="59" t="str">
        <f t="array" ref="A53">XLOOKUP(C53, 'マスタ'!$C$2:$C$312, 'マスタ'!$D$2:$D$312, "マスタ未登録")</f>
        <v>マスタ未登録</v>
      </c>
      <c r="B53" s="53" t="str">
        <f>IF(AND(C53&lt;&gt;"", COUNTIF('マスタ'!$C:$C, C53)=0), "マスタ未登録", "")</f>
        <v>マスタ未登録</v>
      </c>
      <c r="C53" s="53" t="str">
        <f t="shared" si="1"/>
        <v>特別損失</v>
      </c>
      <c r="E53" s="38" t="s">
        <v>39</v>
      </c>
      <c r="J53" s="60">
        <v>0.0</v>
      </c>
      <c r="K53" s="38">
        <v>0.0</v>
      </c>
      <c r="L53" s="38">
        <v>0.0</v>
      </c>
      <c r="M53" s="38">
        <v>0.0</v>
      </c>
      <c r="N53" s="38">
        <v>0.0</v>
      </c>
      <c r="O53" s="38">
        <v>0.0</v>
      </c>
      <c r="P53" s="38">
        <v>0.0</v>
      </c>
      <c r="Q53" s="38">
        <v>0.0</v>
      </c>
      <c r="R53" s="38">
        <v>0.0</v>
      </c>
      <c r="S53" s="38">
        <v>0.0</v>
      </c>
      <c r="T53" s="38">
        <v>0.0</v>
      </c>
      <c r="U53" s="38">
        <v>0.0</v>
      </c>
      <c r="V53" s="38">
        <v>0.0</v>
      </c>
    </row>
    <row r="54" ht="15.75" customHeight="1">
      <c r="A54" s="59" t="str">
        <f t="array" ref="A54">XLOOKUP(C54, 'マスタ'!$C$2:$C$312, 'マスタ'!$D$2:$D$312, "マスタ未登録")</f>
        <v>マスタ未登録</v>
      </c>
      <c r="B54" s="53" t="str">
        <f>IF(AND(C54&lt;&gt;"", COUNTIF('マスタ'!$C:$C, C54)=0), "マスタ未登録", "")</f>
        <v>マスタ未登録</v>
      </c>
      <c r="C54" s="53" t="str">
        <f t="shared" si="1"/>
        <v>固定資産売却損益</v>
      </c>
      <c r="F54" s="38" t="s">
        <v>244</v>
      </c>
      <c r="J54" s="38">
        <v>0.0</v>
      </c>
      <c r="K54" s="38">
        <v>0.0</v>
      </c>
      <c r="L54" s="38">
        <v>0.0</v>
      </c>
      <c r="M54" s="38">
        <v>0.0</v>
      </c>
      <c r="N54" s="38">
        <v>0.0</v>
      </c>
      <c r="O54" s="38">
        <v>0.0</v>
      </c>
      <c r="P54" s="38">
        <v>0.0</v>
      </c>
      <c r="Q54" s="38">
        <v>0.0</v>
      </c>
      <c r="R54" s="38">
        <v>0.0</v>
      </c>
      <c r="S54" s="38">
        <v>0.0</v>
      </c>
      <c r="T54" s="38">
        <v>0.0</v>
      </c>
      <c r="U54" s="38">
        <v>0.0</v>
      </c>
      <c r="V54" s="38">
        <v>0.0</v>
      </c>
    </row>
    <row r="55" ht="15.75" customHeight="1">
      <c r="A55" s="59" t="str">
        <f t="array" ref="A55">XLOOKUP(C55, 'マスタ'!$C$2:$C$312, 'マスタ'!$D$2:$D$312, "マスタ未登録")</f>
        <v>マスタ未登録</v>
      </c>
      <c r="B55" s="53" t="str">
        <f>IF(AND(C55&lt;&gt;"", COUNTIF('マスタ'!$C:$C, C55)=0), "マスタ未登録", "")</f>
        <v>マスタ未登録</v>
      </c>
      <c r="C55" s="53" t="str">
        <f t="shared" si="1"/>
        <v>税引前当期純損益金額</v>
      </c>
      <c r="D55" s="38" t="s">
        <v>117</v>
      </c>
      <c r="J55" s="60">
        <v>-4.0482396E7</v>
      </c>
      <c r="K55" s="60">
        <v>5162746.0</v>
      </c>
      <c r="L55" s="60">
        <v>3732500.0</v>
      </c>
      <c r="M55" s="60">
        <v>2.4175722E7</v>
      </c>
      <c r="N55" s="60">
        <v>2.4285722E7</v>
      </c>
      <c r="O55" s="60">
        <v>2.4339147E7</v>
      </c>
      <c r="P55" s="60">
        <v>-1.8927611E7</v>
      </c>
      <c r="Q55" s="60">
        <v>-1.8874186E7</v>
      </c>
      <c r="R55" s="60">
        <v>-1.8800111E7</v>
      </c>
      <c r="S55" s="60">
        <v>-1.8800111E7</v>
      </c>
      <c r="T55" s="60">
        <v>-1.863984E7</v>
      </c>
      <c r="U55" s="60">
        <v>-1.8565131E7</v>
      </c>
      <c r="V55" s="60">
        <v>-7.1393549E7</v>
      </c>
    </row>
    <row r="56" ht="15.75" customHeight="1">
      <c r="A56" s="59" t="str">
        <f t="array" ref="A56">XLOOKUP(C56, 'マスタ'!$C$2:$C$312, 'マスタ'!$D$2:$D$312, "マスタ未登録")</f>
        <v>法人税等</v>
      </c>
      <c r="B56" s="53" t="str">
        <f>IF(AND(C56&lt;&gt;"", COUNTIF('マスタ'!$C:$C, C56)=0), "マスタ未登録", "")</f>
        <v/>
      </c>
      <c r="C56" s="53" t="str">
        <f t="shared" si="1"/>
        <v>法人税等</v>
      </c>
      <c r="E56" s="38" t="s">
        <v>43</v>
      </c>
      <c r="J56" s="38">
        <v>0.0</v>
      </c>
      <c r="K56" s="38">
        <v>0.0</v>
      </c>
      <c r="L56" s="38">
        <v>0.0</v>
      </c>
      <c r="M56" s="38">
        <v>0.0</v>
      </c>
      <c r="N56" s="38">
        <v>0.0</v>
      </c>
      <c r="O56" s="38">
        <v>0.0</v>
      </c>
      <c r="P56" s="38">
        <v>0.0</v>
      </c>
      <c r="Q56" s="38">
        <v>0.0</v>
      </c>
      <c r="R56" s="38">
        <v>0.0</v>
      </c>
      <c r="S56" s="38">
        <v>0.0</v>
      </c>
      <c r="T56" s="38">
        <v>0.0</v>
      </c>
      <c r="U56" s="38">
        <v>0.0</v>
      </c>
      <c r="V56" s="38">
        <v>0.0</v>
      </c>
    </row>
    <row r="57" ht="15.75" customHeight="1">
      <c r="B57" s="53"/>
      <c r="C57" s="53"/>
      <c r="E57" s="38" t="s">
        <v>118</v>
      </c>
      <c r="J57" s="38">
        <v>0.0</v>
      </c>
      <c r="K57" s="38">
        <v>0.0</v>
      </c>
      <c r="L57" s="38">
        <v>0.0</v>
      </c>
      <c r="M57" s="38">
        <v>0.0</v>
      </c>
      <c r="N57" s="38">
        <v>0.0</v>
      </c>
      <c r="O57" s="38">
        <v>0.0</v>
      </c>
      <c r="P57" s="38">
        <v>0.0</v>
      </c>
      <c r="Q57" s="38">
        <v>0.0</v>
      </c>
      <c r="R57" s="38">
        <v>0.0</v>
      </c>
      <c r="S57" s="38">
        <v>0.0</v>
      </c>
      <c r="T57" s="38">
        <v>0.0</v>
      </c>
      <c r="U57" s="38">
        <v>0.0</v>
      </c>
      <c r="V57" s="38">
        <v>0.0</v>
      </c>
    </row>
    <row r="58" ht="15.75" customHeight="1">
      <c r="B58" s="53"/>
      <c r="C58" s="53"/>
      <c r="D58" s="38" t="s">
        <v>119</v>
      </c>
      <c r="J58" s="60">
        <v>-4.0482396E7</v>
      </c>
      <c r="K58" s="60">
        <v>5162746.0</v>
      </c>
      <c r="L58" s="60">
        <v>3732500.0</v>
      </c>
      <c r="M58" s="60">
        <v>2.4175722E7</v>
      </c>
      <c r="N58" s="60">
        <v>2.4285722E7</v>
      </c>
      <c r="O58" s="60">
        <v>2.4339147E7</v>
      </c>
      <c r="P58" s="60">
        <v>-1.8927611E7</v>
      </c>
      <c r="Q58" s="60">
        <v>-1.8874186E7</v>
      </c>
      <c r="R58" s="60">
        <v>-1.8800111E7</v>
      </c>
      <c r="S58" s="60">
        <v>-1.8800111E7</v>
      </c>
      <c r="T58" s="60">
        <v>-1.863984E7</v>
      </c>
      <c r="U58" s="60">
        <v>-1.8565131E7</v>
      </c>
      <c r="V58" s="60">
        <v>-7.1393549E7</v>
      </c>
    </row>
    <row r="59" ht="15.75" customHeight="1">
      <c r="B59" s="53"/>
      <c r="C59" s="53"/>
    </row>
    <row r="60" ht="15.75" customHeight="1">
      <c r="B60" s="53"/>
      <c r="C60" s="53"/>
    </row>
    <row r="61" ht="15.75" customHeight="1">
      <c r="B61" s="53"/>
      <c r="C61" s="53"/>
    </row>
    <row r="62" ht="15.75" customHeight="1">
      <c r="B62" s="53"/>
      <c r="C62" s="53"/>
    </row>
    <row r="63" ht="15.75" customHeight="1">
      <c r="B63" s="53"/>
      <c r="C63" s="53"/>
    </row>
    <row r="64" ht="15.75" customHeight="1">
      <c r="B64" s="53"/>
      <c r="C64" s="53"/>
    </row>
    <row r="65" ht="15.75" customHeight="1">
      <c r="B65" s="53"/>
      <c r="C65" s="53"/>
    </row>
    <row r="66" ht="15.75" customHeight="1">
      <c r="B66" s="53"/>
      <c r="C66" s="53"/>
    </row>
    <row r="67" ht="15.75" customHeight="1">
      <c r="B67" s="53"/>
      <c r="C67" s="53"/>
    </row>
    <row r="68" ht="15.75" customHeight="1">
      <c r="B68" s="53"/>
      <c r="C68" s="53"/>
    </row>
    <row r="69" ht="15.75" customHeight="1">
      <c r="B69" s="53"/>
      <c r="C69" s="53"/>
    </row>
    <row r="70" ht="15.75" customHeight="1">
      <c r="B70" s="53"/>
      <c r="C70" s="53"/>
    </row>
    <row r="71" ht="15.75" customHeight="1">
      <c r="B71" s="53"/>
      <c r="C71" s="53"/>
    </row>
    <row r="72" ht="15.75" customHeight="1">
      <c r="B72" s="53"/>
      <c r="C72" s="53"/>
    </row>
    <row r="73" ht="15.75" customHeight="1">
      <c r="B73" s="53"/>
      <c r="C73" s="53"/>
    </row>
    <row r="74" ht="15.75" customHeight="1">
      <c r="B74" s="53"/>
      <c r="C74" s="53"/>
    </row>
    <row r="75" ht="15.75" customHeight="1">
      <c r="B75" s="53"/>
      <c r="C75" s="53"/>
    </row>
    <row r="76" ht="15.75" customHeight="1">
      <c r="B76" s="53"/>
      <c r="C76" s="53"/>
    </row>
    <row r="77" ht="15.75" customHeight="1">
      <c r="B77" s="53"/>
      <c r="C77" s="53"/>
    </row>
    <row r="78" ht="15.75" customHeight="1">
      <c r="B78" s="53"/>
      <c r="C78" s="53"/>
    </row>
    <row r="79" ht="15.75" customHeight="1">
      <c r="B79" s="53"/>
      <c r="C79" s="53"/>
    </row>
    <row r="80" ht="15.75" customHeight="1">
      <c r="B80" s="53"/>
      <c r="C80" s="53"/>
    </row>
    <row r="81" ht="15.75" customHeight="1">
      <c r="B81" s="53"/>
      <c r="C81" s="53"/>
    </row>
    <row r="82" ht="15.75" customHeight="1">
      <c r="B82" s="53"/>
      <c r="C82" s="53"/>
    </row>
    <row r="83" ht="15.75" customHeight="1">
      <c r="B83" s="53"/>
      <c r="C83" s="53"/>
    </row>
    <row r="84" ht="15.75" customHeight="1">
      <c r="B84" s="53"/>
      <c r="C84" s="53"/>
    </row>
    <row r="85" ht="15.75" customHeight="1">
      <c r="B85" s="53"/>
      <c r="C85" s="53"/>
    </row>
    <row r="86" ht="15.75" customHeight="1">
      <c r="B86" s="53"/>
      <c r="C86" s="53"/>
    </row>
    <row r="87" ht="15.75" customHeight="1">
      <c r="B87" s="53"/>
      <c r="C87" s="53"/>
    </row>
    <row r="88" ht="15.75" customHeight="1">
      <c r="B88" s="53"/>
      <c r="C88" s="53"/>
    </row>
    <row r="89" ht="15.75" customHeight="1">
      <c r="B89" s="53"/>
      <c r="C89" s="53"/>
    </row>
    <row r="90" ht="15.75" customHeight="1">
      <c r="B90" s="53"/>
      <c r="C90" s="53"/>
    </row>
    <row r="91" ht="15.75" customHeight="1">
      <c r="B91" s="53"/>
      <c r="C91" s="53"/>
    </row>
    <row r="92" ht="15.75" customHeight="1">
      <c r="B92" s="53"/>
      <c r="C92" s="53"/>
    </row>
    <row r="93" ht="15.75" customHeight="1">
      <c r="B93" s="53"/>
      <c r="C93" s="53"/>
    </row>
    <row r="94" ht="15.75" customHeight="1">
      <c r="B94" s="53"/>
      <c r="C94" s="53"/>
    </row>
    <row r="95" ht="15.75" customHeight="1">
      <c r="B95" s="53"/>
      <c r="C95" s="53"/>
    </row>
    <row r="96" ht="15.75" customHeight="1">
      <c r="B96" s="53"/>
      <c r="C96" s="53"/>
    </row>
    <row r="97" ht="15.75" customHeight="1">
      <c r="B97" s="53"/>
      <c r="C97" s="53"/>
    </row>
    <row r="98" ht="15.75" customHeight="1">
      <c r="B98" s="53"/>
      <c r="C98" s="53"/>
    </row>
    <row r="99" ht="15.75" customHeight="1">
      <c r="B99" s="53"/>
      <c r="C99" s="53"/>
    </row>
    <row r="100" ht="15.75" customHeight="1">
      <c r="B100" s="53"/>
      <c r="C100" s="53"/>
    </row>
    <row r="101" ht="15.75" customHeight="1">
      <c r="B101" s="53"/>
      <c r="C101" s="53"/>
    </row>
    <row r="102" ht="15.75" customHeight="1">
      <c r="B102" s="53"/>
      <c r="C102" s="53"/>
    </row>
    <row r="103" ht="15.75" customHeight="1">
      <c r="B103" s="53"/>
      <c r="C103" s="53"/>
    </row>
    <row r="104" ht="15.75" customHeight="1">
      <c r="B104" s="53"/>
      <c r="C104" s="53"/>
    </row>
    <row r="105" ht="15.75" customHeight="1">
      <c r="B105" s="53"/>
      <c r="C105" s="53"/>
    </row>
    <row r="106" ht="15.75" customHeight="1">
      <c r="B106" s="53"/>
      <c r="C106" s="53"/>
    </row>
    <row r="107" ht="15.75" customHeight="1">
      <c r="B107" s="53"/>
      <c r="C107" s="53"/>
    </row>
    <row r="108" ht="15.75" customHeight="1">
      <c r="B108" s="53"/>
      <c r="C108" s="53"/>
    </row>
    <row r="109" ht="15.75" customHeight="1">
      <c r="B109" s="53"/>
      <c r="C109" s="53"/>
    </row>
    <row r="110" ht="15.75" customHeight="1">
      <c r="B110" s="53"/>
      <c r="C110" s="53"/>
    </row>
    <row r="111" ht="15.75" customHeight="1">
      <c r="B111" s="53"/>
      <c r="C111" s="53"/>
    </row>
    <row r="112" ht="15.75" customHeight="1">
      <c r="B112" s="53"/>
      <c r="C112" s="53"/>
    </row>
    <row r="113" ht="15.75" customHeight="1">
      <c r="B113" s="53"/>
      <c r="C113" s="53"/>
    </row>
    <row r="114" ht="15.75" customHeight="1">
      <c r="B114" s="53"/>
      <c r="C114" s="53"/>
    </row>
    <row r="115" ht="15.75" customHeight="1">
      <c r="B115" s="53"/>
      <c r="C115" s="53"/>
    </row>
    <row r="116" ht="15.75" customHeight="1">
      <c r="B116" s="53"/>
      <c r="C116" s="53"/>
    </row>
    <row r="117" ht="15.75" customHeight="1">
      <c r="B117" s="53"/>
      <c r="C117" s="53"/>
    </row>
    <row r="118" ht="15.75" customHeight="1">
      <c r="B118" s="53"/>
      <c r="C118" s="53"/>
    </row>
    <row r="119" ht="15.75" customHeight="1">
      <c r="B119" s="53"/>
      <c r="C119" s="53"/>
    </row>
    <row r="120" ht="15.75" customHeight="1">
      <c r="B120" s="53"/>
      <c r="C120" s="53"/>
    </row>
    <row r="121" ht="15.75" customHeight="1">
      <c r="B121" s="53"/>
      <c r="C121" s="53"/>
    </row>
    <row r="122" ht="15.75" customHeight="1">
      <c r="B122" s="53"/>
      <c r="C122" s="53"/>
    </row>
    <row r="123" ht="15.75" customHeight="1">
      <c r="B123" s="53"/>
      <c r="C123" s="53"/>
    </row>
    <row r="124" ht="15.75" customHeight="1">
      <c r="B124" s="53"/>
      <c r="C124" s="53"/>
    </row>
    <row r="125" ht="15.75" customHeight="1">
      <c r="B125" s="53"/>
      <c r="C125" s="53"/>
    </row>
    <row r="126" ht="15.75" customHeight="1">
      <c r="B126" s="53"/>
      <c r="C126" s="53"/>
    </row>
    <row r="127" ht="15.75" customHeight="1">
      <c r="B127" s="53"/>
      <c r="C127" s="53"/>
    </row>
    <row r="128" ht="15.75" customHeight="1">
      <c r="B128" s="53"/>
      <c r="C128" s="53"/>
    </row>
    <row r="129" ht="15.75" customHeight="1">
      <c r="B129" s="53"/>
      <c r="C129" s="53"/>
    </row>
    <row r="130" ht="15.75" customHeight="1">
      <c r="B130" s="53"/>
      <c r="C130" s="53"/>
    </row>
    <row r="131" ht="15.75" customHeight="1">
      <c r="B131" s="53"/>
      <c r="C131" s="53"/>
    </row>
    <row r="132" ht="15.75" customHeight="1">
      <c r="B132" s="53"/>
      <c r="C132" s="53"/>
    </row>
    <row r="133" ht="15.75" customHeight="1">
      <c r="B133" s="53"/>
      <c r="C133" s="53"/>
    </row>
    <row r="134" ht="15.75" customHeight="1">
      <c r="B134" s="53"/>
      <c r="C134" s="53"/>
    </row>
    <row r="135" ht="15.75" customHeight="1">
      <c r="B135" s="53"/>
      <c r="C135" s="53"/>
    </row>
    <row r="136" ht="15.75" customHeight="1">
      <c r="B136" s="53"/>
      <c r="C136" s="53"/>
    </row>
    <row r="137" ht="15.75" customHeight="1">
      <c r="B137" s="53"/>
      <c r="C137" s="53"/>
    </row>
    <row r="138" ht="15.75" customHeight="1">
      <c r="B138" s="53"/>
      <c r="C138" s="53"/>
    </row>
    <row r="139" ht="15.75" customHeight="1">
      <c r="B139" s="53"/>
      <c r="C139" s="53"/>
    </row>
    <row r="140" ht="15.75" customHeight="1">
      <c r="B140" s="53"/>
      <c r="C140" s="53"/>
    </row>
    <row r="141" ht="15.75" customHeight="1">
      <c r="B141" s="53"/>
      <c r="C141" s="53"/>
    </row>
    <row r="142" ht="15.75" customHeight="1">
      <c r="B142" s="53"/>
      <c r="C142" s="53"/>
    </row>
    <row r="143" ht="15.75" customHeight="1">
      <c r="B143" s="53"/>
      <c r="C143" s="53"/>
    </row>
    <row r="144" ht="15.75" customHeight="1">
      <c r="B144" s="53"/>
      <c r="C144" s="53"/>
    </row>
    <row r="145" ht="15.75" customHeight="1">
      <c r="B145" s="53"/>
      <c r="C145" s="53"/>
    </row>
    <row r="146" ht="15.75" customHeight="1">
      <c r="B146" s="53"/>
      <c r="C146" s="53"/>
    </row>
    <row r="147" ht="15.75" customHeight="1">
      <c r="B147" s="53"/>
      <c r="C147" s="53"/>
    </row>
    <row r="148" ht="15.75" customHeight="1">
      <c r="B148" s="53"/>
      <c r="C148" s="53"/>
    </row>
    <row r="149" ht="15.75" customHeight="1">
      <c r="B149" s="53"/>
      <c r="C149" s="53"/>
    </row>
    <row r="150" ht="15.75" customHeight="1">
      <c r="B150" s="53"/>
      <c r="C150" s="53"/>
    </row>
    <row r="151" ht="15.75" customHeight="1">
      <c r="B151" s="53"/>
      <c r="C151" s="53"/>
    </row>
    <row r="152" ht="15.75" customHeight="1">
      <c r="B152" s="53"/>
      <c r="C152" s="53"/>
    </row>
    <row r="153" ht="15.75" customHeight="1">
      <c r="B153" s="53"/>
      <c r="C153" s="53"/>
    </row>
    <row r="154" ht="15.75" customHeight="1">
      <c r="B154" s="53"/>
      <c r="C154" s="53"/>
    </row>
    <row r="155" ht="15.75" customHeight="1">
      <c r="B155" s="53"/>
      <c r="C155" s="53"/>
    </row>
    <row r="156" ht="15.75" customHeight="1">
      <c r="B156" s="53"/>
      <c r="C156" s="53"/>
    </row>
    <row r="157" ht="15.75" customHeight="1">
      <c r="B157" s="53"/>
      <c r="C157" s="53"/>
    </row>
    <row r="158" ht="15.75" customHeight="1">
      <c r="B158" s="53"/>
      <c r="C158" s="53"/>
    </row>
    <row r="159" ht="15.75" customHeight="1">
      <c r="B159" s="53"/>
      <c r="C159" s="53"/>
    </row>
    <row r="160" ht="15.75" customHeight="1">
      <c r="B160" s="53"/>
      <c r="C160" s="53"/>
    </row>
    <row r="161" ht="15.75" customHeight="1">
      <c r="B161" s="53"/>
      <c r="C161" s="53"/>
    </row>
    <row r="162" ht="15.75" customHeight="1">
      <c r="B162" s="53"/>
      <c r="C162" s="53"/>
    </row>
    <row r="163" ht="15.75" customHeight="1">
      <c r="B163" s="53"/>
      <c r="C163" s="53"/>
    </row>
    <row r="164" ht="15.75" customHeight="1">
      <c r="B164" s="53"/>
      <c r="C164" s="53"/>
    </row>
    <row r="165" ht="15.75" customHeight="1">
      <c r="B165" s="53"/>
      <c r="C165" s="53"/>
    </row>
    <row r="166" ht="15.75" customHeight="1">
      <c r="B166" s="53"/>
      <c r="C166" s="53"/>
    </row>
    <row r="167" ht="15.75" customHeight="1">
      <c r="B167" s="53"/>
      <c r="C167" s="53"/>
    </row>
    <row r="168" ht="15.75" customHeight="1">
      <c r="B168" s="53"/>
      <c r="C168" s="53"/>
    </row>
    <row r="169" ht="15.75" customHeight="1">
      <c r="B169" s="53"/>
      <c r="C169" s="53"/>
    </row>
    <row r="170" ht="15.75" customHeight="1">
      <c r="B170" s="53"/>
      <c r="C170" s="53"/>
    </row>
    <row r="171" ht="15.75" customHeight="1">
      <c r="B171" s="53"/>
      <c r="C171" s="53"/>
    </row>
    <row r="172" ht="15.75" customHeight="1">
      <c r="B172" s="53"/>
      <c r="C172" s="53"/>
    </row>
    <row r="173" ht="15.75" customHeight="1">
      <c r="B173" s="53"/>
      <c r="C173" s="53"/>
    </row>
    <row r="174" ht="15.75" customHeight="1">
      <c r="B174" s="53"/>
      <c r="C174" s="53"/>
    </row>
    <row r="175" ht="15.75" customHeight="1">
      <c r="B175" s="53"/>
      <c r="C175" s="53"/>
    </row>
    <row r="176" ht="15.75" customHeight="1">
      <c r="B176" s="53"/>
      <c r="C176" s="53"/>
    </row>
    <row r="177" ht="15.75" customHeight="1">
      <c r="B177" s="53"/>
      <c r="C177" s="53"/>
    </row>
    <row r="178" ht="15.75" customHeight="1">
      <c r="B178" s="53"/>
      <c r="C178" s="53"/>
    </row>
    <row r="179" ht="15.75" customHeight="1">
      <c r="B179" s="53"/>
      <c r="C179" s="53"/>
    </row>
    <row r="180" ht="15.75" customHeight="1">
      <c r="B180" s="53"/>
      <c r="C180" s="53"/>
    </row>
    <row r="181" ht="15.75" customHeight="1">
      <c r="B181" s="53"/>
      <c r="C181" s="53"/>
    </row>
    <row r="182" ht="15.75" customHeight="1">
      <c r="B182" s="53"/>
      <c r="C182" s="53"/>
    </row>
    <row r="183" ht="15.75" customHeight="1">
      <c r="B183" s="53"/>
      <c r="C183" s="53"/>
    </row>
    <row r="184" ht="15.75" customHeight="1">
      <c r="B184" s="53"/>
      <c r="C184" s="53"/>
    </row>
    <row r="185" ht="15.75" customHeight="1">
      <c r="B185" s="53"/>
      <c r="C185" s="53"/>
    </row>
    <row r="186" ht="15.75" customHeight="1">
      <c r="B186" s="53"/>
      <c r="C186" s="53"/>
    </row>
    <row r="187" ht="15.75" customHeight="1">
      <c r="B187" s="53"/>
      <c r="C187" s="53"/>
    </row>
    <row r="188" ht="15.75" customHeight="1">
      <c r="B188" s="53"/>
      <c r="C188" s="53"/>
    </row>
    <row r="189" ht="15.75" customHeight="1">
      <c r="B189" s="53"/>
      <c r="C189" s="53"/>
    </row>
    <row r="190" ht="15.75" customHeight="1">
      <c r="B190" s="53"/>
      <c r="C190" s="53"/>
    </row>
    <row r="191" ht="15.75" customHeight="1">
      <c r="B191" s="53"/>
      <c r="C191" s="53"/>
    </row>
    <row r="192" ht="15.75" customHeight="1">
      <c r="B192" s="53"/>
      <c r="C192" s="53"/>
    </row>
    <row r="193" ht="15.75" customHeight="1">
      <c r="B193" s="53"/>
      <c r="C193" s="53"/>
    </row>
    <row r="194" ht="15.75" customHeight="1">
      <c r="B194" s="53"/>
      <c r="C194" s="53"/>
    </row>
    <row r="195" ht="15.75" customHeight="1">
      <c r="B195" s="53"/>
      <c r="C195" s="53"/>
    </row>
    <row r="196" ht="15.75" customHeight="1">
      <c r="B196" s="53"/>
      <c r="C196" s="53"/>
    </row>
    <row r="197" ht="15.75" customHeight="1">
      <c r="B197" s="53"/>
      <c r="C197" s="53"/>
    </row>
    <row r="198" ht="15.75" customHeight="1">
      <c r="B198" s="53"/>
      <c r="C198" s="53"/>
    </row>
    <row r="199" ht="15.75" customHeight="1">
      <c r="B199" s="53"/>
      <c r="C199" s="53"/>
    </row>
    <row r="200" ht="15.75" customHeight="1">
      <c r="B200" s="53"/>
      <c r="C200" s="53"/>
    </row>
    <row r="201" ht="15.75" customHeight="1">
      <c r="B201" s="53"/>
      <c r="C201" s="53"/>
    </row>
    <row r="202" ht="15.75" customHeight="1">
      <c r="B202" s="53"/>
      <c r="C202" s="53"/>
    </row>
    <row r="203" ht="15.75" customHeight="1">
      <c r="B203" s="53"/>
      <c r="C203" s="53"/>
    </row>
    <row r="204" ht="15.75" customHeight="1">
      <c r="B204" s="53"/>
      <c r="C204" s="53"/>
    </row>
    <row r="205" ht="15.75" customHeight="1">
      <c r="B205" s="53"/>
      <c r="C205" s="53"/>
    </row>
    <row r="206" ht="15.75" customHeight="1">
      <c r="B206" s="53"/>
      <c r="C206" s="53"/>
    </row>
    <row r="207" ht="15.75" customHeight="1">
      <c r="B207" s="53"/>
      <c r="C207" s="53"/>
    </row>
    <row r="208" ht="15.75" customHeight="1">
      <c r="B208" s="53"/>
      <c r="C208" s="53"/>
    </row>
    <row r="209" ht="15.75" customHeight="1">
      <c r="B209" s="53"/>
      <c r="C209" s="53"/>
    </row>
    <row r="210" ht="15.75" customHeight="1">
      <c r="B210" s="53"/>
      <c r="C210" s="53"/>
    </row>
    <row r="211" ht="15.75" customHeight="1">
      <c r="B211" s="53"/>
      <c r="C211" s="53"/>
    </row>
    <row r="212" ht="15.75" customHeight="1">
      <c r="B212" s="53"/>
      <c r="C212" s="53"/>
    </row>
    <row r="213" ht="15.75" customHeight="1">
      <c r="B213" s="53"/>
      <c r="C213" s="53"/>
    </row>
    <row r="214" ht="15.75" customHeight="1">
      <c r="B214" s="53"/>
      <c r="C214" s="53"/>
    </row>
    <row r="215" ht="15.75" customHeight="1">
      <c r="B215" s="53"/>
      <c r="C215" s="53"/>
    </row>
    <row r="216" ht="15.75" customHeight="1">
      <c r="B216" s="53"/>
      <c r="C216" s="53"/>
    </row>
    <row r="217" ht="15.75" customHeight="1">
      <c r="B217" s="53"/>
      <c r="C217" s="53"/>
    </row>
    <row r="218" ht="15.75" customHeight="1">
      <c r="B218" s="53"/>
      <c r="C218" s="53"/>
    </row>
    <row r="219" ht="15.75" customHeight="1">
      <c r="B219" s="53"/>
      <c r="C219" s="53"/>
    </row>
    <row r="220" ht="15.75" customHeight="1">
      <c r="B220" s="53"/>
      <c r="C220" s="53"/>
    </row>
    <row r="221" ht="15.75" customHeight="1">
      <c r="B221" s="53"/>
      <c r="C221" s="53"/>
    </row>
    <row r="222" ht="15.75" customHeight="1">
      <c r="B222" s="53"/>
      <c r="C222" s="53"/>
    </row>
    <row r="223" ht="15.75" customHeight="1">
      <c r="B223" s="53"/>
      <c r="C223" s="53"/>
    </row>
    <row r="224" ht="15.75" customHeight="1">
      <c r="B224" s="53"/>
      <c r="C224" s="53"/>
    </row>
    <row r="225" ht="15.75" customHeight="1">
      <c r="B225" s="53"/>
      <c r="C225" s="53"/>
    </row>
    <row r="226" ht="15.75" customHeight="1">
      <c r="B226" s="53"/>
      <c r="C226" s="53"/>
    </row>
    <row r="227" ht="15.75" customHeight="1">
      <c r="B227" s="53"/>
      <c r="C227" s="53"/>
    </row>
    <row r="228" ht="15.75" customHeight="1">
      <c r="B228" s="53"/>
      <c r="C228" s="53"/>
    </row>
    <row r="229" ht="15.75" customHeight="1">
      <c r="B229" s="53"/>
      <c r="C229" s="53"/>
    </row>
    <row r="230" ht="15.75" customHeight="1">
      <c r="B230" s="53"/>
      <c r="C230" s="53"/>
    </row>
    <row r="231" ht="15.75" customHeight="1">
      <c r="B231" s="53"/>
      <c r="C231" s="53"/>
    </row>
    <row r="232" ht="15.75" customHeight="1">
      <c r="B232" s="53"/>
      <c r="C232" s="53"/>
    </row>
    <row r="233" ht="15.75" customHeight="1">
      <c r="B233" s="53"/>
      <c r="C233" s="53"/>
    </row>
    <row r="234" ht="15.75" customHeight="1">
      <c r="B234" s="53"/>
      <c r="C234" s="53"/>
    </row>
    <row r="235" ht="15.75" customHeight="1">
      <c r="B235" s="53"/>
      <c r="C235" s="53"/>
    </row>
    <row r="236" ht="15.75" customHeight="1">
      <c r="B236" s="53"/>
      <c r="C236" s="53"/>
    </row>
    <row r="237" ht="15.75" customHeight="1">
      <c r="B237" s="53"/>
      <c r="C237" s="53"/>
    </row>
    <row r="238" ht="15.75" customHeight="1">
      <c r="B238" s="53"/>
      <c r="C238" s="53"/>
    </row>
    <row r="239" ht="15.75" customHeight="1">
      <c r="B239" s="53"/>
      <c r="C239" s="53"/>
    </row>
    <row r="240" ht="15.75" customHeight="1">
      <c r="B240" s="53"/>
      <c r="C240" s="53"/>
    </row>
    <row r="241" ht="15.75" customHeight="1">
      <c r="B241" s="53"/>
      <c r="C241" s="53"/>
    </row>
    <row r="242" ht="15.75" customHeight="1">
      <c r="B242" s="53"/>
      <c r="C242" s="53"/>
    </row>
    <row r="243" ht="15.75" customHeight="1">
      <c r="B243" s="53"/>
      <c r="C243" s="53"/>
    </row>
    <row r="244" ht="15.75" customHeight="1">
      <c r="B244" s="53"/>
      <c r="C244" s="53"/>
    </row>
    <row r="245" ht="15.75" customHeight="1">
      <c r="B245" s="53"/>
      <c r="C245" s="53"/>
    </row>
    <row r="246" ht="15.75" customHeight="1">
      <c r="B246" s="53"/>
      <c r="C246" s="53"/>
    </row>
    <row r="247" ht="15.75" customHeight="1">
      <c r="B247" s="53"/>
      <c r="C247" s="53"/>
    </row>
    <row r="248" ht="15.75" customHeight="1">
      <c r="B248" s="53"/>
      <c r="C248" s="53"/>
    </row>
    <row r="249" ht="15.75" customHeight="1">
      <c r="B249" s="53"/>
      <c r="C249" s="53"/>
    </row>
    <row r="250" ht="15.75" customHeight="1">
      <c r="B250" s="53"/>
      <c r="C250" s="53"/>
    </row>
    <row r="251" ht="15.75" customHeight="1">
      <c r="B251" s="53"/>
      <c r="C251" s="53"/>
    </row>
    <row r="252" ht="15.75" customHeight="1">
      <c r="B252" s="53"/>
      <c r="C252" s="53"/>
    </row>
    <row r="253" ht="15.75" customHeight="1">
      <c r="B253" s="53"/>
      <c r="C253" s="53"/>
    </row>
    <row r="254" ht="15.75" customHeight="1">
      <c r="B254" s="53"/>
      <c r="C254" s="53"/>
    </row>
    <row r="255" ht="15.75" customHeight="1">
      <c r="B255" s="53"/>
      <c r="C255" s="53"/>
    </row>
    <row r="256" ht="15.75" customHeight="1">
      <c r="B256" s="53"/>
      <c r="C256" s="53"/>
    </row>
    <row r="257" ht="15.75" customHeight="1">
      <c r="B257" s="53"/>
      <c r="C257" s="53"/>
    </row>
    <row r="258" ht="15.75" customHeight="1">
      <c r="B258" s="53"/>
      <c r="C258" s="53"/>
    </row>
    <row r="259" ht="15.75" customHeight="1">
      <c r="B259" s="61"/>
      <c r="C259" s="61"/>
    </row>
    <row r="260" ht="15.75" customHeight="1">
      <c r="B260" s="61"/>
      <c r="C260" s="61"/>
    </row>
    <row r="261" ht="15.75" customHeight="1">
      <c r="B261" s="61"/>
      <c r="C261" s="61"/>
    </row>
    <row r="262" ht="15.75" customHeight="1">
      <c r="B262" s="61"/>
      <c r="C262" s="61"/>
    </row>
    <row r="263" ht="15.75" customHeight="1">
      <c r="B263" s="61"/>
      <c r="C263" s="61"/>
    </row>
    <row r="264" ht="15.75" customHeight="1">
      <c r="B264" s="61"/>
      <c r="C264" s="61"/>
    </row>
    <row r="265" ht="15.75" customHeight="1">
      <c r="B265" s="61"/>
      <c r="C265" s="61"/>
    </row>
    <row r="266" ht="15.75" customHeight="1">
      <c r="B266" s="61"/>
      <c r="C266" s="61"/>
    </row>
    <row r="267" ht="15.75" customHeight="1">
      <c r="B267" s="61"/>
      <c r="C267" s="61"/>
    </row>
    <row r="268" ht="15.75" customHeight="1">
      <c r="B268" s="61"/>
      <c r="C268" s="61"/>
    </row>
    <row r="269" ht="15.75" customHeight="1">
      <c r="B269" s="61"/>
      <c r="C269" s="61"/>
    </row>
    <row r="270" ht="15.75" customHeight="1">
      <c r="B270" s="61"/>
      <c r="C270" s="61"/>
    </row>
    <row r="271" ht="15.75" customHeight="1">
      <c r="B271" s="61"/>
      <c r="C271" s="61"/>
    </row>
    <row r="272" ht="15.75" customHeight="1">
      <c r="B272" s="61"/>
      <c r="C272" s="61"/>
    </row>
    <row r="273" ht="15.75" customHeight="1">
      <c r="B273" s="61"/>
      <c r="C273" s="61"/>
    </row>
    <row r="274" ht="15.75" customHeight="1">
      <c r="B274" s="61"/>
      <c r="C274" s="61"/>
    </row>
    <row r="275" ht="15.75" customHeight="1">
      <c r="B275" s="61"/>
      <c r="C275" s="61"/>
    </row>
    <row r="276" ht="15.75" customHeight="1">
      <c r="B276" s="61"/>
      <c r="C276" s="61"/>
    </row>
    <row r="277" ht="15.75" customHeight="1">
      <c r="B277" s="61"/>
      <c r="C277" s="61"/>
    </row>
    <row r="278" ht="15.75" customHeight="1">
      <c r="B278" s="61"/>
      <c r="C278" s="61"/>
    </row>
    <row r="279" ht="15.75" customHeight="1">
      <c r="B279" s="61"/>
      <c r="C279" s="61"/>
    </row>
    <row r="280" ht="15.75" customHeight="1">
      <c r="B280" s="61"/>
      <c r="C280" s="61"/>
    </row>
    <row r="281" ht="15.75" customHeight="1">
      <c r="B281" s="61"/>
      <c r="C281" s="61"/>
    </row>
    <row r="282" ht="15.75" customHeight="1">
      <c r="B282" s="61"/>
      <c r="C282" s="61"/>
    </row>
    <row r="283" ht="15.75" customHeight="1">
      <c r="B283" s="61"/>
      <c r="C283" s="61"/>
    </row>
    <row r="284" ht="15.75" customHeight="1">
      <c r="B284" s="61"/>
      <c r="C284" s="61"/>
    </row>
    <row r="285" ht="15.75" customHeight="1">
      <c r="B285" s="61"/>
      <c r="C285" s="61"/>
    </row>
    <row r="286" ht="15.75" customHeight="1">
      <c r="B286" s="61"/>
      <c r="C286" s="61"/>
    </row>
    <row r="287" ht="15.75" customHeight="1">
      <c r="B287" s="61"/>
      <c r="C287" s="61"/>
    </row>
    <row r="288" ht="15.75" customHeight="1">
      <c r="B288" s="61"/>
      <c r="C288" s="61"/>
    </row>
    <row r="289" ht="15.75" customHeight="1">
      <c r="B289" s="61"/>
      <c r="C289" s="61"/>
    </row>
    <row r="290" ht="15.75" customHeight="1">
      <c r="B290" s="61"/>
      <c r="C290" s="61"/>
    </row>
    <row r="291" ht="15.75" customHeight="1">
      <c r="B291" s="61"/>
      <c r="C291" s="61"/>
    </row>
    <row r="292" ht="15.75" customHeight="1">
      <c r="B292" s="61"/>
      <c r="C292" s="61"/>
    </row>
    <row r="293" ht="15.75" customHeight="1">
      <c r="B293" s="61"/>
      <c r="C293" s="61"/>
    </row>
    <row r="294" ht="15.75" customHeight="1">
      <c r="B294" s="61"/>
      <c r="C294" s="61"/>
    </row>
    <row r="295" ht="15.75" customHeight="1">
      <c r="B295" s="61"/>
      <c r="C295" s="61"/>
    </row>
    <row r="296" ht="15.75" customHeight="1">
      <c r="B296" s="61"/>
      <c r="C296" s="61"/>
    </row>
    <row r="297" ht="15.75" customHeight="1">
      <c r="B297" s="61"/>
      <c r="C297" s="61"/>
    </row>
    <row r="298" ht="15.75" customHeight="1">
      <c r="B298" s="61"/>
      <c r="C298" s="61"/>
    </row>
    <row r="299" ht="15.75" customHeight="1">
      <c r="B299" s="61"/>
      <c r="C299" s="61"/>
    </row>
    <row r="300" ht="15.75" customHeight="1">
      <c r="B300" s="61"/>
      <c r="C300" s="61"/>
    </row>
    <row r="301" ht="15.75" customHeight="1">
      <c r="B301" s="61"/>
      <c r="C301" s="61"/>
    </row>
    <row r="302" ht="15.75" customHeight="1">
      <c r="B302" s="61"/>
      <c r="C302" s="61"/>
    </row>
    <row r="303" ht="15.75" customHeight="1">
      <c r="B303" s="61"/>
      <c r="C303" s="61"/>
    </row>
    <row r="304" ht="15.75" customHeight="1">
      <c r="B304" s="61"/>
      <c r="C304" s="61"/>
    </row>
    <row r="305" ht="15.75" customHeight="1">
      <c r="B305" s="61"/>
      <c r="C305" s="61"/>
    </row>
    <row r="306" ht="15.75" customHeight="1">
      <c r="B306" s="61"/>
      <c r="C306" s="61"/>
    </row>
    <row r="307" ht="15.75" customHeight="1">
      <c r="B307" s="61"/>
      <c r="C307" s="61"/>
    </row>
    <row r="308" ht="15.75" customHeight="1">
      <c r="B308" s="61"/>
      <c r="C308" s="61"/>
    </row>
    <row r="309" ht="15.75" customHeight="1">
      <c r="B309" s="61"/>
      <c r="C309" s="61"/>
    </row>
    <row r="310" ht="15.75" customHeight="1">
      <c r="B310" s="61"/>
      <c r="C310" s="61"/>
    </row>
    <row r="311" ht="15.75" customHeight="1">
      <c r="B311" s="61"/>
      <c r="C311" s="61"/>
    </row>
    <row r="312" ht="15.75" customHeight="1">
      <c r="B312" s="61"/>
      <c r="C312" s="61"/>
    </row>
    <row r="313" ht="15.75" customHeight="1">
      <c r="B313" s="61"/>
      <c r="C313" s="61"/>
    </row>
    <row r="314" ht="15.75" customHeight="1">
      <c r="B314" s="61"/>
      <c r="C314" s="61"/>
    </row>
    <row r="315" ht="15.75" customHeight="1">
      <c r="B315" s="61"/>
      <c r="C315" s="61"/>
    </row>
    <row r="316" ht="15.75" customHeight="1">
      <c r="B316" s="61"/>
      <c r="C316" s="61"/>
    </row>
    <row r="317" ht="15.75" customHeight="1">
      <c r="B317" s="61"/>
      <c r="C317" s="61"/>
    </row>
    <row r="318" ht="15.75" customHeight="1">
      <c r="B318" s="61"/>
      <c r="C318" s="61"/>
    </row>
    <row r="319" ht="15.75" customHeight="1">
      <c r="B319" s="61"/>
      <c r="C319" s="61"/>
    </row>
    <row r="320" ht="15.75" customHeight="1">
      <c r="B320" s="61"/>
      <c r="C320" s="61"/>
    </row>
    <row r="321" ht="15.75" customHeight="1">
      <c r="B321" s="61"/>
      <c r="C321" s="61"/>
    </row>
    <row r="322" ht="15.75" customHeight="1">
      <c r="B322" s="61"/>
      <c r="C322" s="61"/>
    </row>
    <row r="323" ht="15.75" customHeight="1">
      <c r="B323" s="61"/>
      <c r="C323" s="61"/>
    </row>
    <row r="324" ht="15.75" customHeight="1">
      <c r="B324" s="61"/>
      <c r="C324" s="61"/>
    </row>
    <row r="325" ht="15.75" customHeight="1">
      <c r="B325" s="61"/>
      <c r="C325" s="61"/>
    </row>
    <row r="326" ht="15.75" customHeight="1">
      <c r="B326" s="61"/>
      <c r="C326" s="61"/>
    </row>
    <row r="327" ht="15.75" customHeight="1">
      <c r="B327" s="61"/>
      <c r="C327" s="61"/>
    </row>
    <row r="328" ht="15.75" customHeight="1">
      <c r="B328" s="61"/>
      <c r="C328" s="61"/>
    </row>
    <row r="329" ht="15.75" customHeight="1">
      <c r="B329" s="61"/>
      <c r="C329" s="61"/>
    </row>
    <row r="330" ht="15.75" customHeight="1">
      <c r="B330" s="61"/>
      <c r="C330" s="61"/>
    </row>
    <row r="331" ht="15.75" customHeight="1">
      <c r="B331" s="61"/>
      <c r="C331" s="61"/>
    </row>
    <row r="332" ht="15.75" customHeight="1">
      <c r="B332" s="61"/>
      <c r="C332" s="61"/>
    </row>
    <row r="333" ht="15.75" customHeight="1">
      <c r="B333" s="61"/>
      <c r="C333" s="61"/>
    </row>
    <row r="334" ht="15.75" customHeight="1">
      <c r="B334" s="61"/>
      <c r="C334" s="61"/>
    </row>
    <row r="335" ht="15.75" customHeight="1">
      <c r="B335" s="61"/>
      <c r="C335" s="61"/>
    </row>
    <row r="336" ht="15.75" customHeight="1">
      <c r="B336" s="61"/>
      <c r="C336" s="61"/>
    </row>
    <row r="337" ht="15.75" customHeight="1">
      <c r="B337" s="61"/>
      <c r="C337" s="61"/>
    </row>
    <row r="338" ht="15.75" customHeight="1">
      <c r="B338" s="61"/>
      <c r="C338" s="61"/>
    </row>
    <row r="339" ht="15.75" customHeight="1">
      <c r="B339" s="61"/>
      <c r="C339" s="61"/>
    </row>
    <row r="340" ht="15.75" customHeight="1">
      <c r="B340" s="61"/>
      <c r="C340" s="61"/>
    </row>
    <row r="341" ht="15.75" customHeight="1">
      <c r="B341" s="61"/>
      <c r="C341" s="61"/>
    </row>
    <row r="342" ht="15.75" customHeight="1">
      <c r="B342" s="61"/>
      <c r="C342" s="61"/>
    </row>
    <row r="343" ht="15.75" customHeight="1">
      <c r="B343" s="61"/>
      <c r="C343" s="61"/>
    </row>
    <row r="344" ht="15.75" customHeight="1">
      <c r="B344" s="61"/>
      <c r="C344" s="61"/>
    </row>
    <row r="345" ht="15.75" customHeight="1">
      <c r="B345" s="61"/>
      <c r="C345" s="61"/>
    </row>
    <row r="346" ht="15.75" customHeight="1">
      <c r="B346" s="61"/>
      <c r="C346" s="61"/>
    </row>
    <row r="347" ht="15.75" customHeight="1">
      <c r="B347" s="61"/>
      <c r="C347" s="61"/>
    </row>
    <row r="348" ht="15.75" customHeight="1">
      <c r="B348" s="61"/>
      <c r="C348" s="61"/>
    </row>
    <row r="349" ht="15.75" customHeight="1">
      <c r="B349" s="61"/>
      <c r="C349" s="61"/>
    </row>
    <row r="350" ht="15.75" customHeight="1">
      <c r="B350" s="61"/>
      <c r="C350" s="61"/>
    </row>
    <row r="351" ht="15.75" customHeight="1">
      <c r="B351" s="61"/>
      <c r="C351" s="61"/>
    </row>
    <row r="352" ht="15.75" customHeight="1">
      <c r="B352" s="61"/>
      <c r="C352" s="61"/>
    </row>
    <row r="353" ht="15.75" customHeight="1">
      <c r="B353" s="61"/>
      <c r="C353" s="61"/>
    </row>
    <row r="354" ht="15.75" customHeight="1">
      <c r="B354" s="61"/>
      <c r="C354" s="61"/>
    </row>
    <row r="355" ht="15.75" customHeight="1">
      <c r="B355" s="61"/>
      <c r="C355" s="61"/>
    </row>
    <row r="356" ht="15.75" customHeight="1">
      <c r="B356" s="61"/>
      <c r="C356" s="61"/>
    </row>
    <row r="357" ht="15.75" customHeight="1">
      <c r="B357" s="61"/>
      <c r="C357" s="61"/>
    </row>
    <row r="358" ht="15.75" customHeight="1">
      <c r="B358" s="61"/>
      <c r="C358" s="61"/>
    </row>
    <row r="359" ht="15.75" customHeight="1">
      <c r="B359" s="61"/>
      <c r="C359" s="61"/>
    </row>
    <row r="360" ht="15.75" customHeight="1">
      <c r="B360" s="61"/>
      <c r="C360" s="61"/>
    </row>
    <row r="361" ht="15.75" customHeight="1">
      <c r="B361" s="61"/>
      <c r="C361" s="61"/>
    </row>
    <row r="362" ht="15.75" customHeight="1">
      <c r="B362" s="61"/>
      <c r="C362" s="61"/>
    </row>
    <row r="363" ht="15.75" customHeight="1">
      <c r="B363" s="61"/>
      <c r="C363" s="61"/>
    </row>
    <row r="364" ht="15.75" customHeight="1">
      <c r="B364" s="61"/>
      <c r="C364" s="61"/>
    </row>
    <row r="365" ht="15.75" customHeight="1">
      <c r="B365" s="61"/>
      <c r="C365" s="61"/>
    </row>
    <row r="366" ht="15.75" customHeight="1">
      <c r="B366" s="61"/>
      <c r="C366" s="61"/>
    </row>
    <row r="367" ht="15.75" customHeight="1">
      <c r="B367" s="61"/>
      <c r="C367" s="61"/>
    </row>
    <row r="368" ht="15.75" customHeight="1">
      <c r="B368" s="61"/>
      <c r="C368" s="61"/>
    </row>
    <row r="369" ht="15.75" customHeight="1">
      <c r="B369" s="61"/>
      <c r="C369" s="61"/>
    </row>
    <row r="370" ht="15.75" customHeight="1">
      <c r="B370" s="61"/>
      <c r="C370" s="61"/>
    </row>
    <row r="371" ht="15.75" customHeight="1">
      <c r="B371" s="61"/>
      <c r="C371" s="61"/>
    </row>
    <row r="372" ht="15.75" customHeight="1">
      <c r="B372" s="61"/>
      <c r="C372" s="61"/>
    </row>
    <row r="373" ht="15.75" customHeight="1">
      <c r="B373" s="61"/>
      <c r="C373" s="61"/>
    </row>
    <row r="374" ht="15.75" customHeight="1">
      <c r="B374" s="61"/>
      <c r="C374" s="61"/>
    </row>
    <row r="375" ht="15.75" customHeight="1">
      <c r="B375" s="61"/>
      <c r="C375" s="61"/>
    </row>
    <row r="376" ht="15.75" customHeight="1">
      <c r="B376" s="61"/>
      <c r="C376" s="61"/>
    </row>
    <row r="377" ht="15.75" customHeight="1">
      <c r="B377" s="61"/>
      <c r="C377" s="61"/>
    </row>
    <row r="378" ht="15.75" customHeight="1">
      <c r="B378" s="61"/>
      <c r="C378" s="61"/>
    </row>
    <row r="379" ht="15.75" customHeight="1">
      <c r="B379" s="61"/>
      <c r="C379" s="61"/>
    </row>
    <row r="380" ht="15.75" customHeight="1">
      <c r="B380" s="61"/>
      <c r="C380" s="61"/>
    </row>
    <row r="381" ht="15.75" customHeight="1">
      <c r="B381" s="61"/>
      <c r="C381" s="61"/>
    </row>
    <row r="382" ht="15.75" customHeight="1">
      <c r="B382" s="61"/>
      <c r="C382" s="61"/>
    </row>
    <row r="383" ht="15.75" customHeight="1">
      <c r="B383" s="61"/>
      <c r="C383" s="61"/>
    </row>
    <row r="384" ht="15.75" customHeight="1">
      <c r="B384" s="61"/>
      <c r="C384" s="61"/>
    </row>
    <row r="385" ht="15.75" customHeight="1">
      <c r="B385" s="61"/>
      <c r="C385" s="61"/>
    </row>
    <row r="386" ht="15.75" customHeight="1">
      <c r="B386" s="61"/>
      <c r="C386" s="61"/>
    </row>
    <row r="387" ht="15.75" customHeight="1">
      <c r="B387" s="61"/>
      <c r="C387" s="61"/>
    </row>
    <row r="388" ht="15.75" customHeight="1">
      <c r="B388" s="61"/>
      <c r="C388" s="61"/>
    </row>
    <row r="389" ht="15.75" customHeight="1">
      <c r="B389" s="61"/>
      <c r="C389" s="61"/>
    </row>
    <row r="390" ht="15.75" customHeight="1">
      <c r="B390" s="61"/>
      <c r="C390" s="61"/>
    </row>
    <row r="391" ht="15.75" customHeight="1">
      <c r="B391" s="61"/>
      <c r="C391" s="61"/>
    </row>
    <row r="392" ht="15.75" customHeight="1">
      <c r="B392" s="61"/>
      <c r="C392" s="61"/>
    </row>
    <row r="393" ht="15.75" customHeight="1">
      <c r="B393" s="61"/>
      <c r="C393" s="61"/>
    </row>
    <row r="394" ht="15.75" customHeight="1">
      <c r="B394" s="61"/>
      <c r="C394" s="61"/>
    </row>
    <row r="395" ht="15.75" customHeight="1">
      <c r="B395" s="61"/>
      <c r="C395" s="61"/>
    </row>
    <row r="396" ht="15.75" customHeight="1">
      <c r="B396" s="61"/>
      <c r="C396" s="61"/>
    </row>
    <row r="397" ht="15.75" customHeight="1">
      <c r="B397" s="61"/>
      <c r="C397" s="61"/>
    </row>
    <row r="398" ht="15.75" customHeight="1">
      <c r="B398" s="61"/>
      <c r="C398" s="61"/>
    </row>
    <row r="399" ht="15.75" customHeight="1">
      <c r="B399" s="61"/>
      <c r="C399" s="61"/>
    </row>
    <row r="400" ht="15.75" customHeight="1">
      <c r="B400" s="61"/>
      <c r="C400" s="61"/>
    </row>
    <row r="401" ht="15.75" customHeight="1">
      <c r="B401" s="61"/>
      <c r="C401" s="61"/>
    </row>
    <row r="402" ht="15.75" customHeight="1">
      <c r="B402" s="61"/>
      <c r="C402" s="61"/>
    </row>
    <row r="403" ht="15.75" customHeight="1">
      <c r="B403" s="61"/>
      <c r="C403" s="61"/>
    </row>
    <row r="404" ht="15.75" customHeight="1">
      <c r="B404" s="61"/>
      <c r="C404" s="61"/>
    </row>
    <row r="405" ht="15.75" customHeight="1">
      <c r="B405" s="61"/>
      <c r="C405" s="61"/>
    </row>
    <row r="406" ht="15.75" customHeight="1">
      <c r="B406" s="61"/>
      <c r="C406" s="61"/>
    </row>
    <row r="407" ht="15.75" customHeight="1">
      <c r="B407" s="61"/>
      <c r="C407" s="61"/>
    </row>
    <row r="408" ht="15.75" customHeight="1">
      <c r="B408" s="61"/>
      <c r="C408" s="61"/>
    </row>
    <row r="409" ht="15.75" customHeight="1">
      <c r="B409" s="61"/>
      <c r="C409" s="61"/>
    </row>
    <row r="410" ht="15.75" customHeight="1">
      <c r="B410" s="61"/>
      <c r="C410" s="61"/>
    </row>
    <row r="411" ht="15.75" customHeight="1">
      <c r="B411" s="61"/>
      <c r="C411" s="61"/>
    </row>
    <row r="412" ht="15.75" customHeight="1">
      <c r="B412" s="61"/>
      <c r="C412" s="61"/>
    </row>
    <row r="413" ht="15.75" customHeight="1">
      <c r="B413" s="61"/>
      <c r="C413" s="61"/>
    </row>
    <row r="414" ht="15.75" customHeight="1">
      <c r="B414" s="61"/>
      <c r="C414" s="61"/>
    </row>
    <row r="415" ht="15.75" customHeight="1">
      <c r="B415" s="61"/>
      <c r="C415" s="61"/>
    </row>
    <row r="416" ht="15.75" customHeight="1">
      <c r="B416" s="61"/>
      <c r="C416" s="61"/>
    </row>
    <row r="417" ht="15.75" customHeight="1">
      <c r="B417" s="61"/>
      <c r="C417" s="61"/>
    </row>
    <row r="418" ht="15.75" customHeight="1">
      <c r="B418" s="61"/>
      <c r="C418" s="61"/>
    </row>
    <row r="419" ht="15.75" customHeight="1">
      <c r="B419" s="61"/>
      <c r="C419" s="61"/>
    </row>
    <row r="420" ht="15.75" customHeight="1">
      <c r="B420" s="61"/>
      <c r="C420" s="61"/>
    </row>
    <row r="421" ht="15.75" customHeight="1">
      <c r="B421" s="61"/>
      <c r="C421" s="61"/>
    </row>
    <row r="422" ht="15.75" customHeight="1">
      <c r="B422" s="61"/>
      <c r="C422" s="61"/>
    </row>
    <row r="423" ht="15.75" customHeight="1">
      <c r="B423" s="61"/>
      <c r="C423" s="61"/>
    </row>
    <row r="424" ht="15.75" customHeight="1">
      <c r="B424" s="61"/>
      <c r="C424" s="61"/>
    </row>
    <row r="425" ht="15.75" customHeight="1">
      <c r="B425" s="61"/>
      <c r="C425" s="61"/>
    </row>
    <row r="426" ht="15.75" customHeight="1">
      <c r="B426" s="61"/>
      <c r="C426" s="61"/>
    </row>
    <row r="427" ht="15.75" customHeight="1">
      <c r="B427" s="61"/>
      <c r="C427" s="61"/>
    </row>
    <row r="428" ht="15.75" customHeight="1">
      <c r="B428" s="61"/>
      <c r="C428" s="61"/>
    </row>
    <row r="429" ht="15.75" customHeight="1">
      <c r="B429" s="61"/>
      <c r="C429" s="61"/>
    </row>
    <row r="430" ht="15.75" customHeight="1">
      <c r="B430" s="61"/>
      <c r="C430" s="61"/>
    </row>
    <row r="431" ht="15.75" customHeight="1">
      <c r="B431" s="61"/>
      <c r="C431" s="61"/>
    </row>
    <row r="432" ht="15.75" customHeight="1">
      <c r="B432" s="61"/>
      <c r="C432" s="61"/>
    </row>
    <row r="433" ht="15.75" customHeight="1">
      <c r="B433" s="61"/>
      <c r="C433" s="61"/>
    </row>
    <row r="434" ht="15.75" customHeight="1">
      <c r="B434" s="61"/>
      <c r="C434" s="61"/>
    </row>
    <row r="435" ht="15.75" customHeight="1">
      <c r="B435" s="61"/>
      <c r="C435" s="61"/>
    </row>
    <row r="436" ht="15.75" customHeight="1">
      <c r="B436" s="61"/>
      <c r="C436" s="61"/>
    </row>
    <row r="437" ht="15.75" customHeight="1">
      <c r="B437" s="61"/>
      <c r="C437" s="61"/>
    </row>
    <row r="438" ht="15.75" customHeight="1">
      <c r="B438" s="61"/>
      <c r="C438" s="61"/>
    </row>
    <row r="439" ht="15.75" customHeight="1">
      <c r="B439" s="61"/>
      <c r="C439" s="61"/>
    </row>
    <row r="440" ht="15.75" customHeight="1">
      <c r="B440" s="61"/>
      <c r="C440" s="61"/>
    </row>
    <row r="441" ht="15.75" customHeight="1">
      <c r="B441" s="61"/>
      <c r="C441" s="61"/>
    </row>
    <row r="442" ht="15.75" customHeight="1">
      <c r="B442" s="61"/>
      <c r="C442" s="61"/>
    </row>
    <row r="443" ht="15.75" customHeight="1">
      <c r="B443" s="61"/>
      <c r="C443" s="61"/>
    </row>
    <row r="444" ht="15.75" customHeight="1">
      <c r="B444" s="61"/>
      <c r="C444" s="61"/>
    </row>
    <row r="445" ht="15.75" customHeight="1">
      <c r="B445" s="61"/>
      <c r="C445" s="61"/>
    </row>
    <row r="446" ht="15.75" customHeight="1">
      <c r="B446" s="61"/>
      <c r="C446" s="61"/>
    </row>
    <row r="447" ht="15.75" customHeight="1">
      <c r="B447" s="61"/>
      <c r="C447" s="61"/>
    </row>
    <row r="448" ht="15.75" customHeight="1">
      <c r="B448" s="61"/>
      <c r="C448" s="61"/>
    </row>
    <row r="449" ht="15.75" customHeight="1">
      <c r="B449" s="61"/>
      <c r="C449" s="61"/>
    </row>
    <row r="450" ht="15.75" customHeight="1">
      <c r="B450" s="61"/>
      <c r="C450" s="61"/>
    </row>
    <row r="451" ht="15.75" customHeight="1">
      <c r="B451" s="61"/>
      <c r="C451" s="61"/>
    </row>
    <row r="452" ht="15.75" customHeight="1">
      <c r="B452" s="61"/>
      <c r="C452" s="61"/>
    </row>
    <row r="453" ht="15.75" customHeight="1">
      <c r="B453" s="61"/>
      <c r="C453" s="61"/>
    </row>
    <row r="454" ht="15.75" customHeight="1">
      <c r="B454" s="61"/>
      <c r="C454" s="61"/>
    </row>
    <row r="455" ht="15.75" customHeight="1">
      <c r="B455" s="61"/>
      <c r="C455" s="61"/>
    </row>
    <row r="456" ht="15.75" customHeight="1">
      <c r="B456" s="61"/>
      <c r="C456" s="61"/>
    </row>
    <row r="457" ht="15.75" customHeight="1">
      <c r="B457" s="61"/>
      <c r="C457" s="61"/>
    </row>
    <row r="458" ht="15.75" customHeight="1">
      <c r="B458" s="61"/>
      <c r="C458" s="61"/>
    </row>
    <row r="459" ht="15.75" customHeight="1">
      <c r="B459" s="61"/>
      <c r="C459" s="61"/>
    </row>
    <row r="460" ht="15.75" customHeight="1">
      <c r="B460" s="61"/>
      <c r="C460" s="61"/>
    </row>
    <row r="461" ht="15.75" customHeight="1">
      <c r="B461" s="61"/>
      <c r="C461" s="61"/>
    </row>
    <row r="462" ht="15.75" customHeight="1">
      <c r="B462" s="61"/>
      <c r="C462" s="61"/>
    </row>
    <row r="463" ht="15.75" customHeight="1">
      <c r="B463" s="61"/>
      <c r="C463" s="61"/>
    </row>
    <row r="464" ht="15.75" customHeight="1">
      <c r="B464" s="61"/>
      <c r="C464" s="61"/>
    </row>
    <row r="465" ht="15.75" customHeight="1">
      <c r="B465" s="61"/>
      <c r="C465" s="61"/>
    </row>
    <row r="466" ht="15.75" customHeight="1">
      <c r="B466" s="61"/>
      <c r="C466" s="61"/>
    </row>
    <row r="467" ht="15.75" customHeight="1">
      <c r="B467" s="61"/>
      <c r="C467" s="61"/>
    </row>
    <row r="468" ht="15.75" customHeight="1">
      <c r="B468" s="61"/>
      <c r="C468" s="61"/>
    </row>
    <row r="469" ht="15.75" customHeight="1">
      <c r="B469" s="61"/>
      <c r="C469" s="61"/>
    </row>
    <row r="470" ht="15.75" customHeight="1">
      <c r="B470" s="61"/>
      <c r="C470" s="61"/>
    </row>
    <row r="471" ht="15.75" customHeight="1">
      <c r="B471" s="61"/>
      <c r="C471" s="61"/>
    </row>
    <row r="472" ht="15.75" customHeight="1">
      <c r="B472" s="61"/>
      <c r="C472" s="61"/>
    </row>
    <row r="473" ht="15.75" customHeight="1">
      <c r="B473" s="61"/>
      <c r="C473" s="61"/>
    </row>
    <row r="474" ht="15.75" customHeight="1">
      <c r="B474" s="61"/>
      <c r="C474" s="61"/>
    </row>
    <row r="475" ht="15.75" customHeight="1">
      <c r="B475" s="61"/>
      <c r="C475" s="61"/>
    </row>
    <row r="476" ht="15.75" customHeight="1">
      <c r="B476" s="61"/>
      <c r="C476" s="61"/>
    </row>
    <row r="477" ht="15.75" customHeight="1">
      <c r="B477" s="61"/>
      <c r="C477" s="61"/>
    </row>
    <row r="478" ht="15.75" customHeight="1">
      <c r="B478" s="61"/>
      <c r="C478" s="61"/>
    </row>
    <row r="479" ht="15.75" customHeight="1">
      <c r="B479" s="61"/>
      <c r="C479" s="61"/>
    </row>
    <row r="480" ht="15.75" customHeight="1">
      <c r="B480" s="61"/>
      <c r="C480" s="61"/>
    </row>
    <row r="481" ht="15.75" customHeight="1">
      <c r="B481" s="61"/>
      <c r="C481" s="61"/>
    </row>
    <row r="482" ht="15.75" customHeight="1">
      <c r="B482" s="61"/>
      <c r="C482" s="61"/>
    </row>
    <row r="483" ht="15.75" customHeight="1">
      <c r="B483" s="61"/>
      <c r="C483" s="61"/>
    </row>
    <row r="484" ht="15.75" customHeight="1">
      <c r="B484" s="61"/>
      <c r="C484" s="61"/>
    </row>
    <row r="485" ht="15.75" customHeight="1">
      <c r="B485" s="61"/>
      <c r="C485" s="61"/>
    </row>
    <row r="486" ht="15.75" customHeight="1">
      <c r="B486" s="61"/>
      <c r="C486" s="61"/>
    </row>
    <row r="487" ht="15.75" customHeight="1">
      <c r="B487" s="61"/>
      <c r="C487" s="61"/>
    </row>
    <row r="488" ht="15.75" customHeight="1">
      <c r="B488" s="61"/>
      <c r="C488" s="61"/>
    </row>
    <row r="489" ht="15.75" customHeight="1">
      <c r="B489" s="61"/>
      <c r="C489" s="61"/>
    </row>
    <row r="490" ht="15.75" customHeight="1">
      <c r="B490" s="61"/>
      <c r="C490" s="61"/>
    </row>
    <row r="491" ht="15.75" customHeight="1">
      <c r="B491" s="61"/>
      <c r="C491" s="61"/>
    </row>
    <row r="492" ht="15.75" customHeight="1">
      <c r="B492" s="61"/>
      <c r="C492" s="61"/>
    </row>
    <row r="493" ht="15.75" customHeight="1">
      <c r="B493" s="61"/>
      <c r="C493" s="61"/>
    </row>
    <row r="494" ht="15.75" customHeight="1">
      <c r="B494" s="61"/>
      <c r="C494" s="61"/>
    </row>
    <row r="495" ht="15.75" customHeight="1">
      <c r="B495" s="61"/>
      <c r="C495" s="61"/>
    </row>
    <row r="496" ht="15.75" customHeight="1">
      <c r="B496" s="61"/>
      <c r="C496" s="61"/>
    </row>
    <row r="497" ht="15.75" customHeight="1">
      <c r="B497" s="61"/>
      <c r="C497" s="61"/>
    </row>
    <row r="498" ht="15.75" customHeight="1">
      <c r="B498" s="61"/>
      <c r="C498" s="61"/>
    </row>
    <row r="499" ht="15.75" customHeight="1">
      <c r="B499" s="61"/>
      <c r="C499" s="61"/>
    </row>
    <row r="500" ht="15.75" customHeight="1">
      <c r="B500" s="61"/>
      <c r="C500" s="61"/>
    </row>
    <row r="501" ht="15.75" customHeight="1">
      <c r="B501" s="61"/>
      <c r="C501" s="61"/>
    </row>
    <row r="502" ht="15.75" customHeight="1">
      <c r="B502" s="61"/>
      <c r="C502" s="61"/>
    </row>
    <row r="503" ht="15.75" customHeight="1">
      <c r="B503" s="61"/>
      <c r="C503" s="61"/>
    </row>
    <row r="504" ht="15.75" customHeight="1">
      <c r="B504" s="61"/>
      <c r="C504" s="61"/>
    </row>
    <row r="505" ht="15.75" customHeight="1">
      <c r="B505" s="61"/>
      <c r="C505" s="61"/>
    </row>
    <row r="506" ht="15.75" customHeight="1">
      <c r="B506" s="61"/>
      <c r="C506" s="61"/>
    </row>
    <row r="507" ht="15.75" customHeight="1">
      <c r="B507" s="61"/>
      <c r="C507" s="61"/>
    </row>
    <row r="508" ht="15.75" customHeight="1">
      <c r="B508" s="61"/>
      <c r="C508" s="61"/>
    </row>
    <row r="509" ht="15.75" customHeight="1">
      <c r="B509" s="61"/>
      <c r="C509" s="61"/>
    </row>
    <row r="510" ht="15.75" customHeight="1">
      <c r="B510" s="61"/>
      <c r="C510" s="61"/>
    </row>
    <row r="511" ht="15.75" customHeight="1">
      <c r="B511" s="61"/>
      <c r="C511" s="61"/>
    </row>
    <row r="512" ht="15.75" customHeight="1">
      <c r="B512" s="61"/>
      <c r="C512" s="61"/>
    </row>
    <row r="513" ht="15.75" customHeight="1">
      <c r="B513" s="61"/>
      <c r="C513" s="61"/>
    </row>
    <row r="514" ht="15.75" customHeight="1">
      <c r="B514" s="61"/>
      <c r="C514" s="61"/>
    </row>
    <row r="515" ht="15.75" customHeight="1">
      <c r="B515" s="61"/>
      <c r="C515" s="61"/>
    </row>
    <row r="516" ht="15.75" customHeight="1">
      <c r="B516" s="61"/>
      <c r="C516" s="61"/>
    </row>
    <row r="517" ht="15.75" customHeight="1">
      <c r="B517" s="61"/>
      <c r="C517" s="61"/>
    </row>
    <row r="518" ht="15.75" customHeight="1">
      <c r="B518" s="61"/>
      <c r="C518" s="61"/>
    </row>
    <row r="519" ht="15.75" customHeight="1">
      <c r="B519" s="61"/>
      <c r="C519" s="61"/>
    </row>
    <row r="520" ht="15.75" customHeight="1">
      <c r="B520" s="61"/>
      <c r="C520" s="61"/>
    </row>
    <row r="521" ht="15.75" customHeight="1">
      <c r="B521" s="61"/>
      <c r="C521" s="61"/>
    </row>
    <row r="522" ht="15.75" customHeight="1">
      <c r="B522" s="61"/>
      <c r="C522" s="61"/>
    </row>
    <row r="523" ht="15.75" customHeight="1">
      <c r="B523" s="61"/>
      <c r="C523" s="61"/>
    </row>
    <row r="524" ht="15.75" customHeight="1">
      <c r="B524" s="61"/>
      <c r="C524" s="61"/>
    </row>
    <row r="525" ht="15.75" customHeight="1">
      <c r="B525" s="61"/>
      <c r="C525" s="61"/>
    </row>
    <row r="526" ht="15.75" customHeight="1">
      <c r="B526" s="61"/>
      <c r="C526" s="61"/>
    </row>
    <row r="527" ht="15.75" customHeight="1">
      <c r="B527" s="61"/>
      <c r="C527" s="61"/>
    </row>
    <row r="528" ht="15.75" customHeight="1">
      <c r="B528" s="61"/>
      <c r="C528" s="61"/>
    </row>
    <row r="529" ht="15.75" customHeight="1">
      <c r="B529" s="61"/>
      <c r="C529" s="61"/>
    </row>
    <row r="530" ht="15.75" customHeight="1">
      <c r="B530" s="61"/>
      <c r="C530" s="61"/>
    </row>
    <row r="531" ht="15.75" customHeight="1">
      <c r="B531" s="61"/>
      <c r="C531" s="61"/>
    </row>
    <row r="532" ht="15.75" customHeight="1">
      <c r="B532" s="61"/>
      <c r="C532" s="61"/>
    </row>
    <row r="533" ht="15.75" customHeight="1">
      <c r="B533" s="61"/>
      <c r="C533" s="61"/>
    </row>
    <row r="534" ht="15.75" customHeight="1">
      <c r="B534" s="61"/>
      <c r="C534" s="61"/>
    </row>
    <row r="535" ht="15.75" customHeight="1">
      <c r="B535" s="61"/>
      <c r="C535" s="61"/>
    </row>
    <row r="536" ht="15.75" customHeight="1">
      <c r="B536" s="61"/>
      <c r="C536" s="61"/>
    </row>
    <row r="537" ht="15.75" customHeight="1">
      <c r="B537" s="61"/>
      <c r="C537" s="61"/>
    </row>
    <row r="538" ht="15.75" customHeight="1">
      <c r="B538" s="61"/>
      <c r="C538" s="61"/>
    </row>
    <row r="539" ht="15.75" customHeight="1">
      <c r="B539" s="61"/>
      <c r="C539" s="61"/>
    </row>
    <row r="540" ht="15.75" customHeight="1">
      <c r="B540" s="61"/>
      <c r="C540" s="61"/>
    </row>
    <row r="541" ht="15.75" customHeight="1">
      <c r="B541" s="61"/>
      <c r="C541" s="61"/>
    </row>
    <row r="542" ht="15.75" customHeight="1">
      <c r="B542" s="61"/>
      <c r="C542" s="61"/>
    </row>
    <row r="543" ht="15.75" customHeight="1">
      <c r="B543" s="61"/>
      <c r="C543" s="61"/>
    </row>
    <row r="544" ht="15.75" customHeight="1">
      <c r="B544" s="61"/>
      <c r="C544" s="61"/>
    </row>
    <row r="545" ht="15.75" customHeight="1">
      <c r="B545" s="61"/>
      <c r="C545" s="61"/>
    </row>
    <row r="546" ht="15.75" customHeight="1">
      <c r="B546" s="61"/>
      <c r="C546" s="61"/>
    </row>
    <row r="547" ht="15.75" customHeight="1">
      <c r="B547" s="61"/>
      <c r="C547" s="61"/>
    </row>
    <row r="548" ht="15.75" customHeight="1">
      <c r="B548" s="61"/>
      <c r="C548" s="61"/>
    </row>
    <row r="549" ht="15.75" customHeight="1">
      <c r="B549" s="61"/>
      <c r="C549" s="61"/>
    </row>
    <row r="550" ht="15.75" customHeight="1">
      <c r="B550" s="61"/>
      <c r="C550" s="61"/>
    </row>
    <row r="551" ht="15.75" customHeight="1">
      <c r="B551" s="61"/>
      <c r="C551" s="61"/>
    </row>
    <row r="552" ht="15.75" customHeight="1">
      <c r="B552" s="61"/>
      <c r="C552" s="61"/>
    </row>
    <row r="553" ht="15.75" customHeight="1">
      <c r="B553" s="61"/>
      <c r="C553" s="61"/>
    </row>
    <row r="554" ht="15.75" customHeight="1">
      <c r="B554" s="61"/>
      <c r="C554" s="61"/>
    </row>
    <row r="555" ht="15.75" customHeight="1">
      <c r="B555" s="61"/>
      <c r="C555" s="61"/>
    </row>
    <row r="556" ht="15.75" customHeight="1">
      <c r="B556" s="61"/>
      <c r="C556" s="61"/>
    </row>
    <row r="557" ht="15.75" customHeight="1">
      <c r="B557" s="61"/>
      <c r="C557" s="61"/>
    </row>
    <row r="558" ht="15.75" customHeight="1">
      <c r="B558" s="61"/>
      <c r="C558" s="61"/>
    </row>
    <row r="559" ht="15.75" customHeight="1">
      <c r="B559" s="61"/>
      <c r="C559" s="61"/>
    </row>
    <row r="560" ht="15.75" customHeight="1">
      <c r="B560" s="61"/>
      <c r="C560" s="61"/>
    </row>
    <row r="561" ht="15.75" customHeight="1">
      <c r="B561" s="61"/>
      <c r="C561" s="61"/>
    </row>
    <row r="562" ht="15.75" customHeight="1">
      <c r="B562" s="61"/>
      <c r="C562" s="61"/>
    </row>
    <row r="563" ht="15.75" customHeight="1">
      <c r="B563" s="61"/>
      <c r="C563" s="61"/>
    </row>
    <row r="564" ht="15.75" customHeight="1">
      <c r="B564" s="61"/>
      <c r="C564" s="61"/>
    </row>
    <row r="565" ht="15.75" customHeight="1">
      <c r="B565" s="61"/>
      <c r="C565" s="61"/>
    </row>
    <row r="566" ht="15.75" customHeight="1">
      <c r="B566" s="61"/>
      <c r="C566" s="61"/>
    </row>
    <row r="567" ht="15.75" customHeight="1">
      <c r="B567" s="61"/>
      <c r="C567" s="61"/>
    </row>
    <row r="568" ht="15.75" customHeight="1">
      <c r="B568" s="61"/>
      <c r="C568" s="61"/>
    </row>
    <row r="569" ht="15.75" customHeight="1">
      <c r="B569" s="61"/>
      <c r="C569" s="61"/>
    </row>
    <row r="570" ht="15.75" customHeight="1">
      <c r="B570" s="61"/>
      <c r="C570" s="61"/>
    </row>
    <row r="571" ht="15.75" customHeight="1">
      <c r="B571" s="61"/>
      <c r="C571" s="61"/>
    </row>
    <row r="572" ht="15.75" customHeight="1">
      <c r="B572" s="61"/>
      <c r="C572" s="61"/>
    </row>
    <row r="573" ht="15.75" customHeight="1">
      <c r="B573" s="61"/>
      <c r="C573" s="61"/>
    </row>
    <row r="574" ht="15.75" customHeight="1">
      <c r="B574" s="61"/>
      <c r="C574" s="61"/>
    </row>
    <row r="575" ht="15.75" customHeight="1">
      <c r="B575" s="61"/>
      <c r="C575" s="61"/>
    </row>
    <row r="576" ht="15.75" customHeight="1">
      <c r="B576" s="61"/>
      <c r="C576" s="61"/>
    </row>
    <row r="577" ht="15.75" customHeight="1">
      <c r="B577" s="61"/>
      <c r="C577" s="61"/>
    </row>
    <row r="578" ht="15.75" customHeight="1">
      <c r="B578" s="61"/>
      <c r="C578" s="61"/>
    </row>
    <row r="579" ht="15.75" customHeight="1">
      <c r="B579" s="61"/>
      <c r="C579" s="61"/>
    </row>
    <row r="580" ht="15.75" customHeight="1">
      <c r="B580" s="61"/>
      <c r="C580" s="61"/>
    </row>
    <row r="581" ht="15.75" customHeight="1">
      <c r="B581" s="61"/>
      <c r="C581" s="61"/>
    </row>
    <row r="582" ht="15.75" customHeight="1">
      <c r="B582" s="61"/>
      <c r="C582" s="61"/>
    </row>
    <row r="583" ht="15.75" customHeight="1">
      <c r="B583" s="61"/>
      <c r="C583" s="61"/>
    </row>
    <row r="584" ht="15.75" customHeight="1">
      <c r="B584" s="61"/>
      <c r="C584" s="61"/>
    </row>
    <row r="585" ht="15.75" customHeight="1">
      <c r="B585" s="61"/>
      <c r="C585" s="61"/>
    </row>
    <row r="586" ht="15.75" customHeight="1">
      <c r="B586" s="61"/>
      <c r="C586" s="61"/>
    </row>
    <row r="587" ht="15.75" customHeight="1">
      <c r="B587" s="61"/>
      <c r="C587" s="61"/>
    </row>
    <row r="588" ht="15.75" customHeight="1">
      <c r="B588" s="61"/>
      <c r="C588" s="61"/>
    </row>
    <row r="589" ht="15.75" customHeight="1">
      <c r="B589" s="61"/>
      <c r="C589" s="61"/>
    </row>
    <row r="590" ht="15.75" customHeight="1">
      <c r="B590" s="61"/>
      <c r="C590" s="61"/>
    </row>
    <row r="591" ht="15.75" customHeight="1">
      <c r="B591" s="61"/>
      <c r="C591" s="61"/>
    </row>
    <row r="592" ht="15.75" customHeight="1">
      <c r="B592" s="61"/>
      <c r="C592" s="61"/>
    </row>
    <row r="593" ht="15.75" customHeight="1">
      <c r="B593" s="61"/>
      <c r="C593" s="61"/>
    </row>
    <row r="594" ht="15.75" customHeight="1">
      <c r="B594" s="61"/>
      <c r="C594" s="61"/>
    </row>
    <row r="595" ht="15.75" customHeight="1">
      <c r="B595" s="61"/>
      <c r="C595" s="61"/>
    </row>
    <row r="596" ht="15.75" customHeight="1">
      <c r="B596" s="61"/>
      <c r="C596" s="61"/>
    </row>
    <row r="597" ht="15.75" customHeight="1">
      <c r="B597" s="61"/>
      <c r="C597" s="61"/>
    </row>
    <row r="598" ht="15.75" customHeight="1">
      <c r="B598" s="61"/>
      <c r="C598" s="61"/>
    </row>
    <row r="599" ht="15.75" customHeight="1">
      <c r="B599" s="61"/>
      <c r="C599" s="61"/>
    </row>
    <row r="600" ht="15.75" customHeight="1">
      <c r="B600" s="61"/>
      <c r="C600" s="61"/>
    </row>
    <row r="601" ht="15.75" customHeight="1">
      <c r="B601" s="61"/>
      <c r="C601" s="61"/>
    </row>
    <row r="602" ht="15.75" customHeight="1">
      <c r="B602" s="61"/>
      <c r="C602" s="61"/>
    </row>
    <row r="603" ht="15.75" customHeight="1">
      <c r="B603" s="61"/>
      <c r="C603" s="61"/>
    </row>
    <row r="604" ht="15.75" customHeight="1">
      <c r="B604" s="61"/>
      <c r="C604" s="61"/>
    </row>
    <row r="605" ht="15.75" customHeight="1">
      <c r="B605" s="61"/>
      <c r="C605" s="61"/>
    </row>
    <row r="606" ht="15.75" customHeight="1">
      <c r="B606" s="61"/>
      <c r="C606" s="61"/>
    </row>
    <row r="607" ht="15.75" customHeight="1">
      <c r="B607" s="61"/>
      <c r="C607" s="61"/>
    </row>
    <row r="608" ht="15.75" customHeight="1">
      <c r="B608" s="61"/>
      <c r="C608" s="61"/>
    </row>
    <row r="609" ht="15.75" customHeight="1">
      <c r="B609" s="61"/>
      <c r="C609" s="61"/>
    </row>
    <row r="610" ht="15.75" customHeight="1">
      <c r="B610" s="61"/>
      <c r="C610" s="61"/>
    </row>
    <row r="611" ht="15.75" customHeight="1">
      <c r="B611" s="61"/>
      <c r="C611" s="61"/>
    </row>
    <row r="612" ht="15.75" customHeight="1">
      <c r="B612" s="61"/>
      <c r="C612" s="61"/>
    </row>
    <row r="613" ht="15.75" customHeight="1">
      <c r="B613" s="61"/>
      <c r="C613" s="61"/>
    </row>
    <row r="614" ht="15.75" customHeight="1">
      <c r="B614" s="61"/>
      <c r="C614" s="61"/>
    </row>
    <row r="615" ht="15.75" customHeight="1">
      <c r="B615" s="61"/>
      <c r="C615" s="61"/>
    </row>
    <row r="616" ht="15.75" customHeight="1">
      <c r="B616" s="61"/>
      <c r="C616" s="61"/>
    </row>
    <row r="617" ht="15.75" customHeight="1">
      <c r="B617" s="61"/>
      <c r="C617" s="61"/>
    </row>
    <row r="618" ht="15.75" customHeight="1">
      <c r="B618" s="61"/>
      <c r="C618" s="61"/>
    </row>
    <row r="619" ht="15.75" customHeight="1">
      <c r="B619" s="61"/>
      <c r="C619" s="61"/>
    </row>
    <row r="620" ht="15.75" customHeight="1">
      <c r="B620" s="61"/>
      <c r="C620" s="61"/>
    </row>
    <row r="621" ht="15.75" customHeight="1">
      <c r="B621" s="61"/>
      <c r="C621" s="61"/>
    </row>
    <row r="622" ht="15.75" customHeight="1">
      <c r="B622" s="61"/>
      <c r="C622" s="61"/>
    </row>
    <row r="623" ht="15.75" customHeight="1">
      <c r="B623" s="61"/>
      <c r="C623" s="61"/>
    </row>
    <row r="624" ht="15.75" customHeight="1">
      <c r="B624" s="61"/>
      <c r="C624" s="61"/>
    </row>
    <row r="625" ht="15.75" customHeight="1">
      <c r="B625" s="61"/>
      <c r="C625" s="61"/>
    </row>
    <row r="626" ht="15.75" customHeight="1">
      <c r="B626" s="61"/>
      <c r="C626" s="61"/>
    </row>
    <row r="627" ht="15.75" customHeight="1">
      <c r="B627" s="61"/>
      <c r="C627" s="61"/>
    </row>
    <row r="628" ht="15.75" customHeight="1">
      <c r="B628" s="61"/>
      <c r="C628" s="61"/>
    </row>
    <row r="629" ht="15.75" customHeight="1">
      <c r="B629" s="61"/>
      <c r="C629" s="61"/>
    </row>
    <row r="630" ht="15.75" customHeight="1">
      <c r="B630" s="61"/>
      <c r="C630" s="61"/>
    </row>
    <row r="631" ht="15.75" customHeight="1">
      <c r="B631" s="61"/>
      <c r="C631" s="61"/>
    </row>
    <row r="632" ht="15.75" customHeight="1">
      <c r="B632" s="61"/>
      <c r="C632" s="61"/>
    </row>
    <row r="633" ht="15.75" customHeight="1">
      <c r="B633" s="61"/>
      <c r="C633" s="61"/>
    </row>
    <row r="634" ht="15.75" customHeight="1">
      <c r="B634" s="61"/>
      <c r="C634" s="61"/>
    </row>
    <row r="635" ht="15.75" customHeight="1">
      <c r="B635" s="61"/>
      <c r="C635" s="61"/>
    </row>
    <row r="636" ht="15.75" customHeight="1">
      <c r="B636" s="61"/>
      <c r="C636" s="61"/>
    </row>
    <row r="637" ht="15.75" customHeight="1">
      <c r="B637" s="61"/>
      <c r="C637" s="61"/>
    </row>
    <row r="638" ht="15.75" customHeight="1">
      <c r="B638" s="61"/>
      <c r="C638" s="61"/>
    </row>
    <row r="639" ht="15.75" customHeight="1">
      <c r="B639" s="61"/>
      <c r="C639" s="61"/>
    </row>
    <row r="640" ht="15.75" customHeight="1">
      <c r="B640" s="61"/>
      <c r="C640" s="61"/>
    </row>
    <row r="641" ht="15.75" customHeight="1">
      <c r="B641" s="61"/>
      <c r="C641" s="61"/>
    </row>
    <row r="642" ht="15.75" customHeight="1">
      <c r="B642" s="61"/>
      <c r="C642" s="61"/>
    </row>
    <row r="643" ht="15.75" customHeight="1">
      <c r="B643" s="61"/>
      <c r="C643" s="61"/>
    </row>
    <row r="644" ht="15.75" customHeight="1">
      <c r="B644" s="61"/>
      <c r="C644" s="61"/>
    </row>
    <row r="645" ht="15.75" customHeight="1">
      <c r="B645" s="61"/>
      <c r="C645" s="61"/>
    </row>
    <row r="646" ht="15.75" customHeight="1">
      <c r="B646" s="61"/>
      <c r="C646" s="61"/>
    </row>
    <row r="647" ht="15.75" customHeight="1">
      <c r="B647" s="61"/>
      <c r="C647" s="61"/>
    </row>
    <row r="648" ht="15.75" customHeight="1">
      <c r="B648" s="61"/>
      <c r="C648" s="61"/>
    </row>
    <row r="649" ht="15.75" customHeight="1">
      <c r="B649" s="61"/>
      <c r="C649" s="61"/>
    </row>
    <row r="650" ht="15.75" customHeight="1">
      <c r="B650" s="61"/>
      <c r="C650" s="61"/>
    </row>
    <row r="651" ht="15.75" customHeight="1">
      <c r="B651" s="61"/>
      <c r="C651" s="61"/>
    </row>
    <row r="652" ht="15.75" customHeight="1">
      <c r="B652" s="61"/>
      <c r="C652" s="61"/>
    </row>
    <row r="653" ht="15.75" customHeight="1">
      <c r="B653" s="61"/>
      <c r="C653" s="61"/>
    </row>
    <row r="654" ht="15.75" customHeight="1">
      <c r="B654" s="61"/>
      <c r="C654" s="61"/>
    </row>
    <row r="655" ht="15.75" customHeight="1">
      <c r="B655" s="61"/>
      <c r="C655" s="61"/>
    </row>
    <row r="656" ht="15.75" customHeight="1">
      <c r="B656" s="61"/>
      <c r="C656" s="61"/>
    </row>
    <row r="657" ht="15.75" customHeight="1">
      <c r="B657" s="61"/>
      <c r="C657" s="61"/>
    </row>
    <row r="658" ht="15.75" customHeight="1">
      <c r="B658" s="61"/>
      <c r="C658" s="61"/>
    </row>
    <row r="659" ht="15.75" customHeight="1">
      <c r="B659" s="61"/>
      <c r="C659" s="61"/>
    </row>
    <row r="660" ht="15.75" customHeight="1">
      <c r="B660" s="61"/>
      <c r="C660" s="61"/>
    </row>
    <row r="661" ht="15.75" customHeight="1">
      <c r="B661" s="61"/>
      <c r="C661" s="61"/>
    </row>
    <row r="662" ht="15.75" customHeight="1">
      <c r="B662" s="61"/>
      <c r="C662" s="61"/>
    </row>
    <row r="663" ht="15.75" customHeight="1">
      <c r="B663" s="61"/>
      <c r="C663" s="61"/>
    </row>
    <row r="664" ht="15.75" customHeight="1">
      <c r="B664" s="61"/>
      <c r="C664" s="61"/>
    </row>
    <row r="665" ht="15.75" customHeight="1">
      <c r="B665" s="61"/>
      <c r="C665" s="61"/>
    </row>
    <row r="666" ht="15.75" customHeight="1">
      <c r="B666" s="61"/>
      <c r="C666" s="61"/>
    </row>
    <row r="667" ht="15.75" customHeight="1">
      <c r="B667" s="61"/>
      <c r="C667" s="61"/>
    </row>
    <row r="668" ht="15.75" customHeight="1">
      <c r="B668" s="61"/>
      <c r="C668" s="61"/>
    </row>
    <row r="669" ht="15.75" customHeight="1">
      <c r="B669" s="61"/>
      <c r="C669" s="61"/>
    </row>
    <row r="670" ht="15.75" customHeight="1">
      <c r="B670" s="61"/>
      <c r="C670" s="61"/>
    </row>
    <row r="671" ht="15.75" customHeight="1">
      <c r="B671" s="61"/>
      <c r="C671" s="61"/>
    </row>
    <row r="672" ht="15.75" customHeight="1">
      <c r="B672" s="61"/>
      <c r="C672" s="61"/>
    </row>
    <row r="673" ht="15.75" customHeight="1">
      <c r="B673" s="61"/>
      <c r="C673" s="61"/>
    </row>
    <row r="674" ht="15.75" customHeight="1">
      <c r="B674" s="61"/>
      <c r="C674" s="61"/>
    </row>
    <row r="675" ht="15.75" customHeight="1">
      <c r="B675" s="61"/>
      <c r="C675" s="61"/>
    </row>
    <row r="676" ht="15.75" customHeight="1">
      <c r="B676" s="61"/>
      <c r="C676" s="61"/>
    </row>
    <row r="677" ht="15.75" customHeight="1">
      <c r="B677" s="61"/>
      <c r="C677" s="61"/>
    </row>
    <row r="678" ht="15.75" customHeight="1">
      <c r="B678" s="61"/>
      <c r="C678" s="61"/>
    </row>
    <row r="679" ht="15.75" customHeight="1">
      <c r="B679" s="61"/>
      <c r="C679" s="61"/>
    </row>
    <row r="680" ht="15.75" customHeight="1">
      <c r="B680" s="61"/>
      <c r="C680" s="61"/>
    </row>
    <row r="681" ht="15.75" customHeight="1">
      <c r="B681" s="61"/>
      <c r="C681" s="61"/>
    </row>
    <row r="682" ht="15.75" customHeight="1">
      <c r="B682" s="61"/>
      <c r="C682" s="61"/>
    </row>
    <row r="683" ht="15.75" customHeight="1">
      <c r="B683" s="61"/>
      <c r="C683" s="61"/>
    </row>
    <row r="684" ht="15.75" customHeight="1">
      <c r="B684" s="61"/>
      <c r="C684" s="61"/>
    </row>
    <row r="685" ht="15.75" customHeight="1">
      <c r="B685" s="61"/>
      <c r="C685" s="61"/>
    </row>
    <row r="686" ht="15.75" customHeight="1">
      <c r="B686" s="61"/>
      <c r="C686" s="61"/>
    </row>
    <row r="687" ht="15.75" customHeight="1">
      <c r="B687" s="61"/>
      <c r="C687" s="61"/>
    </row>
    <row r="688" ht="15.75" customHeight="1">
      <c r="B688" s="61"/>
      <c r="C688" s="61"/>
    </row>
    <row r="689" ht="15.75" customHeight="1">
      <c r="B689" s="61"/>
      <c r="C689" s="61"/>
    </row>
    <row r="690" ht="15.75" customHeight="1">
      <c r="B690" s="61"/>
      <c r="C690" s="61"/>
    </row>
    <row r="691" ht="15.75" customHeight="1">
      <c r="B691" s="61"/>
      <c r="C691" s="61"/>
    </row>
    <row r="692" ht="15.75" customHeight="1">
      <c r="B692" s="61"/>
      <c r="C692" s="61"/>
    </row>
    <row r="693" ht="15.75" customHeight="1">
      <c r="B693" s="61"/>
      <c r="C693" s="61"/>
    </row>
    <row r="694" ht="15.75" customHeight="1">
      <c r="B694" s="61"/>
      <c r="C694" s="61"/>
    </row>
    <row r="695" ht="15.75" customHeight="1">
      <c r="B695" s="61"/>
      <c r="C695" s="61"/>
    </row>
    <row r="696" ht="15.75" customHeight="1">
      <c r="B696" s="61"/>
      <c r="C696" s="61"/>
    </row>
    <row r="697" ht="15.75" customHeight="1">
      <c r="B697" s="61"/>
      <c r="C697" s="61"/>
    </row>
    <row r="698" ht="15.75" customHeight="1">
      <c r="B698" s="61"/>
      <c r="C698" s="61"/>
    </row>
    <row r="699" ht="15.75" customHeight="1">
      <c r="B699" s="61"/>
      <c r="C699" s="61"/>
    </row>
    <row r="700" ht="15.75" customHeight="1">
      <c r="B700" s="61"/>
      <c r="C700" s="61"/>
    </row>
    <row r="701" ht="15.75" customHeight="1">
      <c r="B701" s="61"/>
      <c r="C701" s="61"/>
    </row>
    <row r="702" ht="15.75" customHeight="1">
      <c r="B702" s="61"/>
      <c r="C702" s="61"/>
    </row>
    <row r="703" ht="15.75" customHeight="1">
      <c r="B703" s="61"/>
      <c r="C703" s="61"/>
    </row>
    <row r="704" ht="15.75" customHeight="1">
      <c r="B704" s="61"/>
      <c r="C704" s="61"/>
    </row>
    <row r="705" ht="15.75" customHeight="1">
      <c r="B705" s="61"/>
      <c r="C705" s="61"/>
    </row>
    <row r="706" ht="15.75" customHeight="1">
      <c r="B706" s="61"/>
      <c r="C706" s="61"/>
    </row>
    <row r="707" ht="15.75" customHeight="1">
      <c r="B707" s="61"/>
      <c r="C707" s="61"/>
    </row>
    <row r="708" ht="15.75" customHeight="1">
      <c r="B708" s="61"/>
      <c r="C708" s="61"/>
    </row>
    <row r="709" ht="15.75" customHeight="1">
      <c r="B709" s="61"/>
      <c r="C709" s="61"/>
    </row>
    <row r="710" ht="15.75" customHeight="1">
      <c r="B710" s="61"/>
      <c r="C710" s="61"/>
    </row>
    <row r="711" ht="15.75" customHeight="1">
      <c r="B711" s="61"/>
      <c r="C711" s="61"/>
    </row>
    <row r="712" ht="15.75" customHeight="1">
      <c r="B712" s="61"/>
      <c r="C712" s="61"/>
    </row>
    <row r="713" ht="15.75" customHeight="1">
      <c r="B713" s="61"/>
      <c r="C713" s="61"/>
    </row>
    <row r="714" ht="15.75" customHeight="1">
      <c r="B714" s="61"/>
      <c r="C714" s="61"/>
    </row>
    <row r="715" ht="15.75" customHeight="1">
      <c r="B715" s="61"/>
      <c r="C715" s="61"/>
    </row>
    <row r="716" ht="15.75" customHeight="1">
      <c r="B716" s="61"/>
      <c r="C716" s="61"/>
    </row>
    <row r="717" ht="15.75" customHeight="1">
      <c r="B717" s="61"/>
      <c r="C717" s="61"/>
    </row>
    <row r="718" ht="15.75" customHeight="1">
      <c r="B718" s="61"/>
      <c r="C718" s="61"/>
    </row>
    <row r="719" ht="15.75" customHeight="1">
      <c r="B719" s="61"/>
      <c r="C719" s="61"/>
    </row>
    <row r="720" ht="15.75" customHeight="1">
      <c r="B720" s="61"/>
      <c r="C720" s="61"/>
    </row>
    <row r="721" ht="15.75" customHeight="1">
      <c r="B721" s="61"/>
      <c r="C721" s="61"/>
    </row>
    <row r="722" ht="15.75" customHeight="1">
      <c r="B722" s="61"/>
      <c r="C722" s="61"/>
    </row>
    <row r="723" ht="15.75" customHeight="1">
      <c r="B723" s="61"/>
      <c r="C723" s="61"/>
    </row>
    <row r="724" ht="15.75" customHeight="1">
      <c r="B724" s="61"/>
      <c r="C724" s="61"/>
    </row>
    <row r="725" ht="15.75" customHeight="1">
      <c r="B725" s="61"/>
      <c r="C725" s="61"/>
    </row>
    <row r="726" ht="15.75" customHeight="1">
      <c r="B726" s="61"/>
      <c r="C726" s="61"/>
    </row>
    <row r="727" ht="15.75" customHeight="1">
      <c r="B727" s="61"/>
      <c r="C727" s="61"/>
    </row>
    <row r="728" ht="15.75" customHeight="1">
      <c r="B728" s="61"/>
      <c r="C728" s="61"/>
    </row>
    <row r="729" ht="15.75" customHeight="1">
      <c r="B729" s="61"/>
      <c r="C729" s="61"/>
    </row>
    <row r="730" ht="15.75" customHeight="1">
      <c r="B730" s="61"/>
      <c r="C730" s="61"/>
    </row>
    <row r="731" ht="15.75" customHeight="1">
      <c r="B731" s="61"/>
      <c r="C731" s="61"/>
    </row>
    <row r="732" ht="15.75" customHeight="1">
      <c r="B732" s="61"/>
      <c r="C732" s="61"/>
    </row>
    <row r="733" ht="15.75" customHeight="1">
      <c r="B733" s="61"/>
      <c r="C733" s="61"/>
    </row>
    <row r="734" ht="15.75" customHeight="1">
      <c r="B734" s="61"/>
      <c r="C734" s="61"/>
    </row>
    <row r="735" ht="15.75" customHeight="1">
      <c r="B735" s="61"/>
      <c r="C735" s="61"/>
    </row>
    <row r="736" ht="15.75" customHeight="1">
      <c r="B736" s="61"/>
      <c r="C736" s="61"/>
    </row>
    <row r="737" ht="15.75" customHeight="1">
      <c r="B737" s="61"/>
      <c r="C737" s="61"/>
    </row>
    <row r="738" ht="15.75" customHeight="1">
      <c r="B738" s="61"/>
      <c r="C738" s="61"/>
    </row>
    <row r="739" ht="15.75" customHeight="1">
      <c r="B739" s="61"/>
      <c r="C739" s="61"/>
    </row>
    <row r="740" ht="15.75" customHeight="1">
      <c r="B740" s="61"/>
      <c r="C740" s="61"/>
    </row>
    <row r="741" ht="15.75" customHeight="1">
      <c r="B741" s="61"/>
      <c r="C741" s="61"/>
    </row>
    <row r="742" ht="15.75" customHeight="1">
      <c r="B742" s="61"/>
      <c r="C742" s="61"/>
    </row>
    <row r="743" ht="15.75" customHeight="1">
      <c r="B743" s="61"/>
      <c r="C743" s="61"/>
    </row>
    <row r="744" ht="15.75" customHeight="1">
      <c r="B744" s="61"/>
      <c r="C744" s="61"/>
    </row>
    <row r="745" ht="15.75" customHeight="1">
      <c r="B745" s="61"/>
      <c r="C745" s="61"/>
    </row>
    <row r="746" ht="15.75" customHeight="1">
      <c r="B746" s="61"/>
      <c r="C746" s="61"/>
    </row>
    <row r="747" ht="15.75" customHeight="1">
      <c r="B747" s="61"/>
      <c r="C747" s="61"/>
    </row>
    <row r="748" ht="15.75" customHeight="1">
      <c r="B748" s="61"/>
      <c r="C748" s="61"/>
    </row>
    <row r="749" ht="15.75" customHeight="1">
      <c r="B749" s="61"/>
      <c r="C749" s="61"/>
    </row>
    <row r="750" ht="15.75" customHeight="1">
      <c r="B750" s="61"/>
      <c r="C750" s="61"/>
    </row>
    <row r="751" ht="15.75" customHeight="1">
      <c r="B751" s="61"/>
      <c r="C751" s="61"/>
    </row>
    <row r="752" ht="15.75" customHeight="1">
      <c r="B752" s="61"/>
      <c r="C752" s="61"/>
    </row>
    <row r="753" ht="15.75" customHeight="1">
      <c r="B753" s="61"/>
      <c r="C753" s="61"/>
    </row>
    <row r="754" ht="15.75" customHeight="1">
      <c r="B754" s="61"/>
      <c r="C754" s="61"/>
    </row>
    <row r="755" ht="15.75" customHeight="1">
      <c r="B755" s="61"/>
      <c r="C755" s="61"/>
    </row>
    <row r="756" ht="15.75" customHeight="1">
      <c r="B756" s="61"/>
      <c r="C756" s="61"/>
    </row>
    <row r="757" ht="15.75" customHeight="1">
      <c r="B757" s="61"/>
      <c r="C757" s="61"/>
    </row>
    <row r="758" ht="15.75" customHeight="1">
      <c r="B758" s="61"/>
      <c r="C758" s="61"/>
    </row>
    <row r="759" ht="15.75" customHeight="1">
      <c r="B759" s="61"/>
      <c r="C759" s="61"/>
    </row>
    <row r="760" ht="15.75" customHeight="1">
      <c r="B760" s="61"/>
      <c r="C760" s="61"/>
    </row>
    <row r="761" ht="15.75" customHeight="1">
      <c r="B761" s="61"/>
      <c r="C761" s="61"/>
    </row>
    <row r="762" ht="15.75" customHeight="1">
      <c r="B762" s="61"/>
      <c r="C762" s="61"/>
    </row>
    <row r="763" ht="15.75" customHeight="1">
      <c r="B763" s="61"/>
      <c r="C763" s="61"/>
    </row>
    <row r="764" ht="15.75" customHeight="1">
      <c r="B764" s="61"/>
      <c r="C764" s="61"/>
    </row>
    <row r="765" ht="15.75" customHeight="1">
      <c r="B765" s="61"/>
      <c r="C765" s="61"/>
    </row>
    <row r="766" ht="15.75" customHeight="1">
      <c r="B766" s="61"/>
      <c r="C766" s="61"/>
    </row>
    <row r="767" ht="15.75" customHeight="1">
      <c r="B767" s="61"/>
      <c r="C767" s="61"/>
    </row>
    <row r="768" ht="15.75" customHeight="1">
      <c r="B768" s="61"/>
      <c r="C768" s="61"/>
    </row>
    <row r="769" ht="15.75" customHeight="1">
      <c r="B769" s="61"/>
      <c r="C769" s="61"/>
    </row>
    <row r="770" ht="15.75" customHeight="1">
      <c r="B770" s="61"/>
      <c r="C770" s="61"/>
    </row>
    <row r="771" ht="15.75" customHeight="1">
      <c r="B771" s="61"/>
      <c r="C771" s="61"/>
    </row>
    <row r="772" ht="15.75" customHeight="1">
      <c r="B772" s="61"/>
      <c r="C772" s="61"/>
    </row>
    <row r="773" ht="15.75" customHeight="1">
      <c r="B773" s="61"/>
      <c r="C773" s="61"/>
    </row>
    <row r="774" ht="15.75" customHeight="1">
      <c r="B774" s="61"/>
      <c r="C774" s="61"/>
    </row>
    <row r="775" ht="15.75" customHeight="1">
      <c r="B775" s="61"/>
      <c r="C775" s="61"/>
    </row>
    <row r="776" ht="15.75" customHeight="1">
      <c r="B776" s="61"/>
      <c r="C776" s="61"/>
    </row>
    <row r="777" ht="15.75" customHeight="1">
      <c r="B777" s="61"/>
      <c r="C777" s="61"/>
    </row>
    <row r="778" ht="15.75" customHeight="1">
      <c r="B778" s="61"/>
      <c r="C778" s="61"/>
    </row>
    <row r="779" ht="15.75" customHeight="1">
      <c r="B779" s="61"/>
      <c r="C779" s="61"/>
    </row>
    <row r="780" ht="15.75" customHeight="1">
      <c r="B780" s="61"/>
      <c r="C780" s="61"/>
    </row>
    <row r="781" ht="15.75" customHeight="1">
      <c r="B781" s="61"/>
      <c r="C781" s="61"/>
    </row>
    <row r="782" ht="15.75" customHeight="1">
      <c r="B782" s="61"/>
      <c r="C782" s="61"/>
    </row>
    <row r="783" ht="15.75" customHeight="1">
      <c r="B783" s="61"/>
      <c r="C783" s="61"/>
    </row>
    <row r="784" ht="15.75" customHeight="1">
      <c r="B784" s="61"/>
      <c r="C784" s="61"/>
    </row>
    <row r="785" ht="15.75" customHeight="1">
      <c r="B785" s="61"/>
      <c r="C785" s="61"/>
    </row>
    <row r="786" ht="15.75" customHeight="1">
      <c r="B786" s="61"/>
      <c r="C786" s="61"/>
    </row>
    <row r="787" ht="15.75" customHeight="1">
      <c r="B787" s="61"/>
      <c r="C787" s="61"/>
    </row>
    <row r="788" ht="15.75" customHeight="1">
      <c r="B788" s="61"/>
      <c r="C788" s="61"/>
    </row>
    <row r="789" ht="15.75" customHeight="1">
      <c r="B789" s="61"/>
      <c r="C789" s="61"/>
    </row>
    <row r="790" ht="15.75" customHeight="1">
      <c r="B790" s="61"/>
      <c r="C790" s="61"/>
    </row>
    <row r="791" ht="15.75" customHeight="1">
      <c r="B791" s="61"/>
      <c r="C791" s="61"/>
    </row>
    <row r="792" ht="15.75" customHeight="1">
      <c r="B792" s="61"/>
      <c r="C792" s="61"/>
    </row>
    <row r="793" ht="15.75" customHeight="1">
      <c r="B793" s="61"/>
      <c r="C793" s="61"/>
    </row>
    <row r="794" ht="15.75" customHeight="1">
      <c r="B794" s="61"/>
      <c r="C794" s="61"/>
    </row>
    <row r="795" ht="15.75" customHeight="1">
      <c r="B795" s="61"/>
      <c r="C795" s="61"/>
    </row>
    <row r="796" ht="15.75" customHeight="1">
      <c r="B796" s="61"/>
      <c r="C796" s="61"/>
    </row>
    <row r="797" ht="15.75" customHeight="1">
      <c r="B797" s="61"/>
      <c r="C797" s="61"/>
    </row>
    <row r="798" ht="15.75" customHeight="1">
      <c r="B798" s="61"/>
      <c r="C798" s="61"/>
    </row>
    <row r="799" ht="15.75" customHeight="1">
      <c r="B799" s="61"/>
      <c r="C799" s="61"/>
    </row>
    <row r="800" ht="15.75" customHeight="1">
      <c r="B800" s="61"/>
      <c r="C800" s="61"/>
    </row>
    <row r="801" ht="15.75" customHeight="1">
      <c r="B801" s="61"/>
      <c r="C801" s="61"/>
    </row>
    <row r="802" ht="15.75" customHeight="1">
      <c r="B802" s="61"/>
      <c r="C802" s="61"/>
    </row>
    <row r="803" ht="15.75" customHeight="1">
      <c r="B803" s="61"/>
      <c r="C803" s="61"/>
    </row>
    <row r="804" ht="15.75" customHeight="1">
      <c r="B804" s="61"/>
      <c r="C804" s="61"/>
    </row>
    <row r="805" ht="15.75" customHeight="1">
      <c r="B805" s="61"/>
      <c r="C805" s="61"/>
    </row>
    <row r="806" ht="15.75" customHeight="1">
      <c r="B806" s="61"/>
      <c r="C806" s="61"/>
    </row>
    <row r="807" ht="15.75" customHeight="1">
      <c r="B807" s="61"/>
      <c r="C807" s="61"/>
    </row>
    <row r="808" ht="15.75" customHeight="1">
      <c r="B808" s="61"/>
      <c r="C808" s="61"/>
    </row>
    <row r="809" ht="15.75" customHeight="1">
      <c r="B809" s="61"/>
      <c r="C809" s="61"/>
    </row>
    <row r="810" ht="15.75" customHeight="1">
      <c r="B810" s="61"/>
      <c r="C810" s="61"/>
    </row>
    <row r="811" ht="15.75" customHeight="1">
      <c r="B811" s="61"/>
      <c r="C811" s="61"/>
    </row>
    <row r="812" ht="15.75" customHeight="1">
      <c r="B812" s="61"/>
      <c r="C812" s="61"/>
    </row>
    <row r="813" ht="15.75" customHeight="1">
      <c r="B813" s="61"/>
      <c r="C813" s="61"/>
    </row>
    <row r="814" ht="15.75" customHeight="1">
      <c r="B814" s="61"/>
      <c r="C814" s="61"/>
    </row>
    <row r="815" ht="15.75" customHeight="1">
      <c r="B815" s="61"/>
      <c r="C815" s="61"/>
    </row>
    <row r="816" ht="15.75" customHeight="1">
      <c r="B816" s="61"/>
      <c r="C816" s="61"/>
    </row>
    <row r="817" ht="15.75" customHeight="1">
      <c r="B817" s="61"/>
      <c r="C817" s="61"/>
    </row>
    <row r="818" ht="15.75" customHeight="1">
      <c r="B818" s="61"/>
      <c r="C818" s="61"/>
    </row>
    <row r="819" ht="15.75" customHeight="1">
      <c r="B819" s="61"/>
      <c r="C819" s="61"/>
    </row>
    <row r="820" ht="15.75" customHeight="1">
      <c r="B820" s="61"/>
      <c r="C820" s="61"/>
    </row>
    <row r="821" ht="15.75" customHeight="1">
      <c r="B821" s="61"/>
      <c r="C821" s="61"/>
    </row>
    <row r="822" ht="15.75" customHeight="1">
      <c r="B822" s="61"/>
      <c r="C822" s="61"/>
    </row>
    <row r="823" ht="15.75" customHeight="1">
      <c r="B823" s="61"/>
      <c r="C823" s="61"/>
    </row>
    <row r="824" ht="15.75" customHeight="1">
      <c r="B824" s="61"/>
      <c r="C824" s="61"/>
    </row>
    <row r="825" ht="15.75" customHeight="1">
      <c r="B825" s="61"/>
      <c r="C825" s="61"/>
    </row>
    <row r="826" ht="15.75" customHeight="1">
      <c r="B826" s="61"/>
      <c r="C826" s="61"/>
    </row>
    <row r="827" ht="15.75" customHeight="1">
      <c r="B827" s="61"/>
      <c r="C827" s="61"/>
    </row>
    <row r="828" ht="15.75" customHeight="1">
      <c r="B828" s="61"/>
      <c r="C828" s="61"/>
    </row>
    <row r="829" ht="15.75" customHeight="1">
      <c r="B829" s="61"/>
      <c r="C829" s="61"/>
    </row>
    <row r="830" ht="15.75" customHeight="1">
      <c r="B830" s="61"/>
      <c r="C830" s="61"/>
    </row>
    <row r="831" ht="15.75" customHeight="1">
      <c r="B831" s="61"/>
      <c r="C831" s="61"/>
    </row>
    <row r="832" ht="15.75" customHeight="1">
      <c r="B832" s="61"/>
      <c r="C832" s="61"/>
    </row>
    <row r="833" ht="15.75" customHeight="1">
      <c r="B833" s="61"/>
      <c r="C833" s="61"/>
    </row>
    <row r="834" ht="15.75" customHeight="1">
      <c r="B834" s="61"/>
      <c r="C834" s="61"/>
    </row>
    <row r="835" ht="15.75" customHeight="1">
      <c r="B835" s="61"/>
      <c r="C835" s="61"/>
    </row>
    <row r="836" ht="15.75" customHeight="1">
      <c r="B836" s="61"/>
      <c r="C836" s="61"/>
    </row>
    <row r="837" ht="15.75" customHeight="1">
      <c r="B837" s="61"/>
      <c r="C837" s="61"/>
    </row>
    <row r="838" ht="15.75" customHeight="1">
      <c r="B838" s="61"/>
      <c r="C838" s="61"/>
    </row>
    <row r="839" ht="15.75" customHeight="1">
      <c r="B839" s="61"/>
      <c r="C839" s="61"/>
    </row>
    <row r="840" ht="15.75" customHeight="1">
      <c r="B840" s="61"/>
      <c r="C840" s="61"/>
    </row>
    <row r="841" ht="15.75" customHeight="1">
      <c r="B841" s="61"/>
      <c r="C841" s="61"/>
    </row>
    <row r="842" ht="15.75" customHeight="1">
      <c r="B842" s="61"/>
      <c r="C842" s="61"/>
    </row>
    <row r="843" ht="15.75" customHeight="1">
      <c r="B843" s="61"/>
      <c r="C843" s="61"/>
    </row>
    <row r="844" ht="15.75" customHeight="1">
      <c r="B844" s="61"/>
      <c r="C844" s="61"/>
    </row>
    <row r="845" ht="15.75" customHeight="1">
      <c r="B845" s="61"/>
      <c r="C845" s="61"/>
    </row>
    <row r="846" ht="15.75" customHeight="1">
      <c r="B846" s="61"/>
      <c r="C846" s="61"/>
    </row>
    <row r="847" ht="15.75" customHeight="1">
      <c r="B847" s="61"/>
      <c r="C847" s="61"/>
    </row>
    <row r="848" ht="15.75" customHeight="1">
      <c r="B848" s="61"/>
      <c r="C848" s="61"/>
    </row>
    <row r="849" ht="15.75" customHeight="1">
      <c r="B849" s="61"/>
      <c r="C849" s="61"/>
    </row>
    <row r="850" ht="15.75" customHeight="1">
      <c r="B850" s="61"/>
      <c r="C850" s="61"/>
    </row>
    <row r="851" ht="15.75" customHeight="1">
      <c r="B851" s="61"/>
      <c r="C851" s="61"/>
    </row>
    <row r="852" ht="15.75" customHeight="1">
      <c r="B852" s="61"/>
      <c r="C852" s="61"/>
    </row>
    <row r="853" ht="15.75" customHeight="1">
      <c r="B853" s="61"/>
      <c r="C853" s="61"/>
    </row>
    <row r="854" ht="15.75" customHeight="1">
      <c r="B854" s="61"/>
      <c r="C854" s="61"/>
    </row>
    <row r="855" ht="15.75" customHeight="1">
      <c r="B855" s="61"/>
      <c r="C855" s="61"/>
    </row>
    <row r="856" ht="15.75" customHeight="1">
      <c r="B856" s="61"/>
      <c r="C856" s="61"/>
    </row>
    <row r="857" ht="15.75" customHeight="1">
      <c r="B857" s="61"/>
      <c r="C857" s="61"/>
    </row>
    <row r="858" ht="15.75" customHeight="1">
      <c r="B858" s="61"/>
      <c r="C858" s="61"/>
    </row>
    <row r="859" ht="15.75" customHeight="1">
      <c r="B859" s="61"/>
      <c r="C859" s="61"/>
    </row>
    <row r="860" ht="15.75" customHeight="1">
      <c r="B860" s="61"/>
      <c r="C860" s="61"/>
    </row>
    <row r="861" ht="15.75" customHeight="1">
      <c r="B861" s="61"/>
      <c r="C861" s="61"/>
    </row>
    <row r="862" ht="15.75" customHeight="1">
      <c r="B862" s="61"/>
      <c r="C862" s="61"/>
    </row>
    <row r="863" ht="15.75" customHeight="1">
      <c r="B863" s="61"/>
      <c r="C863" s="61"/>
    </row>
    <row r="864" ht="15.75" customHeight="1">
      <c r="B864" s="61"/>
      <c r="C864" s="61"/>
    </row>
    <row r="865" ht="15.75" customHeight="1">
      <c r="B865" s="61"/>
      <c r="C865" s="61"/>
    </row>
    <row r="866" ht="15.75" customHeight="1">
      <c r="B866" s="61"/>
      <c r="C866" s="61"/>
    </row>
    <row r="867" ht="15.75" customHeight="1">
      <c r="B867" s="61"/>
      <c r="C867" s="61"/>
    </row>
    <row r="868" ht="15.75" customHeight="1">
      <c r="B868" s="61"/>
      <c r="C868" s="61"/>
    </row>
    <row r="869" ht="15.75" customHeight="1">
      <c r="B869" s="61"/>
      <c r="C869" s="61"/>
    </row>
    <row r="870" ht="15.75" customHeight="1">
      <c r="B870" s="61"/>
      <c r="C870" s="61"/>
    </row>
    <row r="871" ht="15.75" customHeight="1">
      <c r="B871" s="61"/>
      <c r="C871" s="61"/>
    </row>
    <row r="872" ht="15.75" customHeight="1">
      <c r="B872" s="61"/>
      <c r="C872" s="61"/>
    </row>
    <row r="873" ht="15.75" customHeight="1">
      <c r="B873" s="61"/>
      <c r="C873" s="61"/>
    </row>
    <row r="874" ht="15.75" customHeight="1">
      <c r="B874" s="61"/>
      <c r="C874" s="61"/>
    </row>
    <row r="875" ht="15.75" customHeight="1">
      <c r="B875" s="61"/>
      <c r="C875" s="61"/>
    </row>
    <row r="876" ht="15.75" customHeight="1">
      <c r="B876" s="61"/>
      <c r="C876" s="61"/>
    </row>
    <row r="877" ht="15.75" customHeight="1">
      <c r="B877" s="61"/>
      <c r="C877" s="61"/>
    </row>
    <row r="878" ht="15.75" customHeight="1">
      <c r="B878" s="61"/>
      <c r="C878" s="61"/>
    </row>
    <row r="879" ht="15.75" customHeight="1">
      <c r="B879" s="61"/>
      <c r="C879" s="61"/>
    </row>
    <row r="880" ht="15.75" customHeight="1">
      <c r="B880" s="61"/>
      <c r="C880" s="61"/>
    </row>
    <row r="881" ht="15.75" customHeight="1">
      <c r="B881" s="61"/>
      <c r="C881" s="61"/>
    </row>
    <row r="882" ht="15.75" customHeight="1">
      <c r="B882" s="61"/>
      <c r="C882" s="61"/>
    </row>
    <row r="883" ht="15.75" customHeight="1">
      <c r="B883" s="61"/>
      <c r="C883" s="61"/>
    </row>
    <row r="884" ht="15.75" customHeight="1">
      <c r="B884" s="61"/>
      <c r="C884" s="61"/>
    </row>
    <row r="885" ht="15.75" customHeight="1">
      <c r="B885" s="61"/>
      <c r="C885" s="61"/>
    </row>
    <row r="886" ht="15.75" customHeight="1">
      <c r="B886" s="61"/>
      <c r="C886" s="61"/>
    </row>
    <row r="887" ht="15.75" customHeight="1">
      <c r="B887" s="61"/>
      <c r="C887" s="61"/>
    </row>
    <row r="888" ht="15.75" customHeight="1">
      <c r="B888" s="61"/>
      <c r="C888" s="61"/>
    </row>
    <row r="889" ht="15.75" customHeight="1">
      <c r="B889" s="61"/>
      <c r="C889" s="61"/>
    </row>
    <row r="890" ht="15.75" customHeight="1">
      <c r="B890" s="61"/>
      <c r="C890" s="61"/>
    </row>
    <row r="891" ht="15.75" customHeight="1">
      <c r="B891" s="61"/>
      <c r="C891" s="61"/>
    </row>
    <row r="892" ht="15.75" customHeight="1">
      <c r="B892" s="61"/>
      <c r="C892" s="61"/>
    </row>
    <row r="893" ht="15.75" customHeight="1">
      <c r="B893" s="61"/>
      <c r="C893" s="61"/>
    </row>
    <row r="894" ht="15.75" customHeight="1">
      <c r="B894" s="61"/>
      <c r="C894" s="61"/>
    </row>
    <row r="895" ht="15.75" customHeight="1">
      <c r="B895" s="61"/>
      <c r="C895" s="61"/>
    </row>
    <row r="896" ht="15.75" customHeight="1">
      <c r="B896" s="61"/>
      <c r="C896" s="61"/>
    </row>
    <row r="897" ht="15.75" customHeight="1">
      <c r="B897" s="61"/>
      <c r="C897" s="61"/>
    </row>
    <row r="898" ht="15.75" customHeight="1">
      <c r="B898" s="61"/>
      <c r="C898" s="61"/>
    </row>
    <row r="899" ht="15.75" customHeight="1">
      <c r="B899" s="61"/>
      <c r="C899" s="61"/>
    </row>
    <row r="900" ht="15.75" customHeight="1">
      <c r="B900" s="61"/>
      <c r="C900" s="61"/>
    </row>
    <row r="901" ht="15.75" customHeight="1">
      <c r="B901" s="61"/>
      <c r="C901" s="61"/>
    </row>
    <row r="902" ht="15.75" customHeight="1">
      <c r="B902" s="61"/>
      <c r="C902" s="61"/>
    </row>
    <row r="903" ht="15.75" customHeight="1">
      <c r="B903" s="61"/>
      <c r="C903" s="61"/>
    </row>
    <row r="904" ht="15.75" customHeight="1">
      <c r="B904" s="61"/>
      <c r="C904" s="61"/>
    </row>
    <row r="905" ht="15.75" customHeight="1">
      <c r="B905" s="61"/>
      <c r="C905" s="61"/>
    </row>
    <row r="906" ht="15.75" customHeight="1">
      <c r="B906" s="61"/>
      <c r="C906" s="61"/>
    </row>
    <row r="907" ht="15.75" customHeight="1">
      <c r="B907" s="61"/>
      <c r="C907" s="61"/>
    </row>
    <row r="908" ht="15.75" customHeight="1">
      <c r="B908" s="61"/>
      <c r="C908" s="61"/>
    </row>
    <row r="909" ht="15.75" customHeight="1">
      <c r="B909" s="61"/>
      <c r="C909" s="61"/>
    </row>
    <row r="910" ht="15.75" customHeight="1">
      <c r="B910" s="61"/>
      <c r="C910" s="61"/>
    </row>
    <row r="911" ht="15.75" customHeight="1">
      <c r="B911" s="61"/>
      <c r="C911" s="61"/>
    </row>
    <row r="912" ht="15.75" customHeight="1">
      <c r="B912" s="61"/>
      <c r="C912" s="61"/>
    </row>
    <row r="913" ht="15.75" customHeight="1">
      <c r="B913" s="61"/>
      <c r="C913" s="61"/>
    </row>
    <row r="914" ht="15.75" customHeight="1">
      <c r="B914" s="61"/>
      <c r="C914" s="61"/>
    </row>
    <row r="915" ht="15.75" customHeight="1">
      <c r="B915" s="61"/>
      <c r="C915" s="61"/>
    </row>
    <row r="916" ht="15.75" customHeight="1">
      <c r="B916" s="61"/>
      <c r="C916" s="61"/>
    </row>
    <row r="917" ht="15.75" customHeight="1">
      <c r="B917" s="61"/>
      <c r="C917" s="61"/>
    </row>
    <row r="918" ht="15.75" customHeight="1">
      <c r="B918" s="61"/>
      <c r="C918" s="61"/>
    </row>
    <row r="919" ht="15.75" customHeight="1">
      <c r="B919" s="61"/>
      <c r="C919" s="61"/>
    </row>
    <row r="920" ht="15.75" customHeight="1">
      <c r="B920" s="61"/>
      <c r="C920" s="61"/>
    </row>
    <row r="921" ht="15.75" customHeight="1">
      <c r="B921" s="61"/>
      <c r="C921" s="61"/>
    </row>
    <row r="922" ht="15.75" customHeight="1">
      <c r="B922" s="61"/>
      <c r="C922" s="61"/>
    </row>
    <row r="923" ht="15.75" customHeight="1">
      <c r="B923" s="61"/>
      <c r="C923" s="61"/>
    </row>
    <row r="924" ht="15.75" customHeight="1">
      <c r="B924" s="61"/>
      <c r="C924" s="61"/>
    </row>
    <row r="925" ht="15.75" customHeight="1">
      <c r="B925" s="61"/>
      <c r="C925" s="61"/>
    </row>
    <row r="926" ht="15.75" customHeight="1">
      <c r="B926" s="61"/>
      <c r="C926" s="61"/>
    </row>
    <row r="927" ht="15.75" customHeight="1">
      <c r="B927" s="61"/>
      <c r="C927" s="61"/>
    </row>
    <row r="928" ht="15.75" customHeight="1">
      <c r="B928" s="61"/>
      <c r="C928" s="61"/>
    </row>
    <row r="929" ht="15.75" customHeight="1">
      <c r="B929" s="61"/>
      <c r="C929" s="61"/>
    </row>
    <row r="930" ht="15.75" customHeight="1">
      <c r="B930" s="61"/>
      <c r="C930" s="61"/>
    </row>
    <row r="931" ht="15.75" customHeight="1">
      <c r="B931" s="61"/>
      <c r="C931" s="61"/>
    </row>
    <row r="932" ht="15.75" customHeight="1">
      <c r="B932" s="61"/>
      <c r="C932" s="61"/>
    </row>
    <row r="933" ht="15.75" customHeight="1">
      <c r="B933" s="61"/>
      <c r="C933" s="61"/>
    </row>
    <row r="934" ht="15.75" customHeight="1">
      <c r="B934" s="61"/>
      <c r="C934" s="61"/>
    </row>
    <row r="935" ht="15.75" customHeight="1">
      <c r="B935" s="61"/>
      <c r="C935" s="61"/>
    </row>
    <row r="936" ht="15.75" customHeight="1">
      <c r="B936" s="61"/>
      <c r="C936" s="61"/>
    </row>
    <row r="937" ht="15.75" customHeight="1">
      <c r="B937" s="61"/>
      <c r="C937" s="61"/>
    </row>
    <row r="938" ht="15.75" customHeight="1">
      <c r="B938" s="61"/>
      <c r="C938" s="61"/>
    </row>
    <row r="939" ht="15.75" customHeight="1">
      <c r="B939" s="61"/>
      <c r="C939" s="61"/>
    </row>
    <row r="940" ht="15.75" customHeight="1">
      <c r="B940" s="61"/>
      <c r="C940" s="61"/>
    </row>
    <row r="941" ht="15.75" customHeight="1">
      <c r="B941" s="61"/>
      <c r="C941" s="61"/>
    </row>
    <row r="942" ht="15.75" customHeight="1">
      <c r="B942" s="61"/>
      <c r="C942" s="61"/>
    </row>
    <row r="943" ht="15.75" customHeight="1">
      <c r="B943" s="61"/>
      <c r="C943" s="61"/>
    </row>
    <row r="944" ht="15.75" customHeight="1">
      <c r="B944" s="61"/>
      <c r="C944" s="61"/>
    </row>
    <row r="945" ht="15.75" customHeight="1">
      <c r="B945" s="61"/>
      <c r="C945" s="61"/>
    </row>
    <row r="946" ht="15.75" customHeight="1">
      <c r="B946" s="61"/>
      <c r="C946" s="61"/>
    </row>
    <row r="947" ht="15.75" customHeight="1">
      <c r="B947" s="61"/>
      <c r="C947" s="61"/>
    </row>
    <row r="948" ht="15.75" customHeight="1">
      <c r="B948" s="61"/>
      <c r="C948" s="61"/>
    </row>
    <row r="949" ht="15.75" customHeight="1">
      <c r="B949" s="61"/>
      <c r="C949" s="61"/>
    </row>
    <row r="950" ht="15.75" customHeight="1">
      <c r="B950" s="61"/>
      <c r="C950" s="61"/>
    </row>
    <row r="951" ht="15.75" customHeight="1">
      <c r="B951" s="61"/>
      <c r="C951" s="61"/>
    </row>
    <row r="952" ht="15.75" customHeight="1">
      <c r="B952" s="61"/>
      <c r="C952" s="61"/>
    </row>
    <row r="953" ht="15.75" customHeight="1">
      <c r="B953" s="61"/>
      <c r="C953" s="61"/>
    </row>
    <row r="954" ht="15.75" customHeight="1">
      <c r="B954" s="61"/>
      <c r="C954" s="61"/>
    </row>
    <row r="955" ht="15.75" customHeight="1">
      <c r="B955" s="61"/>
      <c r="C955" s="61"/>
    </row>
    <row r="956" ht="15.75" customHeight="1">
      <c r="B956" s="61"/>
      <c r="C956" s="61"/>
    </row>
    <row r="957" ht="15.75" customHeight="1">
      <c r="B957" s="61"/>
      <c r="C957" s="61"/>
    </row>
    <row r="958" ht="15.75" customHeight="1">
      <c r="B958" s="61"/>
      <c r="C958" s="61"/>
    </row>
    <row r="959" ht="15.75" customHeight="1">
      <c r="B959" s="61"/>
      <c r="C959" s="61"/>
    </row>
    <row r="960" ht="15.75" customHeight="1">
      <c r="B960" s="61"/>
      <c r="C960" s="61"/>
    </row>
    <row r="961" ht="15.75" customHeight="1">
      <c r="B961" s="61"/>
      <c r="C961" s="61"/>
    </row>
    <row r="962" ht="15.75" customHeight="1">
      <c r="B962" s="61"/>
      <c r="C962" s="61"/>
    </row>
    <row r="963" ht="15.75" customHeight="1">
      <c r="B963" s="61"/>
      <c r="C963" s="61"/>
    </row>
    <row r="964" ht="15.75" customHeight="1">
      <c r="B964" s="61"/>
      <c r="C964" s="61"/>
    </row>
    <row r="965" ht="15.75" customHeight="1">
      <c r="B965" s="61"/>
      <c r="C965" s="61"/>
    </row>
    <row r="966" ht="15.75" customHeight="1">
      <c r="B966" s="61"/>
      <c r="C966" s="61"/>
    </row>
    <row r="967" ht="15.75" customHeight="1">
      <c r="B967" s="61"/>
      <c r="C967" s="61"/>
    </row>
    <row r="968" ht="15.75" customHeight="1">
      <c r="B968" s="61"/>
      <c r="C968" s="61"/>
    </row>
    <row r="969" ht="15.75" customHeight="1">
      <c r="B969" s="61"/>
      <c r="C969" s="61"/>
    </row>
    <row r="970" ht="15.75" customHeight="1">
      <c r="B970" s="61"/>
      <c r="C970" s="61"/>
    </row>
    <row r="971" ht="15.75" customHeight="1">
      <c r="B971" s="61"/>
      <c r="C971" s="61"/>
    </row>
    <row r="972" ht="15.75" customHeight="1">
      <c r="B972" s="61"/>
      <c r="C972" s="61"/>
    </row>
    <row r="973" ht="15.75" customHeight="1">
      <c r="B973" s="61"/>
      <c r="C973" s="61"/>
    </row>
    <row r="974" ht="15.75" customHeight="1">
      <c r="B974" s="61"/>
      <c r="C974" s="61"/>
    </row>
    <row r="975" ht="15.75" customHeight="1">
      <c r="B975" s="61"/>
      <c r="C975" s="61"/>
    </row>
    <row r="976" ht="15.75" customHeight="1">
      <c r="B976" s="61"/>
      <c r="C976" s="61"/>
    </row>
    <row r="977" ht="15.75" customHeight="1">
      <c r="B977" s="61"/>
      <c r="C977" s="61"/>
    </row>
    <row r="978" ht="15.75" customHeight="1">
      <c r="B978" s="61"/>
      <c r="C978" s="61"/>
    </row>
    <row r="979" ht="15.75" customHeight="1">
      <c r="B979" s="61"/>
      <c r="C979" s="61"/>
    </row>
    <row r="980" ht="15.75" customHeight="1">
      <c r="B980" s="61"/>
      <c r="C980" s="61"/>
    </row>
    <row r="981" ht="15.75" customHeight="1">
      <c r="B981" s="61"/>
      <c r="C981" s="61"/>
    </row>
    <row r="982" ht="15.75" customHeight="1">
      <c r="B982" s="61"/>
      <c r="C982" s="61"/>
    </row>
    <row r="983" ht="15.75" customHeight="1">
      <c r="B983" s="61"/>
      <c r="C983" s="61"/>
    </row>
    <row r="984" ht="15.75" customHeight="1">
      <c r="B984" s="61"/>
      <c r="C984" s="61"/>
    </row>
    <row r="985" ht="15.75" customHeight="1">
      <c r="B985" s="61"/>
      <c r="C985" s="61"/>
    </row>
    <row r="986" ht="15.75" customHeight="1">
      <c r="B986" s="61"/>
      <c r="C986" s="61"/>
    </row>
    <row r="987" ht="15.75" customHeight="1">
      <c r="B987" s="61"/>
      <c r="C987" s="61"/>
    </row>
    <row r="988" ht="15.75" customHeight="1">
      <c r="B988" s="61"/>
      <c r="C988" s="61"/>
    </row>
    <row r="989" ht="15.75" customHeight="1">
      <c r="B989" s="61"/>
      <c r="C989" s="61"/>
    </row>
    <row r="990" ht="15.75" customHeight="1">
      <c r="B990" s="61"/>
      <c r="C990" s="61"/>
    </row>
    <row r="991" ht="15.75" customHeight="1">
      <c r="B991" s="61"/>
      <c r="C991" s="61"/>
    </row>
    <row r="992" ht="15.75" customHeight="1">
      <c r="B992" s="61"/>
      <c r="C992" s="61"/>
    </row>
    <row r="993" ht="15.75" customHeight="1">
      <c r="B993" s="61"/>
      <c r="C993" s="61"/>
    </row>
    <row r="994" ht="15.75" customHeight="1">
      <c r="B994" s="61"/>
      <c r="C994" s="61"/>
    </row>
    <row r="995" ht="15.75" customHeight="1">
      <c r="B995" s="61"/>
      <c r="C995" s="61"/>
    </row>
    <row r="996" ht="15.75" customHeight="1">
      <c r="B996" s="61"/>
      <c r="C996" s="61"/>
    </row>
    <row r="997" ht="15.75" customHeight="1">
      <c r="B997" s="61"/>
      <c r="C997" s="61"/>
    </row>
    <row r="998" ht="15.75" customHeight="1">
      <c r="B998" s="61"/>
      <c r="C998" s="61"/>
    </row>
    <row r="999" ht="15.75" customHeight="1">
      <c r="B999" s="61"/>
      <c r="C999" s="61"/>
    </row>
    <row r="1000" ht="15.75" customHeight="1">
      <c r="B1000" s="61"/>
      <c r="C1000" s="6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showGridLines="0" workbookViewId="0">
      <pane xSplit="11.0" ySplit="8.0" topLeftCell="L9" activePane="bottomRight" state="frozen"/>
      <selection activeCell="L1" sqref="L1" pane="topRight"/>
      <selection activeCell="A9" sqref="A9" pane="bottomLeft"/>
      <selection activeCell="L9" sqref="L9" pane="bottomRight"/>
    </sheetView>
  </sheetViews>
  <sheetFormatPr customHeight="1" defaultColWidth="12.63" defaultRowHeight="15.0" outlineLevelCol="1"/>
  <cols>
    <col customWidth="1" min="1" max="1" width="2.63"/>
    <col customWidth="1" min="2" max="5" width="10.0"/>
    <col customWidth="1" min="6" max="7" width="12.75"/>
    <col customWidth="1" min="8" max="8" width="6.5"/>
    <col customWidth="1" min="9" max="9" width="8.25"/>
    <col customWidth="1" min="10" max="10" width="8.5"/>
    <col collapsed="1" customWidth="1" min="11" max="11" width="7.88"/>
    <col customWidth="1" hidden="1" min="12" max="12" width="3.13" outlineLevel="1"/>
    <col customWidth="1" hidden="1" min="13" max="13" width="11.38" outlineLevel="1"/>
    <col customWidth="1" hidden="1" min="14" max="14" width="6.75" outlineLevel="1"/>
    <col customWidth="1" hidden="1" min="15" max="15" width="16.13" outlineLevel="1"/>
    <col customWidth="1" hidden="1" min="16" max="16" width="11.0" outlineLevel="1"/>
    <col customWidth="1" hidden="1" min="17" max="17" width="23.75" outlineLevel="1"/>
    <col customWidth="1" hidden="1" min="18" max="29" width="11.0" outlineLevel="1"/>
    <col customWidth="1" hidden="1" min="30" max="41" width="10.75" outlineLevel="1"/>
    <col customWidth="1" min="42" max="42" width="13.63"/>
    <col customWidth="1" min="43" max="53" width="11.75"/>
    <col customWidth="1" min="54" max="89" width="10.75"/>
    <col customWidth="1" min="90" max="90" width="11.0"/>
    <col customWidth="1" min="91" max="91" width="12.63"/>
    <col customWidth="1" min="92" max="92" width="11.63"/>
    <col customWidth="1" min="93" max="94" width="11.0"/>
  </cols>
  <sheetData>
    <row r="1" ht="15.75" customHeight="1">
      <c r="A1" s="62" t="s">
        <v>245</v>
      </c>
      <c r="B1" s="61"/>
      <c r="C1" s="61"/>
      <c r="D1" s="61"/>
      <c r="E1" s="61"/>
      <c r="F1" s="61"/>
      <c r="G1" s="61"/>
      <c r="H1" s="61"/>
      <c r="I1" s="61"/>
      <c r="J1" s="61"/>
      <c r="K1" s="61"/>
      <c r="L1" s="61"/>
      <c r="M1" s="61"/>
      <c r="N1" s="61"/>
      <c r="O1" s="61"/>
      <c r="P1" s="63"/>
      <c r="Q1" s="61"/>
      <c r="R1" s="61"/>
      <c r="S1" s="61"/>
      <c r="T1" s="61"/>
      <c r="U1" s="61"/>
      <c r="V1" s="61"/>
      <c r="W1" s="61"/>
      <c r="X1" s="61"/>
      <c r="Y1" s="61"/>
      <c r="Z1" s="61"/>
      <c r="AA1" s="61"/>
      <c r="AB1" s="61"/>
      <c r="AC1" s="61"/>
      <c r="AD1" s="61"/>
      <c r="AE1" s="61"/>
      <c r="AF1" s="61"/>
      <c r="AG1" s="61"/>
      <c r="AH1" s="61"/>
      <c r="AI1" s="61"/>
      <c r="AJ1" s="61"/>
      <c r="AK1" s="61"/>
      <c r="AL1" s="61"/>
      <c r="AM1" s="61"/>
      <c r="AN1" s="61"/>
      <c r="AO1" s="61"/>
      <c r="AP1" s="38">
        <v>2.844429912E7</v>
      </c>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row>
    <row r="2" ht="15.75" customHeight="1">
      <c r="A2" s="61"/>
      <c r="B2" s="64"/>
      <c r="C2" s="64"/>
      <c r="D2" s="64"/>
      <c r="E2" s="64" t="s">
        <v>246</v>
      </c>
      <c r="F2" s="63"/>
      <c r="G2" s="61"/>
      <c r="H2" s="61"/>
      <c r="I2" s="61"/>
      <c r="J2" s="61"/>
      <c r="K2" s="61"/>
      <c r="L2" s="61"/>
      <c r="M2" s="61"/>
      <c r="N2" s="61"/>
      <c r="O2" s="61"/>
      <c r="P2" s="63"/>
      <c r="Q2" s="61"/>
      <c r="R2" s="61"/>
      <c r="S2" s="61"/>
      <c r="T2" s="61"/>
      <c r="U2" s="61"/>
      <c r="V2" s="61"/>
      <c r="W2" s="61"/>
      <c r="X2" s="61"/>
      <c r="Y2" s="61"/>
      <c r="Z2" s="61"/>
      <c r="AA2" s="61"/>
      <c r="AB2" s="61"/>
      <c r="AC2" s="61"/>
      <c r="AD2" s="65"/>
      <c r="AE2" s="65"/>
      <c r="AF2" s="65"/>
      <c r="AG2" s="65"/>
      <c r="AH2" s="65"/>
      <c r="AI2" s="65"/>
      <c r="AJ2" s="65"/>
      <c r="AK2" s="65"/>
      <c r="AL2" s="65"/>
      <c r="AM2" s="65"/>
      <c r="AN2" s="65"/>
      <c r="AO2" s="65"/>
      <c r="AP2" s="65">
        <v>-3.6774467E7</v>
      </c>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1"/>
      <c r="CM2" s="61"/>
      <c r="CN2" s="61"/>
      <c r="CO2" s="61"/>
      <c r="CP2" s="61"/>
    </row>
    <row r="3" ht="15.75" customHeight="1">
      <c r="A3" s="61"/>
      <c r="B3" s="66"/>
      <c r="C3" s="66"/>
      <c r="D3" s="66"/>
      <c r="E3" s="66" t="s">
        <v>247</v>
      </c>
      <c r="F3" s="61"/>
      <c r="G3" s="67"/>
      <c r="H3" s="61"/>
      <c r="I3" s="61"/>
      <c r="J3" s="61"/>
      <c r="K3" s="61"/>
      <c r="L3" s="61"/>
      <c r="M3" s="61"/>
      <c r="N3" s="61"/>
      <c r="O3" s="61"/>
      <c r="P3" s="63"/>
      <c r="Q3" s="61"/>
      <c r="R3" s="61"/>
      <c r="S3" s="61"/>
      <c r="T3" s="61"/>
      <c r="U3" s="61"/>
      <c r="V3" s="61"/>
      <c r="W3" s="61"/>
      <c r="X3" s="61"/>
      <c r="Y3" s="61"/>
      <c r="Z3" s="61"/>
      <c r="AA3" s="61"/>
      <c r="AB3" s="61"/>
      <c r="AC3" s="61"/>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1"/>
      <c r="CM3" s="61"/>
      <c r="CN3" s="61"/>
      <c r="CO3" s="61"/>
      <c r="CP3" s="61"/>
    </row>
    <row r="4" ht="15.75" customHeight="1">
      <c r="A4" s="61"/>
      <c r="B4" s="66"/>
      <c r="C4" s="66"/>
      <c r="D4" s="66"/>
      <c r="E4" s="66" t="s">
        <v>248</v>
      </c>
      <c r="F4" s="61"/>
      <c r="G4" s="67"/>
      <c r="H4" s="61"/>
      <c r="I4" s="61"/>
      <c r="J4" s="61"/>
      <c r="K4" s="61"/>
      <c r="L4" s="61"/>
      <c r="M4" s="61"/>
      <c r="N4" s="61"/>
      <c r="O4" s="61"/>
      <c r="P4" s="63"/>
      <c r="Q4" s="61"/>
      <c r="R4" s="61"/>
      <c r="S4" s="61"/>
      <c r="T4" s="61"/>
      <c r="U4" s="61"/>
      <c r="V4" s="61"/>
      <c r="W4" s="61"/>
      <c r="X4" s="61"/>
      <c r="Y4" s="61"/>
      <c r="Z4" s="61"/>
      <c r="AA4" s="61"/>
      <c r="AB4" s="61"/>
      <c r="AC4" s="61"/>
      <c r="AD4" s="68" t="s">
        <v>249</v>
      </c>
      <c r="AE4" s="68" t="s">
        <v>249</v>
      </c>
      <c r="AF4" s="68" t="s">
        <v>249</v>
      </c>
      <c r="AG4" s="68" t="s">
        <v>249</v>
      </c>
      <c r="AH4" s="68" t="s">
        <v>249</v>
      </c>
      <c r="AI4" s="68" t="s">
        <v>249</v>
      </c>
      <c r="AJ4" s="68" t="s">
        <v>249</v>
      </c>
      <c r="AK4" s="68" t="s">
        <v>249</v>
      </c>
      <c r="AL4" s="68" t="s">
        <v>249</v>
      </c>
      <c r="AM4" s="68" t="s">
        <v>249</v>
      </c>
      <c r="AN4" s="68" t="s">
        <v>249</v>
      </c>
      <c r="AO4" s="68" t="s">
        <v>249</v>
      </c>
      <c r="AP4" s="68" t="s">
        <v>250</v>
      </c>
      <c r="AQ4" s="68" t="s">
        <v>250</v>
      </c>
      <c r="AR4" s="68" t="s">
        <v>250</v>
      </c>
      <c r="AS4" s="68" t="s">
        <v>250</v>
      </c>
      <c r="AT4" s="68" t="s">
        <v>250</v>
      </c>
      <c r="AU4" s="68" t="s">
        <v>250</v>
      </c>
      <c r="AV4" s="68" t="s">
        <v>250</v>
      </c>
      <c r="AW4" s="68" t="s">
        <v>250</v>
      </c>
      <c r="AX4" s="68" t="s">
        <v>250</v>
      </c>
      <c r="AY4" s="68" t="s">
        <v>250</v>
      </c>
      <c r="AZ4" s="68" t="s">
        <v>250</v>
      </c>
      <c r="BA4" s="68" t="s">
        <v>250</v>
      </c>
      <c r="BB4" s="68" t="s">
        <v>251</v>
      </c>
      <c r="BC4" s="68" t="s">
        <v>251</v>
      </c>
      <c r="BD4" s="68" t="s">
        <v>251</v>
      </c>
      <c r="BE4" s="68" t="s">
        <v>251</v>
      </c>
      <c r="BF4" s="68" t="s">
        <v>251</v>
      </c>
      <c r="BG4" s="68" t="s">
        <v>251</v>
      </c>
      <c r="BH4" s="68" t="s">
        <v>251</v>
      </c>
      <c r="BI4" s="68" t="s">
        <v>251</v>
      </c>
      <c r="BJ4" s="68" t="s">
        <v>251</v>
      </c>
      <c r="BK4" s="68" t="s">
        <v>251</v>
      </c>
      <c r="BL4" s="68" t="s">
        <v>251</v>
      </c>
      <c r="BM4" s="68" t="s">
        <v>251</v>
      </c>
      <c r="BN4" s="68" t="s">
        <v>252</v>
      </c>
      <c r="BO4" s="68" t="s">
        <v>252</v>
      </c>
      <c r="BP4" s="68" t="s">
        <v>252</v>
      </c>
      <c r="BQ4" s="68" t="s">
        <v>252</v>
      </c>
      <c r="BR4" s="68" t="s">
        <v>252</v>
      </c>
      <c r="BS4" s="68" t="s">
        <v>252</v>
      </c>
      <c r="BT4" s="68" t="s">
        <v>252</v>
      </c>
      <c r="BU4" s="68" t="s">
        <v>252</v>
      </c>
      <c r="BV4" s="68" t="s">
        <v>252</v>
      </c>
      <c r="BW4" s="68" t="s">
        <v>252</v>
      </c>
      <c r="BX4" s="68" t="s">
        <v>252</v>
      </c>
      <c r="BY4" s="68" t="s">
        <v>252</v>
      </c>
      <c r="BZ4" s="68" t="s">
        <v>253</v>
      </c>
      <c r="CA4" s="68" t="s">
        <v>253</v>
      </c>
      <c r="CB4" s="68" t="s">
        <v>253</v>
      </c>
      <c r="CC4" s="68" t="s">
        <v>253</v>
      </c>
      <c r="CD4" s="68" t="s">
        <v>253</v>
      </c>
      <c r="CE4" s="68" t="s">
        <v>253</v>
      </c>
      <c r="CF4" s="68" t="s">
        <v>253</v>
      </c>
      <c r="CG4" s="68" t="s">
        <v>253</v>
      </c>
      <c r="CH4" s="68" t="s">
        <v>253</v>
      </c>
      <c r="CI4" s="68" t="s">
        <v>253</v>
      </c>
      <c r="CJ4" s="68" t="s">
        <v>253</v>
      </c>
      <c r="CK4" s="68" t="s">
        <v>253</v>
      </c>
      <c r="CL4" s="61"/>
      <c r="CM4" s="61"/>
      <c r="CN4" s="61"/>
      <c r="CO4" s="61"/>
      <c r="CP4" s="61"/>
    </row>
    <row r="5" ht="15.75" customHeight="1">
      <c r="A5" s="61"/>
      <c r="B5" s="66"/>
      <c r="C5" s="66"/>
      <c r="D5" s="66"/>
      <c r="E5" s="66" t="s">
        <v>254</v>
      </c>
      <c r="F5" s="61"/>
      <c r="G5" s="67"/>
      <c r="H5" s="61"/>
      <c r="I5" s="61"/>
      <c r="J5" s="61"/>
      <c r="K5" s="61"/>
      <c r="L5" s="61"/>
      <c r="M5" s="61"/>
      <c r="N5" s="61"/>
      <c r="O5" s="61"/>
      <c r="P5" s="63"/>
      <c r="Q5" s="61"/>
      <c r="R5" s="61"/>
      <c r="S5" s="61"/>
      <c r="T5" s="61"/>
      <c r="U5" s="61"/>
      <c r="V5" s="61"/>
      <c r="W5" s="61"/>
      <c r="X5" s="61"/>
      <c r="Y5" s="61"/>
      <c r="Z5" s="61"/>
      <c r="AA5" s="61"/>
      <c r="AB5" s="61"/>
      <c r="AC5" s="61"/>
      <c r="AD5" s="68" t="s">
        <v>255</v>
      </c>
      <c r="AE5" s="68" t="s">
        <v>255</v>
      </c>
      <c r="AF5" s="68" t="s">
        <v>255</v>
      </c>
      <c r="AG5" s="68" t="s">
        <v>255</v>
      </c>
      <c r="AH5" s="68" t="s">
        <v>255</v>
      </c>
      <c r="AI5" s="68" t="s">
        <v>255</v>
      </c>
      <c r="AJ5" s="68" t="s">
        <v>256</v>
      </c>
      <c r="AK5" s="68" t="s">
        <v>256</v>
      </c>
      <c r="AL5" s="68" t="s">
        <v>256</v>
      </c>
      <c r="AM5" s="68" t="s">
        <v>256</v>
      </c>
      <c r="AN5" s="68" t="s">
        <v>256</v>
      </c>
      <c r="AO5" s="68" t="s">
        <v>256</v>
      </c>
      <c r="AP5" s="68" t="s">
        <v>255</v>
      </c>
      <c r="AQ5" s="68" t="s">
        <v>255</v>
      </c>
      <c r="AR5" s="68" t="s">
        <v>255</v>
      </c>
      <c r="AS5" s="68" t="s">
        <v>255</v>
      </c>
      <c r="AT5" s="68" t="s">
        <v>255</v>
      </c>
      <c r="AU5" s="68" t="s">
        <v>255</v>
      </c>
      <c r="AV5" s="68" t="s">
        <v>256</v>
      </c>
      <c r="AW5" s="68" t="s">
        <v>256</v>
      </c>
      <c r="AX5" s="68" t="s">
        <v>256</v>
      </c>
      <c r="AY5" s="68" t="s">
        <v>256</v>
      </c>
      <c r="AZ5" s="68" t="s">
        <v>256</v>
      </c>
      <c r="BA5" s="68" t="s">
        <v>256</v>
      </c>
      <c r="BB5" s="68" t="s">
        <v>255</v>
      </c>
      <c r="BC5" s="68" t="s">
        <v>255</v>
      </c>
      <c r="BD5" s="68" t="s">
        <v>255</v>
      </c>
      <c r="BE5" s="68" t="s">
        <v>255</v>
      </c>
      <c r="BF5" s="68" t="s">
        <v>255</v>
      </c>
      <c r="BG5" s="68" t="s">
        <v>255</v>
      </c>
      <c r="BH5" s="68" t="s">
        <v>256</v>
      </c>
      <c r="BI5" s="68" t="s">
        <v>256</v>
      </c>
      <c r="BJ5" s="68" t="s">
        <v>256</v>
      </c>
      <c r="BK5" s="68" t="s">
        <v>256</v>
      </c>
      <c r="BL5" s="68" t="s">
        <v>256</v>
      </c>
      <c r="BM5" s="68" t="s">
        <v>256</v>
      </c>
      <c r="BN5" s="68" t="s">
        <v>255</v>
      </c>
      <c r="BO5" s="68" t="s">
        <v>255</v>
      </c>
      <c r="BP5" s="68" t="s">
        <v>255</v>
      </c>
      <c r="BQ5" s="68" t="s">
        <v>255</v>
      </c>
      <c r="BR5" s="68" t="s">
        <v>255</v>
      </c>
      <c r="BS5" s="68" t="s">
        <v>255</v>
      </c>
      <c r="BT5" s="68" t="s">
        <v>256</v>
      </c>
      <c r="BU5" s="68" t="s">
        <v>256</v>
      </c>
      <c r="BV5" s="68" t="s">
        <v>256</v>
      </c>
      <c r="BW5" s="68" t="s">
        <v>256</v>
      </c>
      <c r="BX5" s="68" t="s">
        <v>256</v>
      </c>
      <c r="BY5" s="68" t="s">
        <v>256</v>
      </c>
      <c r="BZ5" s="68" t="s">
        <v>255</v>
      </c>
      <c r="CA5" s="68" t="s">
        <v>255</v>
      </c>
      <c r="CB5" s="68" t="s">
        <v>255</v>
      </c>
      <c r="CC5" s="68" t="s">
        <v>255</v>
      </c>
      <c r="CD5" s="68" t="s">
        <v>255</v>
      </c>
      <c r="CE5" s="68" t="s">
        <v>255</v>
      </c>
      <c r="CF5" s="68" t="s">
        <v>256</v>
      </c>
      <c r="CG5" s="68" t="s">
        <v>256</v>
      </c>
      <c r="CH5" s="68" t="s">
        <v>256</v>
      </c>
      <c r="CI5" s="68" t="s">
        <v>256</v>
      </c>
      <c r="CJ5" s="68" t="s">
        <v>256</v>
      </c>
      <c r="CK5" s="68" t="s">
        <v>256</v>
      </c>
      <c r="CL5" s="61"/>
      <c r="CM5" s="61"/>
      <c r="CN5" s="61"/>
      <c r="CO5" s="61"/>
      <c r="CP5" s="61"/>
    </row>
    <row r="6" ht="15.75" customHeight="1">
      <c r="A6" s="61"/>
      <c r="B6" s="66"/>
      <c r="C6" s="66"/>
      <c r="D6" s="66"/>
      <c r="E6" s="66" t="s">
        <v>257</v>
      </c>
      <c r="F6" s="61"/>
      <c r="G6" s="67"/>
      <c r="H6" s="61"/>
      <c r="I6" s="61"/>
      <c r="J6" s="61"/>
      <c r="K6" s="61"/>
      <c r="L6" s="61"/>
      <c r="M6" s="61"/>
      <c r="N6" s="61"/>
      <c r="O6" s="61"/>
      <c r="P6" s="63"/>
      <c r="Q6" s="61"/>
      <c r="R6" s="61"/>
      <c r="S6" s="61"/>
      <c r="T6" s="61"/>
      <c r="U6" s="61"/>
      <c r="V6" s="61"/>
      <c r="W6" s="61"/>
      <c r="X6" s="61"/>
      <c r="Y6" s="61"/>
      <c r="Z6" s="61"/>
      <c r="AA6" s="61"/>
      <c r="AB6" s="61"/>
      <c r="AC6" s="61"/>
      <c r="AD6" s="68" t="s">
        <v>258</v>
      </c>
      <c r="AE6" s="68" t="s">
        <v>258</v>
      </c>
      <c r="AF6" s="68" t="s">
        <v>258</v>
      </c>
      <c r="AG6" s="68" t="s">
        <v>259</v>
      </c>
      <c r="AH6" s="68" t="s">
        <v>259</v>
      </c>
      <c r="AI6" s="68" t="s">
        <v>259</v>
      </c>
      <c r="AJ6" s="68" t="s">
        <v>260</v>
      </c>
      <c r="AK6" s="68" t="s">
        <v>260</v>
      </c>
      <c r="AL6" s="68" t="s">
        <v>260</v>
      </c>
      <c r="AM6" s="68" t="s">
        <v>261</v>
      </c>
      <c r="AN6" s="68" t="s">
        <v>261</v>
      </c>
      <c r="AO6" s="68" t="s">
        <v>261</v>
      </c>
      <c r="AP6" s="68" t="s">
        <v>258</v>
      </c>
      <c r="AQ6" s="68" t="s">
        <v>258</v>
      </c>
      <c r="AR6" s="68" t="s">
        <v>258</v>
      </c>
      <c r="AS6" s="68" t="s">
        <v>259</v>
      </c>
      <c r="AT6" s="68" t="s">
        <v>259</v>
      </c>
      <c r="AU6" s="68" t="s">
        <v>259</v>
      </c>
      <c r="AV6" s="68" t="s">
        <v>260</v>
      </c>
      <c r="AW6" s="68" t="s">
        <v>260</v>
      </c>
      <c r="AX6" s="68" t="s">
        <v>260</v>
      </c>
      <c r="AY6" s="68" t="s">
        <v>261</v>
      </c>
      <c r="AZ6" s="68" t="s">
        <v>261</v>
      </c>
      <c r="BA6" s="68" t="s">
        <v>261</v>
      </c>
      <c r="BB6" s="68" t="s">
        <v>258</v>
      </c>
      <c r="BC6" s="68" t="s">
        <v>258</v>
      </c>
      <c r="BD6" s="68" t="s">
        <v>258</v>
      </c>
      <c r="BE6" s="68" t="s">
        <v>259</v>
      </c>
      <c r="BF6" s="68" t="s">
        <v>259</v>
      </c>
      <c r="BG6" s="68" t="s">
        <v>259</v>
      </c>
      <c r="BH6" s="68" t="s">
        <v>260</v>
      </c>
      <c r="BI6" s="68" t="s">
        <v>260</v>
      </c>
      <c r="BJ6" s="68" t="s">
        <v>260</v>
      </c>
      <c r="BK6" s="68" t="s">
        <v>261</v>
      </c>
      <c r="BL6" s="68" t="s">
        <v>261</v>
      </c>
      <c r="BM6" s="68" t="s">
        <v>261</v>
      </c>
      <c r="BN6" s="68" t="s">
        <v>258</v>
      </c>
      <c r="BO6" s="68" t="s">
        <v>258</v>
      </c>
      <c r="BP6" s="68" t="s">
        <v>258</v>
      </c>
      <c r="BQ6" s="68" t="s">
        <v>259</v>
      </c>
      <c r="BR6" s="68" t="s">
        <v>259</v>
      </c>
      <c r="BS6" s="68" t="s">
        <v>259</v>
      </c>
      <c r="BT6" s="68" t="s">
        <v>260</v>
      </c>
      <c r="BU6" s="68" t="s">
        <v>260</v>
      </c>
      <c r="BV6" s="68" t="s">
        <v>260</v>
      </c>
      <c r="BW6" s="68" t="s">
        <v>261</v>
      </c>
      <c r="BX6" s="68" t="s">
        <v>261</v>
      </c>
      <c r="BY6" s="68" t="s">
        <v>261</v>
      </c>
      <c r="BZ6" s="68" t="s">
        <v>258</v>
      </c>
      <c r="CA6" s="68" t="s">
        <v>258</v>
      </c>
      <c r="CB6" s="68" t="s">
        <v>258</v>
      </c>
      <c r="CC6" s="68" t="s">
        <v>259</v>
      </c>
      <c r="CD6" s="68" t="s">
        <v>259</v>
      </c>
      <c r="CE6" s="68" t="s">
        <v>259</v>
      </c>
      <c r="CF6" s="68" t="s">
        <v>260</v>
      </c>
      <c r="CG6" s="68" t="s">
        <v>260</v>
      </c>
      <c r="CH6" s="68" t="s">
        <v>260</v>
      </c>
      <c r="CI6" s="68" t="s">
        <v>261</v>
      </c>
      <c r="CJ6" s="68" t="s">
        <v>261</v>
      </c>
      <c r="CK6" s="68" t="s">
        <v>261</v>
      </c>
      <c r="CL6" s="61"/>
      <c r="CM6" s="61"/>
      <c r="CN6" s="61"/>
      <c r="CO6" s="61"/>
      <c r="CP6" s="61"/>
    </row>
    <row r="7" ht="15.75" customHeight="1">
      <c r="A7" s="61"/>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70" t="s">
        <v>262</v>
      </c>
      <c r="AE7" s="70" t="s">
        <v>262</v>
      </c>
      <c r="AF7" s="70" t="s">
        <v>262</v>
      </c>
      <c r="AG7" s="70" t="s">
        <v>262</v>
      </c>
      <c r="AH7" s="70" t="s">
        <v>262</v>
      </c>
      <c r="AI7" s="70" t="s">
        <v>262</v>
      </c>
      <c r="AJ7" s="70" t="s">
        <v>262</v>
      </c>
      <c r="AK7" s="70" t="s">
        <v>262</v>
      </c>
      <c r="AL7" s="70" t="s">
        <v>262</v>
      </c>
      <c r="AM7" s="70" t="s">
        <v>262</v>
      </c>
      <c r="AN7" s="70" t="s">
        <v>262</v>
      </c>
      <c r="AO7" s="63" t="s">
        <v>263</v>
      </c>
      <c r="AP7" s="71" t="s">
        <v>262</v>
      </c>
      <c r="AQ7" s="63" t="s">
        <v>263</v>
      </c>
      <c r="AR7" s="63" t="s">
        <v>263</v>
      </c>
      <c r="AS7" s="63" t="s">
        <v>263</v>
      </c>
      <c r="AT7" s="63" t="s">
        <v>263</v>
      </c>
      <c r="AU7" s="63" t="s">
        <v>263</v>
      </c>
      <c r="AV7" s="63" t="s">
        <v>263</v>
      </c>
      <c r="AW7" s="63" t="s">
        <v>263</v>
      </c>
      <c r="AX7" s="63" t="s">
        <v>263</v>
      </c>
      <c r="AY7" s="63" t="s">
        <v>263</v>
      </c>
      <c r="AZ7" s="63" t="s">
        <v>263</v>
      </c>
      <c r="BA7" s="63" t="s">
        <v>263</v>
      </c>
      <c r="BB7" s="63" t="s">
        <v>263</v>
      </c>
      <c r="BC7" s="63" t="s">
        <v>263</v>
      </c>
      <c r="BD7" s="63" t="s">
        <v>263</v>
      </c>
      <c r="BE7" s="63" t="s">
        <v>263</v>
      </c>
      <c r="BF7" s="63" t="s">
        <v>263</v>
      </c>
      <c r="BG7" s="63" t="s">
        <v>263</v>
      </c>
      <c r="BH7" s="63" t="s">
        <v>263</v>
      </c>
      <c r="BI7" s="63" t="s">
        <v>263</v>
      </c>
      <c r="BJ7" s="63" t="s">
        <v>263</v>
      </c>
      <c r="BK7" s="63" t="s">
        <v>263</v>
      </c>
      <c r="BL7" s="63" t="s">
        <v>263</v>
      </c>
      <c r="BM7" s="63" t="s">
        <v>263</v>
      </c>
      <c r="BN7" s="63" t="s">
        <v>263</v>
      </c>
      <c r="BO7" s="63" t="s">
        <v>263</v>
      </c>
      <c r="BP7" s="63" t="s">
        <v>263</v>
      </c>
      <c r="BQ7" s="63" t="s">
        <v>263</v>
      </c>
      <c r="BR7" s="63" t="s">
        <v>263</v>
      </c>
      <c r="BS7" s="63" t="s">
        <v>263</v>
      </c>
      <c r="BT7" s="63" t="s">
        <v>263</v>
      </c>
      <c r="BU7" s="63" t="s">
        <v>263</v>
      </c>
      <c r="BV7" s="63" t="s">
        <v>263</v>
      </c>
      <c r="BW7" s="63" t="s">
        <v>263</v>
      </c>
      <c r="BX7" s="63" t="s">
        <v>263</v>
      </c>
      <c r="BY7" s="63" t="s">
        <v>263</v>
      </c>
      <c r="BZ7" s="63" t="s">
        <v>263</v>
      </c>
      <c r="CA7" s="63" t="s">
        <v>263</v>
      </c>
      <c r="CB7" s="63" t="s">
        <v>263</v>
      </c>
      <c r="CC7" s="63" t="s">
        <v>263</v>
      </c>
      <c r="CD7" s="63" t="s">
        <v>263</v>
      </c>
      <c r="CE7" s="63" t="s">
        <v>263</v>
      </c>
      <c r="CF7" s="63" t="s">
        <v>263</v>
      </c>
      <c r="CG7" s="63" t="s">
        <v>263</v>
      </c>
      <c r="CH7" s="63" t="s">
        <v>263</v>
      </c>
      <c r="CI7" s="63" t="s">
        <v>263</v>
      </c>
      <c r="CJ7" s="63" t="s">
        <v>263</v>
      </c>
      <c r="CK7" s="63" t="s">
        <v>263</v>
      </c>
      <c r="CL7" s="61"/>
      <c r="CM7" s="61"/>
      <c r="CN7" s="61"/>
      <c r="CO7" s="61"/>
      <c r="CP7" s="61"/>
    </row>
    <row r="8" ht="15.75" customHeight="1">
      <c r="A8" s="61"/>
      <c r="B8" s="69"/>
      <c r="C8" s="69"/>
      <c r="D8" s="69"/>
      <c r="E8" s="72"/>
      <c r="F8" s="72"/>
      <c r="G8" s="72"/>
      <c r="H8" s="72" t="s">
        <v>264</v>
      </c>
      <c r="I8" s="72"/>
      <c r="J8" s="72"/>
      <c r="K8" s="72"/>
      <c r="L8" s="72"/>
      <c r="M8" s="72"/>
      <c r="N8" s="72"/>
      <c r="O8" s="72"/>
      <c r="P8" s="72"/>
      <c r="Q8" s="72"/>
      <c r="R8" s="72"/>
      <c r="S8" s="72"/>
      <c r="T8" s="72"/>
      <c r="U8" s="72"/>
      <c r="V8" s="72"/>
      <c r="W8" s="72"/>
      <c r="X8" s="72"/>
      <c r="Y8" s="72"/>
      <c r="Z8" s="72"/>
      <c r="AA8" s="72"/>
      <c r="AB8" s="72"/>
      <c r="AC8" s="72"/>
      <c r="AD8" s="72" t="s">
        <v>265</v>
      </c>
      <c r="AE8" s="72" t="s">
        <v>266</v>
      </c>
      <c r="AF8" s="72" t="s">
        <v>267</v>
      </c>
      <c r="AG8" s="72" t="s">
        <v>268</v>
      </c>
      <c r="AH8" s="72" t="s">
        <v>269</v>
      </c>
      <c r="AI8" s="72" t="s">
        <v>270</v>
      </c>
      <c r="AJ8" s="72" t="s">
        <v>271</v>
      </c>
      <c r="AK8" s="72" t="s">
        <v>272</v>
      </c>
      <c r="AL8" s="72" t="s">
        <v>273</v>
      </c>
      <c r="AM8" s="72" t="s">
        <v>274</v>
      </c>
      <c r="AN8" s="72" t="s">
        <v>275</v>
      </c>
      <c r="AO8" s="72" t="s">
        <v>276</v>
      </c>
      <c r="AP8" s="73" t="s">
        <v>277</v>
      </c>
      <c r="AQ8" s="73" t="s">
        <v>278</v>
      </c>
      <c r="AR8" s="73" t="s">
        <v>279</v>
      </c>
      <c r="AS8" s="73" t="s">
        <v>280</v>
      </c>
      <c r="AT8" s="73" t="s">
        <v>281</v>
      </c>
      <c r="AU8" s="73" t="s">
        <v>282</v>
      </c>
      <c r="AV8" s="73" t="s">
        <v>283</v>
      </c>
      <c r="AW8" s="73" t="s">
        <v>284</v>
      </c>
      <c r="AX8" s="73" t="s">
        <v>285</v>
      </c>
      <c r="AY8" s="73" t="s">
        <v>286</v>
      </c>
      <c r="AZ8" s="73" t="s">
        <v>287</v>
      </c>
      <c r="BA8" s="73" t="s">
        <v>288</v>
      </c>
      <c r="BB8" s="74" t="s">
        <v>289</v>
      </c>
      <c r="BC8" s="74" t="s">
        <v>290</v>
      </c>
      <c r="BD8" s="74" t="s">
        <v>291</v>
      </c>
      <c r="BE8" s="74" t="s">
        <v>292</v>
      </c>
      <c r="BF8" s="74" t="s">
        <v>293</v>
      </c>
      <c r="BG8" s="74" t="s">
        <v>294</v>
      </c>
      <c r="BH8" s="74" t="s">
        <v>295</v>
      </c>
      <c r="BI8" s="74" t="s">
        <v>296</v>
      </c>
      <c r="BJ8" s="74" t="s">
        <v>297</v>
      </c>
      <c r="BK8" s="74" t="s">
        <v>298</v>
      </c>
      <c r="BL8" s="74" t="s">
        <v>299</v>
      </c>
      <c r="BM8" s="74" t="s">
        <v>300</v>
      </c>
      <c r="BN8" s="74" t="s">
        <v>301</v>
      </c>
      <c r="BO8" s="74" t="s">
        <v>302</v>
      </c>
      <c r="BP8" s="74" t="s">
        <v>303</v>
      </c>
      <c r="BQ8" s="74" t="s">
        <v>304</v>
      </c>
      <c r="BR8" s="74" t="s">
        <v>305</v>
      </c>
      <c r="BS8" s="74" t="s">
        <v>306</v>
      </c>
      <c r="BT8" s="74" t="s">
        <v>307</v>
      </c>
      <c r="BU8" s="74" t="s">
        <v>308</v>
      </c>
      <c r="BV8" s="74" t="s">
        <v>309</v>
      </c>
      <c r="BW8" s="74" t="s">
        <v>310</v>
      </c>
      <c r="BX8" s="74" t="s">
        <v>311</v>
      </c>
      <c r="BY8" s="74" t="s">
        <v>312</v>
      </c>
      <c r="BZ8" s="74" t="s">
        <v>313</v>
      </c>
      <c r="CA8" s="74" t="s">
        <v>314</v>
      </c>
      <c r="CB8" s="74" t="s">
        <v>315</v>
      </c>
      <c r="CC8" s="74" t="s">
        <v>316</v>
      </c>
      <c r="CD8" s="74" t="s">
        <v>317</v>
      </c>
      <c r="CE8" s="74" t="s">
        <v>318</v>
      </c>
      <c r="CF8" s="74" t="s">
        <v>319</v>
      </c>
      <c r="CG8" s="74" t="s">
        <v>320</v>
      </c>
      <c r="CH8" s="74" t="s">
        <v>321</v>
      </c>
      <c r="CI8" s="74" t="s">
        <v>322</v>
      </c>
      <c r="CJ8" s="74" t="s">
        <v>323</v>
      </c>
      <c r="CK8" s="74" t="s">
        <v>324</v>
      </c>
      <c r="CL8" s="61"/>
      <c r="CM8" s="38" t="s">
        <v>325</v>
      </c>
      <c r="CN8" s="61"/>
      <c r="CO8" s="61"/>
      <c r="CP8" s="61"/>
    </row>
    <row r="9" ht="15.75" customHeight="1">
      <c r="A9" s="75" t="s">
        <v>326</v>
      </c>
      <c r="B9" s="63"/>
      <c r="C9" s="63"/>
      <c r="D9" s="63"/>
      <c r="E9" s="63" t="s">
        <v>1</v>
      </c>
      <c r="F9" s="65" t="s">
        <v>327</v>
      </c>
      <c r="G9" s="65"/>
      <c r="H9" s="65">
        <v>1.0</v>
      </c>
      <c r="I9" s="65" t="s">
        <v>328</v>
      </c>
      <c r="J9" s="65" t="s">
        <v>329</v>
      </c>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v>0.0</v>
      </c>
      <c r="AQ9" s="65">
        <v>0.0</v>
      </c>
      <c r="AR9" s="65">
        <v>0.0</v>
      </c>
      <c r="AS9" s="65">
        <v>0.0</v>
      </c>
      <c r="AT9" s="65">
        <v>0.0</v>
      </c>
      <c r="AU9" s="65">
        <v>0.0</v>
      </c>
      <c r="AV9" s="65">
        <v>0.0</v>
      </c>
      <c r="AW9" s="65">
        <v>0.0</v>
      </c>
      <c r="AX9" s="65">
        <v>0.0</v>
      </c>
      <c r="AY9" s="65">
        <v>0.0</v>
      </c>
      <c r="AZ9" s="65">
        <v>0.0</v>
      </c>
      <c r="BA9" s="65">
        <v>0.0</v>
      </c>
      <c r="BB9" s="65">
        <v>0.0</v>
      </c>
      <c r="BC9" s="65">
        <v>0.0</v>
      </c>
      <c r="BD9" s="65">
        <v>0.0</v>
      </c>
      <c r="BE9" s="65">
        <v>0.0</v>
      </c>
      <c r="BF9" s="65">
        <v>0.0</v>
      </c>
      <c r="BG9" s="65">
        <v>0.0</v>
      </c>
      <c r="BH9" s="65">
        <v>0.0</v>
      </c>
      <c r="BI9" s="65">
        <v>0.0</v>
      </c>
      <c r="BJ9" s="65">
        <v>0.0</v>
      </c>
      <c r="BK9" s="65">
        <v>0.0</v>
      </c>
      <c r="BL9" s="65">
        <v>0.0</v>
      </c>
      <c r="BM9" s="65">
        <v>0.0</v>
      </c>
      <c r="BN9" s="65">
        <v>0.0</v>
      </c>
      <c r="BO9" s="65">
        <v>0.0</v>
      </c>
      <c r="BP9" s="65">
        <v>0.0</v>
      </c>
      <c r="BQ9" s="65">
        <v>0.0</v>
      </c>
      <c r="BR9" s="65">
        <v>0.0</v>
      </c>
      <c r="BS9" s="65">
        <v>0.0</v>
      </c>
      <c r="BT9" s="65">
        <v>0.0</v>
      </c>
      <c r="BU9" s="65">
        <v>0.0</v>
      </c>
      <c r="BV9" s="65">
        <v>0.0</v>
      </c>
      <c r="BW9" s="65">
        <v>0.0</v>
      </c>
      <c r="BX9" s="65">
        <v>0.0</v>
      </c>
      <c r="BY9" s="65">
        <v>0.0</v>
      </c>
      <c r="BZ9" s="65">
        <v>0.0</v>
      </c>
      <c r="CA9" s="65">
        <v>0.0</v>
      </c>
      <c r="CB9" s="65">
        <v>0.0</v>
      </c>
      <c r="CC9" s="65">
        <v>0.0</v>
      </c>
      <c r="CD9" s="65">
        <v>0.0</v>
      </c>
      <c r="CE9" s="65">
        <v>0.0</v>
      </c>
      <c r="CF9" s="65">
        <v>0.0</v>
      </c>
      <c r="CG9" s="65">
        <v>0.0</v>
      </c>
      <c r="CH9" s="65">
        <v>0.0</v>
      </c>
      <c r="CI9" s="65">
        <v>0.0</v>
      </c>
      <c r="CJ9" s="65">
        <v>0.0</v>
      </c>
      <c r="CK9" s="65">
        <v>0.0</v>
      </c>
      <c r="CL9" s="61"/>
      <c r="CM9" s="38" t="s">
        <v>1</v>
      </c>
      <c r="CN9" s="61"/>
      <c r="CO9" s="61"/>
      <c r="CP9" s="61"/>
    </row>
    <row r="10" ht="15.75" customHeight="1">
      <c r="A10" s="75"/>
      <c r="B10" s="63"/>
      <c r="C10" s="63"/>
      <c r="D10" s="63"/>
      <c r="E10" s="63" t="s">
        <v>330</v>
      </c>
      <c r="F10" s="65" t="s">
        <v>138</v>
      </c>
      <c r="G10" s="65"/>
      <c r="H10" s="65"/>
      <c r="I10" s="65" t="s">
        <v>328</v>
      </c>
      <c r="J10" s="65" t="s">
        <v>329</v>
      </c>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v>0.0</v>
      </c>
      <c r="AQ10" s="65">
        <v>0.0</v>
      </c>
      <c r="AR10" s="65">
        <v>0.0</v>
      </c>
      <c r="AS10" s="65">
        <v>0.0</v>
      </c>
      <c r="AT10" s="65">
        <v>0.0</v>
      </c>
      <c r="AU10" s="65">
        <v>0.0</v>
      </c>
      <c r="AV10" s="65">
        <v>0.0</v>
      </c>
      <c r="AW10" s="65">
        <v>0.0</v>
      </c>
      <c r="AX10" s="65">
        <v>0.0</v>
      </c>
      <c r="AY10" s="65">
        <v>0.0</v>
      </c>
      <c r="AZ10" s="65">
        <v>0.0</v>
      </c>
      <c r="BA10" s="65">
        <v>0.0</v>
      </c>
      <c r="BB10" s="65">
        <v>0.0</v>
      </c>
      <c r="BC10" s="65">
        <v>0.0</v>
      </c>
      <c r="BD10" s="65">
        <v>0.0</v>
      </c>
      <c r="BE10" s="65">
        <v>0.0</v>
      </c>
      <c r="BF10" s="65">
        <v>0.0</v>
      </c>
      <c r="BG10" s="65">
        <v>0.0</v>
      </c>
      <c r="BH10" s="65">
        <v>0.0</v>
      </c>
      <c r="BI10" s="65">
        <v>0.0</v>
      </c>
      <c r="BJ10" s="65">
        <v>0.0</v>
      </c>
      <c r="BK10" s="65">
        <v>0.0</v>
      </c>
      <c r="BL10" s="65">
        <v>0.0</v>
      </c>
      <c r="BM10" s="65">
        <v>0.0</v>
      </c>
      <c r="BN10" s="65">
        <v>0.0</v>
      </c>
      <c r="BO10" s="65">
        <v>0.0</v>
      </c>
      <c r="BP10" s="65">
        <v>0.0</v>
      </c>
      <c r="BQ10" s="65">
        <v>0.0</v>
      </c>
      <c r="BR10" s="65">
        <v>0.0</v>
      </c>
      <c r="BS10" s="65">
        <v>0.0</v>
      </c>
      <c r="BT10" s="65">
        <v>0.0</v>
      </c>
      <c r="BU10" s="65">
        <v>0.0</v>
      </c>
      <c r="BV10" s="65">
        <v>0.0</v>
      </c>
      <c r="BW10" s="65">
        <v>0.0</v>
      </c>
      <c r="BX10" s="65">
        <v>0.0</v>
      </c>
      <c r="BY10" s="65">
        <v>0.0</v>
      </c>
      <c r="BZ10" s="65">
        <v>0.0</v>
      </c>
      <c r="CA10" s="65">
        <v>0.0</v>
      </c>
      <c r="CB10" s="65">
        <v>0.0</v>
      </c>
      <c r="CC10" s="65">
        <v>0.0</v>
      </c>
      <c r="CD10" s="65">
        <v>0.0</v>
      </c>
      <c r="CE10" s="65">
        <v>0.0</v>
      </c>
      <c r="CF10" s="65">
        <v>0.0</v>
      </c>
      <c r="CG10" s="65">
        <v>0.0</v>
      </c>
      <c r="CH10" s="65">
        <v>0.0</v>
      </c>
      <c r="CI10" s="65">
        <v>0.0</v>
      </c>
      <c r="CJ10" s="65">
        <v>0.0</v>
      </c>
      <c r="CK10" s="65">
        <v>0.0</v>
      </c>
      <c r="CL10" s="61"/>
      <c r="CM10" s="38" t="s">
        <v>138</v>
      </c>
      <c r="CN10" s="61"/>
      <c r="CO10" s="61"/>
      <c r="CP10" s="61"/>
    </row>
    <row r="11" ht="15.75" customHeight="1">
      <c r="A11" s="75"/>
      <c r="B11" s="63"/>
      <c r="C11" s="63"/>
      <c r="D11" s="63"/>
      <c r="E11" s="63" t="s">
        <v>330</v>
      </c>
      <c r="F11" s="65" t="s">
        <v>79</v>
      </c>
      <c r="G11" s="65"/>
      <c r="H11" s="65"/>
      <c r="I11" s="65" t="s">
        <v>328</v>
      </c>
      <c r="J11" s="65" t="s">
        <v>329</v>
      </c>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v>0.0</v>
      </c>
      <c r="AQ11" s="65">
        <v>0.0</v>
      </c>
      <c r="AR11" s="65">
        <v>0.0</v>
      </c>
      <c r="AS11" s="65">
        <v>0.0</v>
      </c>
      <c r="AT11" s="65">
        <v>0.0</v>
      </c>
      <c r="AU11" s="65">
        <v>0.0</v>
      </c>
      <c r="AV11" s="65">
        <v>0.0</v>
      </c>
      <c r="AW11" s="65">
        <v>0.0</v>
      </c>
      <c r="AX11" s="65">
        <v>0.0</v>
      </c>
      <c r="AY11" s="65">
        <v>0.0</v>
      </c>
      <c r="AZ11" s="65">
        <v>0.0</v>
      </c>
      <c r="BA11" s="65">
        <v>0.0</v>
      </c>
      <c r="BB11" s="65">
        <v>0.0</v>
      </c>
      <c r="BC11" s="65">
        <v>0.0</v>
      </c>
      <c r="BD11" s="65">
        <v>0.0</v>
      </c>
      <c r="BE11" s="65">
        <v>0.0</v>
      </c>
      <c r="BF11" s="65">
        <v>0.0</v>
      </c>
      <c r="BG11" s="65">
        <v>0.0</v>
      </c>
      <c r="BH11" s="65">
        <v>0.0</v>
      </c>
      <c r="BI11" s="65">
        <v>0.0</v>
      </c>
      <c r="BJ11" s="65">
        <v>0.0</v>
      </c>
      <c r="BK11" s="65">
        <v>0.0</v>
      </c>
      <c r="BL11" s="65">
        <v>0.0</v>
      </c>
      <c r="BM11" s="65">
        <v>0.0</v>
      </c>
      <c r="BN11" s="65">
        <v>0.0</v>
      </c>
      <c r="BO11" s="65">
        <v>0.0</v>
      </c>
      <c r="BP11" s="65">
        <v>0.0</v>
      </c>
      <c r="BQ11" s="65">
        <v>0.0</v>
      </c>
      <c r="BR11" s="65">
        <v>0.0</v>
      </c>
      <c r="BS11" s="65">
        <v>0.0</v>
      </c>
      <c r="BT11" s="65">
        <v>0.0</v>
      </c>
      <c r="BU11" s="65">
        <v>0.0</v>
      </c>
      <c r="BV11" s="65">
        <v>0.0</v>
      </c>
      <c r="BW11" s="65">
        <v>0.0</v>
      </c>
      <c r="BX11" s="65">
        <v>0.0</v>
      </c>
      <c r="BY11" s="65">
        <v>0.0</v>
      </c>
      <c r="BZ11" s="65">
        <v>0.0</v>
      </c>
      <c r="CA11" s="65">
        <v>0.0</v>
      </c>
      <c r="CB11" s="65">
        <v>0.0</v>
      </c>
      <c r="CC11" s="65">
        <v>0.0</v>
      </c>
      <c r="CD11" s="65">
        <v>0.0</v>
      </c>
      <c r="CE11" s="65">
        <v>0.0</v>
      </c>
      <c r="CF11" s="65">
        <v>0.0</v>
      </c>
      <c r="CG11" s="65">
        <v>0.0</v>
      </c>
      <c r="CH11" s="65">
        <v>0.0</v>
      </c>
      <c r="CI11" s="65">
        <v>0.0</v>
      </c>
      <c r="CJ11" s="65">
        <v>0.0</v>
      </c>
      <c r="CK11" s="65">
        <v>0.0</v>
      </c>
      <c r="CL11" s="61"/>
      <c r="CM11" s="38" t="s">
        <v>79</v>
      </c>
      <c r="CN11" s="61"/>
      <c r="CO11" s="61"/>
      <c r="CP11" s="61"/>
    </row>
    <row r="12" ht="15.75" customHeight="1">
      <c r="A12" s="75"/>
      <c r="B12" s="63"/>
      <c r="C12" s="63"/>
      <c r="D12" s="63"/>
      <c r="E12" s="63" t="s">
        <v>330</v>
      </c>
      <c r="F12" s="65" t="s">
        <v>80</v>
      </c>
      <c r="G12" s="65"/>
      <c r="H12" s="65"/>
      <c r="I12" s="65" t="s">
        <v>328</v>
      </c>
      <c r="J12" s="65" t="s">
        <v>329</v>
      </c>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v>0.0</v>
      </c>
      <c r="AQ12" s="65">
        <v>0.0</v>
      </c>
      <c r="AR12" s="65">
        <v>0.0</v>
      </c>
      <c r="AS12" s="65">
        <v>0.0</v>
      </c>
      <c r="AT12" s="65">
        <v>0.0</v>
      </c>
      <c r="AU12" s="65">
        <v>0.0</v>
      </c>
      <c r="AV12" s="65">
        <v>0.0</v>
      </c>
      <c r="AW12" s="65">
        <v>0.0</v>
      </c>
      <c r="AX12" s="65">
        <v>0.0</v>
      </c>
      <c r="AY12" s="65">
        <v>0.0</v>
      </c>
      <c r="AZ12" s="65">
        <v>0.0</v>
      </c>
      <c r="BA12" s="65">
        <v>0.0</v>
      </c>
      <c r="BB12" s="65">
        <v>0.0</v>
      </c>
      <c r="BC12" s="65">
        <v>0.0</v>
      </c>
      <c r="BD12" s="65">
        <v>0.0</v>
      </c>
      <c r="BE12" s="65">
        <v>0.0</v>
      </c>
      <c r="BF12" s="65">
        <v>0.0</v>
      </c>
      <c r="BG12" s="65">
        <v>0.0</v>
      </c>
      <c r="BH12" s="65">
        <v>0.0</v>
      </c>
      <c r="BI12" s="65">
        <v>0.0</v>
      </c>
      <c r="BJ12" s="65">
        <v>0.0</v>
      </c>
      <c r="BK12" s="65">
        <v>0.0</v>
      </c>
      <c r="BL12" s="65">
        <v>0.0</v>
      </c>
      <c r="BM12" s="65">
        <v>0.0</v>
      </c>
      <c r="BN12" s="65">
        <v>0.0</v>
      </c>
      <c r="BO12" s="65">
        <v>0.0</v>
      </c>
      <c r="BP12" s="65">
        <v>0.0</v>
      </c>
      <c r="BQ12" s="65">
        <v>0.0</v>
      </c>
      <c r="BR12" s="65">
        <v>0.0</v>
      </c>
      <c r="BS12" s="65">
        <v>0.0</v>
      </c>
      <c r="BT12" s="65">
        <v>0.0</v>
      </c>
      <c r="BU12" s="65">
        <v>0.0</v>
      </c>
      <c r="BV12" s="65">
        <v>0.0</v>
      </c>
      <c r="BW12" s="65">
        <v>0.0</v>
      </c>
      <c r="BX12" s="65">
        <v>0.0</v>
      </c>
      <c r="BY12" s="65">
        <v>0.0</v>
      </c>
      <c r="BZ12" s="65">
        <v>0.0</v>
      </c>
      <c r="CA12" s="65">
        <v>0.0</v>
      </c>
      <c r="CB12" s="65">
        <v>0.0</v>
      </c>
      <c r="CC12" s="65">
        <v>0.0</v>
      </c>
      <c r="CD12" s="65">
        <v>0.0</v>
      </c>
      <c r="CE12" s="65">
        <v>0.0</v>
      </c>
      <c r="CF12" s="65">
        <v>0.0</v>
      </c>
      <c r="CG12" s="65">
        <v>0.0</v>
      </c>
      <c r="CH12" s="65">
        <v>0.0</v>
      </c>
      <c r="CI12" s="65">
        <v>0.0</v>
      </c>
      <c r="CJ12" s="65">
        <v>0.0</v>
      </c>
      <c r="CK12" s="65">
        <v>0.0</v>
      </c>
      <c r="CL12" s="61"/>
      <c r="CM12" s="38" t="s">
        <v>80</v>
      </c>
      <c r="CN12" s="61"/>
      <c r="CO12" s="61"/>
      <c r="CP12" s="61"/>
    </row>
    <row r="13" ht="15.75" customHeight="1">
      <c r="A13" s="75"/>
      <c r="B13" s="63"/>
      <c r="C13" s="63"/>
      <c r="D13" s="63"/>
      <c r="E13" s="63" t="s">
        <v>330</v>
      </c>
      <c r="F13" s="65" t="s">
        <v>92</v>
      </c>
      <c r="G13" s="65"/>
      <c r="H13" s="65"/>
      <c r="I13" s="65" t="s">
        <v>328</v>
      </c>
      <c r="J13" s="65" t="s">
        <v>329</v>
      </c>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v>0.0</v>
      </c>
      <c r="AQ13" s="65">
        <v>0.0</v>
      </c>
      <c r="AR13" s="65">
        <v>0.0</v>
      </c>
      <c r="AS13" s="65">
        <v>0.0</v>
      </c>
      <c r="AT13" s="65">
        <v>0.0</v>
      </c>
      <c r="AU13" s="65">
        <v>0.0</v>
      </c>
      <c r="AV13" s="65">
        <v>0.0</v>
      </c>
      <c r="AW13" s="65">
        <v>0.0</v>
      </c>
      <c r="AX13" s="65">
        <v>0.0</v>
      </c>
      <c r="AY13" s="65">
        <v>0.0</v>
      </c>
      <c r="AZ13" s="65">
        <v>0.0</v>
      </c>
      <c r="BA13" s="65">
        <v>0.0</v>
      </c>
      <c r="BB13" s="65">
        <v>0.0</v>
      </c>
      <c r="BC13" s="65">
        <v>0.0</v>
      </c>
      <c r="BD13" s="65">
        <v>0.0</v>
      </c>
      <c r="BE13" s="65">
        <v>0.0</v>
      </c>
      <c r="BF13" s="65">
        <v>0.0</v>
      </c>
      <c r="BG13" s="65">
        <v>0.0</v>
      </c>
      <c r="BH13" s="65">
        <v>0.0</v>
      </c>
      <c r="BI13" s="65">
        <v>0.0</v>
      </c>
      <c r="BJ13" s="65">
        <v>0.0</v>
      </c>
      <c r="BK13" s="65">
        <v>0.0</v>
      </c>
      <c r="BL13" s="65">
        <v>0.0</v>
      </c>
      <c r="BM13" s="65">
        <v>0.0</v>
      </c>
      <c r="BN13" s="65">
        <v>0.0</v>
      </c>
      <c r="BO13" s="65">
        <v>0.0</v>
      </c>
      <c r="BP13" s="65">
        <v>0.0</v>
      </c>
      <c r="BQ13" s="65">
        <v>0.0</v>
      </c>
      <c r="BR13" s="65">
        <v>0.0</v>
      </c>
      <c r="BS13" s="65">
        <v>0.0</v>
      </c>
      <c r="BT13" s="65">
        <v>0.0</v>
      </c>
      <c r="BU13" s="65">
        <v>0.0</v>
      </c>
      <c r="BV13" s="65">
        <v>0.0</v>
      </c>
      <c r="BW13" s="65">
        <v>0.0</v>
      </c>
      <c r="BX13" s="65">
        <v>0.0</v>
      </c>
      <c r="BY13" s="65">
        <v>0.0</v>
      </c>
      <c r="BZ13" s="65">
        <v>0.0</v>
      </c>
      <c r="CA13" s="65">
        <v>0.0</v>
      </c>
      <c r="CB13" s="65">
        <v>0.0</v>
      </c>
      <c r="CC13" s="65">
        <v>0.0</v>
      </c>
      <c r="CD13" s="65">
        <v>0.0</v>
      </c>
      <c r="CE13" s="65">
        <v>0.0</v>
      </c>
      <c r="CF13" s="65">
        <v>0.0</v>
      </c>
      <c r="CG13" s="65">
        <v>0.0</v>
      </c>
      <c r="CH13" s="65">
        <v>0.0</v>
      </c>
      <c r="CI13" s="65">
        <v>0.0</v>
      </c>
      <c r="CJ13" s="65">
        <v>0.0</v>
      </c>
      <c r="CK13" s="65">
        <v>0.0</v>
      </c>
      <c r="CL13" s="61"/>
      <c r="CM13" s="38" t="s">
        <v>92</v>
      </c>
      <c r="CN13" s="61"/>
      <c r="CO13" s="61"/>
      <c r="CP13" s="61"/>
    </row>
    <row r="14" ht="15.75" customHeight="1">
      <c r="A14" s="75"/>
      <c r="B14" s="63"/>
      <c r="C14" s="63"/>
      <c r="D14" s="63"/>
      <c r="E14" s="63" t="s">
        <v>330</v>
      </c>
      <c r="F14" s="65" t="s">
        <v>90</v>
      </c>
      <c r="G14" s="65"/>
      <c r="H14" s="65"/>
      <c r="I14" s="65" t="s">
        <v>328</v>
      </c>
      <c r="J14" s="65" t="s">
        <v>329</v>
      </c>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v>0.0</v>
      </c>
      <c r="AQ14" s="65">
        <v>0.0</v>
      </c>
      <c r="AR14" s="65">
        <v>0.0</v>
      </c>
      <c r="AS14" s="65">
        <v>0.0</v>
      </c>
      <c r="AT14" s="65">
        <v>0.0</v>
      </c>
      <c r="AU14" s="65">
        <v>0.0</v>
      </c>
      <c r="AV14" s="65">
        <v>0.0</v>
      </c>
      <c r="AW14" s="65">
        <v>0.0</v>
      </c>
      <c r="AX14" s="65">
        <v>0.0</v>
      </c>
      <c r="AY14" s="65">
        <v>0.0</v>
      </c>
      <c r="AZ14" s="65">
        <v>0.0</v>
      </c>
      <c r="BA14" s="65">
        <v>0.0</v>
      </c>
      <c r="BB14" s="65">
        <v>0.0</v>
      </c>
      <c r="BC14" s="65">
        <v>0.0</v>
      </c>
      <c r="BD14" s="65">
        <v>0.0</v>
      </c>
      <c r="BE14" s="65">
        <v>0.0</v>
      </c>
      <c r="BF14" s="65">
        <v>0.0</v>
      </c>
      <c r="BG14" s="65">
        <v>0.0</v>
      </c>
      <c r="BH14" s="65">
        <v>0.0</v>
      </c>
      <c r="BI14" s="65">
        <v>0.0</v>
      </c>
      <c r="BJ14" s="65">
        <v>0.0</v>
      </c>
      <c r="BK14" s="65">
        <v>0.0</v>
      </c>
      <c r="BL14" s="65">
        <v>0.0</v>
      </c>
      <c r="BM14" s="65">
        <v>0.0</v>
      </c>
      <c r="BN14" s="65">
        <v>0.0</v>
      </c>
      <c r="BO14" s="65">
        <v>0.0</v>
      </c>
      <c r="BP14" s="65">
        <v>0.0</v>
      </c>
      <c r="BQ14" s="65">
        <v>0.0</v>
      </c>
      <c r="BR14" s="65">
        <v>0.0</v>
      </c>
      <c r="BS14" s="65">
        <v>0.0</v>
      </c>
      <c r="BT14" s="65">
        <v>0.0</v>
      </c>
      <c r="BU14" s="65">
        <v>0.0</v>
      </c>
      <c r="BV14" s="65">
        <v>0.0</v>
      </c>
      <c r="BW14" s="65">
        <v>0.0</v>
      </c>
      <c r="BX14" s="65">
        <v>0.0</v>
      </c>
      <c r="BY14" s="65">
        <v>0.0</v>
      </c>
      <c r="BZ14" s="65">
        <v>0.0</v>
      </c>
      <c r="CA14" s="65">
        <v>0.0</v>
      </c>
      <c r="CB14" s="65">
        <v>0.0</v>
      </c>
      <c r="CC14" s="65">
        <v>0.0</v>
      </c>
      <c r="CD14" s="65">
        <v>0.0</v>
      </c>
      <c r="CE14" s="65">
        <v>0.0</v>
      </c>
      <c r="CF14" s="65">
        <v>0.0</v>
      </c>
      <c r="CG14" s="65">
        <v>0.0</v>
      </c>
      <c r="CH14" s="65">
        <v>0.0</v>
      </c>
      <c r="CI14" s="65">
        <v>0.0</v>
      </c>
      <c r="CJ14" s="65">
        <v>0.0</v>
      </c>
      <c r="CK14" s="65">
        <v>0.0</v>
      </c>
      <c r="CL14" s="61"/>
      <c r="CM14" s="38" t="s">
        <v>90</v>
      </c>
      <c r="CN14" s="61"/>
      <c r="CO14" s="61"/>
      <c r="CP14" s="61"/>
    </row>
    <row r="15" ht="15.75" customHeight="1">
      <c r="A15" s="75"/>
      <c r="B15" s="63"/>
      <c r="C15" s="63"/>
      <c r="D15" s="63"/>
      <c r="E15" s="63" t="s">
        <v>331</v>
      </c>
      <c r="F15" s="65" t="s">
        <v>81</v>
      </c>
      <c r="G15" s="65"/>
      <c r="H15" s="65"/>
      <c r="I15" s="65" t="s">
        <v>328</v>
      </c>
      <c r="J15" s="65" t="s">
        <v>329</v>
      </c>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v>0.0</v>
      </c>
      <c r="AQ15" s="65">
        <v>0.0</v>
      </c>
      <c r="AR15" s="65">
        <v>0.0</v>
      </c>
      <c r="AS15" s="65">
        <v>0.0</v>
      </c>
      <c r="AT15" s="65">
        <v>0.0</v>
      </c>
      <c r="AU15" s="65">
        <v>0.0</v>
      </c>
      <c r="AV15" s="65">
        <v>0.0</v>
      </c>
      <c r="AW15" s="65">
        <v>0.0</v>
      </c>
      <c r="AX15" s="65">
        <v>0.0</v>
      </c>
      <c r="AY15" s="65">
        <v>0.0</v>
      </c>
      <c r="AZ15" s="65">
        <v>0.0</v>
      </c>
      <c r="BA15" s="65">
        <v>0.0</v>
      </c>
      <c r="BB15" s="65">
        <v>0.0</v>
      </c>
      <c r="BC15" s="65">
        <v>0.0</v>
      </c>
      <c r="BD15" s="65">
        <v>0.0</v>
      </c>
      <c r="BE15" s="65">
        <v>0.0</v>
      </c>
      <c r="BF15" s="65">
        <v>0.0</v>
      </c>
      <c r="BG15" s="65">
        <v>0.0</v>
      </c>
      <c r="BH15" s="65">
        <v>0.0</v>
      </c>
      <c r="BI15" s="65">
        <v>0.0</v>
      </c>
      <c r="BJ15" s="65">
        <v>0.0</v>
      </c>
      <c r="BK15" s="65">
        <v>0.0</v>
      </c>
      <c r="BL15" s="65">
        <v>0.0</v>
      </c>
      <c r="BM15" s="65">
        <v>0.0</v>
      </c>
      <c r="BN15" s="65">
        <v>0.0</v>
      </c>
      <c r="BO15" s="65">
        <v>0.0</v>
      </c>
      <c r="BP15" s="65">
        <v>0.0</v>
      </c>
      <c r="BQ15" s="65">
        <v>0.0</v>
      </c>
      <c r="BR15" s="65">
        <v>0.0</v>
      </c>
      <c r="BS15" s="65">
        <v>0.0</v>
      </c>
      <c r="BT15" s="65">
        <v>0.0</v>
      </c>
      <c r="BU15" s="65">
        <v>0.0</v>
      </c>
      <c r="BV15" s="65">
        <v>0.0</v>
      </c>
      <c r="BW15" s="65">
        <v>0.0</v>
      </c>
      <c r="BX15" s="65">
        <v>0.0</v>
      </c>
      <c r="BY15" s="65">
        <v>0.0</v>
      </c>
      <c r="BZ15" s="65">
        <v>0.0</v>
      </c>
      <c r="CA15" s="65">
        <v>0.0</v>
      </c>
      <c r="CB15" s="65">
        <v>0.0</v>
      </c>
      <c r="CC15" s="65">
        <v>0.0</v>
      </c>
      <c r="CD15" s="65">
        <v>0.0</v>
      </c>
      <c r="CE15" s="65">
        <v>0.0</v>
      </c>
      <c r="CF15" s="65">
        <v>0.0</v>
      </c>
      <c r="CG15" s="65">
        <v>0.0</v>
      </c>
      <c r="CH15" s="65">
        <v>0.0</v>
      </c>
      <c r="CI15" s="65">
        <v>0.0</v>
      </c>
      <c r="CJ15" s="65">
        <v>0.0</v>
      </c>
      <c r="CK15" s="65">
        <v>0.0</v>
      </c>
      <c r="CL15" s="61"/>
      <c r="CM15" s="38" t="s">
        <v>81</v>
      </c>
      <c r="CN15" s="61"/>
      <c r="CO15" s="61"/>
      <c r="CP15" s="61"/>
    </row>
    <row r="16" ht="15.75" customHeight="1">
      <c r="A16" s="75"/>
      <c r="B16" s="63"/>
      <c r="C16" s="63"/>
      <c r="D16" s="63"/>
      <c r="E16" s="63" t="s">
        <v>331</v>
      </c>
      <c r="F16" s="65" t="s">
        <v>135</v>
      </c>
      <c r="G16" s="65"/>
      <c r="H16" s="65"/>
      <c r="I16" s="65" t="s">
        <v>328</v>
      </c>
      <c r="J16" s="65" t="s">
        <v>329</v>
      </c>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v>0.0</v>
      </c>
      <c r="AQ16" s="65">
        <v>0.0</v>
      </c>
      <c r="AR16" s="65">
        <v>0.0</v>
      </c>
      <c r="AS16" s="65">
        <v>0.0</v>
      </c>
      <c r="AT16" s="65">
        <v>0.0</v>
      </c>
      <c r="AU16" s="65">
        <v>0.0</v>
      </c>
      <c r="AV16" s="65">
        <v>0.0</v>
      </c>
      <c r="AW16" s="65">
        <v>0.0</v>
      </c>
      <c r="AX16" s="65">
        <v>0.0</v>
      </c>
      <c r="AY16" s="65">
        <v>0.0</v>
      </c>
      <c r="AZ16" s="65">
        <v>0.0</v>
      </c>
      <c r="BA16" s="65">
        <v>0.0</v>
      </c>
      <c r="BB16" s="65">
        <v>0.0</v>
      </c>
      <c r="BC16" s="65">
        <v>0.0</v>
      </c>
      <c r="BD16" s="65">
        <v>0.0</v>
      </c>
      <c r="BE16" s="65">
        <v>0.0</v>
      </c>
      <c r="BF16" s="65">
        <v>0.0</v>
      </c>
      <c r="BG16" s="65">
        <v>0.0</v>
      </c>
      <c r="BH16" s="65">
        <v>0.0</v>
      </c>
      <c r="BI16" s="65">
        <v>0.0</v>
      </c>
      <c r="BJ16" s="65">
        <v>0.0</v>
      </c>
      <c r="BK16" s="65">
        <v>0.0</v>
      </c>
      <c r="BL16" s="65">
        <v>0.0</v>
      </c>
      <c r="BM16" s="65">
        <v>0.0</v>
      </c>
      <c r="BN16" s="65">
        <v>0.0</v>
      </c>
      <c r="BO16" s="65">
        <v>0.0</v>
      </c>
      <c r="BP16" s="65">
        <v>0.0</v>
      </c>
      <c r="BQ16" s="65">
        <v>0.0</v>
      </c>
      <c r="BR16" s="65">
        <v>0.0</v>
      </c>
      <c r="BS16" s="65">
        <v>0.0</v>
      </c>
      <c r="BT16" s="65">
        <v>0.0</v>
      </c>
      <c r="BU16" s="65">
        <v>0.0</v>
      </c>
      <c r="BV16" s="65">
        <v>0.0</v>
      </c>
      <c r="BW16" s="65">
        <v>0.0</v>
      </c>
      <c r="BX16" s="65">
        <v>0.0</v>
      </c>
      <c r="BY16" s="65">
        <v>0.0</v>
      </c>
      <c r="BZ16" s="65">
        <v>0.0</v>
      </c>
      <c r="CA16" s="65">
        <v>0.0</v>
      </c>
      <c r="CB16" s="65">
        <v>0.0</v>
      </c>
      <c r="CC16" s="65">
        <v>0.0</v>
      </c>
      <c r="CD16" s="65">
        <v>0.0</v>
      </c>
      <c r="CE16" s="65">
        <v>0.0</v>
      </c>
      <c r="CF16" s="65">
        <v>0.0</v>
      </c>
      <c r="CG16" s="65">
        <v>0.0</v>
      </c>
      <c r="CH16" s="65">
        <v>0.0</v>
      </c>
      <c r="CI16" s="65">
        <v>0.0</v>
      </c>
      <c r="CJ16" s="65">
        <v>0.0</v>
      </c>
      <c r="CK16" s="65">
        <v>0.0</v>
      </c>
      <c r="CL16" s="61"/>
      <c r="CM16" s="38" t="s">
        <v>135</v>
      </c>
      <c r="CN16" s="61"/>
      <c r="CO16" s="61"/>
      <c r="CP16" s="61"/>
    </row>
    <row r="17" ht="15.75" customHeight="1">
      <c r="A17" s="75"/>
      <c r="B17" s="63"/>
      <c r="C17" s="63"/>
      <c r="D17" s="63"/>
      <c r="E17" s="63" t="s">
        <v>331</v>
      </c>
      <c r="F17" s="65" t="s">
        <v>332</v>
      </c>
      <c r="G17" s="65"/>
      <c r="H17" s="65"/>
      <c r="I17" s="65" t="s">
        <v>328</v>
      </c>
      <c r="J17" s="65" t="s">
        <v>329</v>
      </c>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v>0.0</v>
      </c>
      <c r="AQ17" s="65">
        <v>0.0</v>
      </c>
      <c r="AR17" s="65">
        <v>0.0</v>
      </c>
      <c r="AS17" s="65">
        <v>0.0</v>
      </c>
      <c r="AT17" s="65">
        <v>0.0</v>
      </c>
      <c r="AU17" s="65">
        <v>0.0</v>
      </c>
      <c r="AV17" s="65">
        <v>0.0</v>
      </c>
      <c r="AW17" s="65">
        <v>0.0</v>
      </c>
      <c r="AX17" s="65">
        <v>0.0</v>
      </c>
      <c r="AY17" s="65">
        <v>0.0</v>
      </c>
      <c r="AZ17" s="65">
        <v>0.0</v>
      </c>
      <c r="BA17" s="65">
        <v>0.0</v>
      </c>
      <c r="BB17" s="65">
        <v>0.0</v>
      </c>
      <c r="BC17" s="65">
        <v>0.0</v>
      </c>
      <c r="BD17" s="65">
        <v>0.0</v>
      </c>
      <c r="BE17" s="65">
        <v>0.0</v>
      </c>
      <c r="BF17" s="65">
        <v>0.0</v>
      </c>
      <c r="BG17" s="65">
        <v>0.0</v>
      </c>
      <c r="BH17" s="65">
        <v>0.0</v>
      </c>
      <c r="BI17" s="65">
        <v>0.0</v>
      </c>
      <c r="BJ17" s="65">
        <v>0.0</v>
      </c>
      <c r="BK17" s="65">
        <v>0.0</v>
      </c>
      <c r="BL17" s="65">
        <v>0.0</v>
      </c>
      <c r="BM17" s="65">
        <v>0.0</v>
      </c>
      <c r="BN17" s="65">
        <v>0.0</v>
      </c>
      <c r="BO17" s="65">
        <v>0.0</v>
      </c>
      <c r="BP17" s="65">
        <v>0.0</v>
      </c>
      <c r="BQ17" s="65">
        <v>0.0</v>
      </c>
      <c r="BR17" s="65">
        <v>0.0</v>
      </c>
      <c r="BS17" s="65">
        <v>0.0</v>
      </c>
      <c r="BT17" s="65">
        <v>0.0</v>
      </c>
      <c r="BU17" s="65">
        <v>0.0</v>
      </c>
      <c r="BV17" s="65">
        <v>0.0</v>
      </c>
      <c r="BW17" s="65">
        <v>0.0</v>
      </c>
      <c r="BX17" s="65">
        <v>0.0</v>
      </c>
      <c r="BY17" s="65">
        <v>0.0</v>
      </c>
      <c r="BZ17" s="65">
        <v>0.0</v>
      </c>
      <c r="CA17" s="65">
        <v>0.0</v>
      </c>
      <c r="CB17" s="65">
        <v>0.0</v>
      </c>
      <c r="CC17" s="65">
        <v>0.0</v>
      </c>
      <c r="CD17" s="65">
        <v>0.0</v>
      </c>
      <c r="CE17" s="65">
        <v>0.0</v>
      </c>
      <c r="CF17" s="65">
        <v>0.0</v>
      </c>
      <c r="CG17" s="65">
        <v>0.0</v>
      </c>
      <c r="CH17" s="65">
        <v>0.0</v>
      </c>
      <c r="CI17" s="65">
        <v>0.0</v>
      </c>
      <c r="CJ17" s="65">
        <v>0.0</v>
      </c>
      <c r="CK17" s="65">
        <v>0.0</v>
      </c>
      <c r="CL17" s="61"/>
      <c r="CM17" s="38" t="s">
        <v>332</v>
      </c>
      <c r="CN17" s="61"/>
      <c r="CO17" s="61"/>
      <c r="CP17" s="61"/>
    </row>
    <row r="18" ht="15.75" customHeight="1">
      <c r="A18" s="75"/>
      <c r="B18" s="63"/>
      <c r="C18" s="63"/>
      <c r="D18" s="63"/>
      <c r="E18" s="63" t="s">
        <v>331</v>
      </c>
      <c r="F18" s="65" t="s">
        <v>163</v>
      </c>
      <c r="G18" s="65"/>
      <c r="H18" s="65"/>
      <c r="I18" s="65" t="s">
        <v>328</v>
      </c>
      <c r="J18" s="65" t="s">
        <v>329</v>
      </c>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v>0.0</v>
      </c>
      <c r="AQ18" s="65">
        <v>0.0</v>
      </c>
      <c r="AR18" s="65">
        <v>0.0</v>
      </c>
      <c r="AS18" s="65">
        <v>0.0</v>
      </c>
      <c r="AT18" s="65">
        <v>0.0</v>
      </c>
      <c r="AU18" s="65">
        <v>0.0</v>
      </c>
      <c r="AV18" s="65">
        <v>0.0</v>
      </c>
      <c r="AW18" s="65">
        <v>0.0</v>
      </c>
      <c r="AX18" s="65">
        <v>0.0</v>
      </c>
      <c r="AY18" s="65">
        <v>0.0</v>
      </c>
      <c r="AZ18" s="65">
        <v>0.0</v>
      </c>
      <c r="BA18" s="65">
        <v>0.0</v>
      </c>
      <c r="BB18" s="65">
        <v>0.0</v>
      </c>
      <c r="BC18" s="65">
        <v>0.0</v>
      </c>
      <c r="BD18" s="65">
        <v>0.0</v>
      </c>
      <c r="BE18" s="65">
        <v>0.0</v>
      </c>
      <c r="BF18" s="65">
        <v>0.0</v>
      </c>
      <c r="BG18" s="65">
        <v>0.0</v>
      </c>
      <c r="BH18" s="65">
        <v>0.0</v>
      </c>
      <c r="BI18" s="65">
        <v>0.0</v>
      </c>
      <c r="BJ18" s="65">
        <v>0.0</v>
      </c>
      <c r="BK18" s="65">
        <v>0.0</v>
      </c>
      <c r="BL18" s="65">
        <v>0.0</v>
      </c>
      <c r="BM18" s="65">
        <v>0.0</v>
      </c>
      <c r="BN18" s="65">
        <v>0.0</v>
      </c>
      <c r="BO18" s="65">
        <v>0.0</v>
      </c>
      <c r="BP18" s="65">
        <v>0.0</v>
      </c>
      <c r="BQ18" s="65">
        <v>0.0</v>
      </c>
      <c r="BR18" s="65">
        <v>0.0</v>
      </c>
      <c r="BS18" s="65">
        <v>0.0</v>
      </c>
      <c r="BT18" s="65">
        <v>0.0</v>
      </c>
      <c r="BU18" s="65">
        <v>0.0</v>
      </c>
      <c r="BV18" s="65">
        <v>0.0</v>
      </c>
      <c r="BW18" s="65">
        <v>0.0</v>
      </c>
      <c r="BX18" s="65">
        <v>0.0</v>
      </c>
      <c r="BY18" s="65">
        <v>0.0</v>
      </c>
      <c r="BZ18" s="65">
        <v>0.0</v>
      </c>
      <c r="CA18" s="65">
        <v>0.0</v>
      </c>
      <c r="CB18" s="65">
        <v>0.0</v>
      </c>
      <c r="CC18" s="65">
        <v>0.0</v>
      </c>
      <c r="CD18" s="65">
        <v>0.0</v>
      </c>
      <c r="CE18" s="65">
        <v>0.0</v>
      </c>
      <c r="CF18" s="65">
        <v>0.0</v>
      </c>
      <c r="CG18" s="65">
        <v>0.0</v>
      </c>
      <c r="CH18" s="65">
        <v>0.0</v>
      </c>
      <c r="CI18" s="65">
        <v>0.0</v>
      </c>
      <c r="CJ18" s="65">
        <v>0.0</v>
      </c>
      <c r="CK18" s="65">
        <v>0.0</v>
      </c>
      <c r="CL18" s="61"/>
      <c r="CM18" s="38" t="s">
        <v>163</v>
      </c>
      <c r="CN18" s="61"/>
      <c r="CO18" s="61"/>
      <c r="CP18" s="61"/>
    </row>
    <row r="19" ht="15.75" customHeight="1">
      <c r="A19" s="75"/>
      <c r="B19" s="63"/>
      <c r="C19" s="63"/>
      <c r="D19" s="63"/>
      <c r="E19" s="63" t="s">
        <v>331</v>
      </c>
      <c r="F19" s="65" t="s">
        <v>77</v>
      </c>
      <c r="G19" s="65"/>
      <c r="H19" s="65"/>
      <c r="I19" s="65" t="s">
        <v>328</v>
      </c>
      <c r="J19" s="65" t="s">
        <v>329</v>
      </c>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v>0.0</v>
      </c>
      <c r="AQ19" s="65">
        <v>0.0</v>
      </c>
      <c r="AR19" s="65">
        <v>0.0</v>
      </c>
      <c r="AS19" s="65">
        <v>0.0</v>
      </c>
      <c r="AT19" s="65">
        <v>0.0</v>
      </c>
      <c r="AU19" s="65">
        <v>0.0</v>
      </c>
      <c r="AV19" s="65">
        <v>0.0</v>
      </c>
      <c r="AW19" s="65">
        <v>0.0</v>
      </c>
      <c r="AX19" s="65">
        <v>0.0</v>
      </c>
      <c r="AY19" s="65">
        <v>0.0</v>
      </c>
      <c r="AZ19" s="65">
        <v>0.0</v>
      </c>
      <c r="BA19" s="65">
        <v>0.0</v>
      </c>
      <c r="BB19" s="65">
        <v>0.0</v>
      </c>
      <c r="BC19" s="65">
        <v>0.0</v>
      </c>
      <c r="BD19" s="65">
        <v>0.0</v>
      </c>
      <c r="BE19" s="65">
        <v>0.0</v>
      </c>
      <c r="BF19" s="65">
        <v>0.0</v>
      </c>
      <c r="BG19" s="65">
        <v>0.0</v>
      </c>
      <c r="BH19" s="65">
        <v>0.0</v>
      </c>
      <c r="BI19" s="65">
        <v>0.0</v>
      </c>
      <c r="BJ19" s="65">
        <v>0.0</v>
      </c>
      <c r="BK19" s="65">
        <v>0.0</v>
      </c>
      <c r="BL19" s="65">
        <v>0.0</v>
      </c>
      <c r="BM19" s="65">
        <v>0.0</v>
      </c>
      <c r="BN19" s="65">
        <v>0.0</v>
      </c>
      <c r="BO19" s="65">
        <v>0.0</v>
      </c>
      <c r="BP19" s="65">
        <v>0.0</v>
      </c>
      <c r="BQ19" s="65">
        <v>0.0</v>
      </c>
      <c r="BR19" s="65">
        <v>0.0</v>
      </c>
      <c r="BS19" s="65">
        <v>0.0</v>
      </c>
      <c r="BT19" s="65">
        <v>0.0</v>
      </c>
      <c r="BU19" s="65">
        <v>0.0</v>
      </c>
      <c r="BV19" s="65">
        <v>0.0</v>
      </c>
      <c r="BW19" s="65">
        <v>0.0</v>
      </c>
      <c r="BX19" s="65">
        <v>0.0</v>
      </c>
      <c r="BY19" s="65">
        <v>0.0</v>
      </c>
      <c r="BZ19" s="65">
        <v>0.0</v>
      </c>
      <c r="CA19" s="65">
        <v>0.0</v>
      </c>
      <c r="CB19" s="65">
        <v>0.0</v>
      </c>
      <c r="CC19" s="65">
        <v>0.0</v>
      </c>
      <c r="CD19" s="65">
        <v>0.0</v>
      </c>
      <c r="CE19" s="65">
        <v>0.0</v>
      </c>
      <c r="CF19" s="65">
        <v>0.0</v>
      </c>
      <c r="CG19" s="65">
        <v>0.0</v>
      </c>
      <c r="CH19" s="65">
        <v>0.0</v>
      </c>
      <c r="CI19" s="65">
        <v>0.0</v>
      </c>
      <c r="CJ19" s="65">
        <v>0.0</v>
      </c>
      <c r="CK19" s="65">
        <v>0.0</v>
      </c>
      <c r="CL19" s="61"/>
      <c r="CM19" s="38" t="s">
        <v>77</v>
      </c>
      <c r="CN19" s="61"/>
      <c r="CO19" s="61"/>
      <c r="CP19" s="61"/>
    </row>
    <row r="20" ht="15.75" customHeight="1">
      <c r="A20" s="75"/>
      <c r="B20" s="65"/>
      <c r="C20" s="65"/>
      <c r="D20" s="65"/>
      <c r="E20" s="65" t="s">
        <v>333</v>
      </c>
      <c r="F20" s="65" t="s">
        <v>99</v>
      </c>
      <c r="G20" s="65"/>
      <c r="H20" s="65"/>
      <c r="I20" s="65" t="s">
        <v>328</v>
      </c>
      <c r="J20" s="65" t="s">
        <v>329</v>
      </c>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v>0.0</v>
      </c>
      <c r="AQ20" s="65">
        <v>0.0</v>
      </c>
      <c r="AR20" s="65">
        <v>0.0</v>
      </c>
      <c r="AS20" s="65">
        <v>0.0</v>
      </c>
      <c r="AT20" s="65">
        <v>0.0</v>
      </c>
      <c r="AU20" s="65">
        <v>0.0</v>
      </c>
      <c r="AV20" s="65">
        <v>0.0</v>
      </c>
      <c r="AW20" s="65">
        <v>0.0</v>
      </c>
      <c r="AX20" s="65">
        <v>0.0</v>
      </c>
      <c r="AY20" s="65">
        <v>0.0</v>
      </c>
      <c r="AZ20" s="65">
        <v>0.0</v>
      </c>
      <c r="BA20" s="65">
        <v>0.0</v>
      </c>
      <c r="BB20" s="65">
        <v>0.0</v>
      </c>
      <c r="BC20" s="65">
        <v>0.0</v>
      </c>
      <c r="BD20" s="65">
        <v>0.0</v>
      </c>
      <c r="BE20" s="65">
        <v>0.0</v>
      </c>
      <c r="BF20" s="65">
        <v>0.0</v>
      </c>
      <c r="BG20" s="65">
        <v>0.0</v>
      </c>
      <c r="BH20" s="65">
        <v>0.0</v>
      </c>
      <c r="BI20" s="65">
        <v>0.0</v>
      </c>
      <c r="BJ20" s="65">
        <v>0.0</v>
      </c>
      <c r="BK20" s="65">
        <v>0.0</v>
      </c>
      <c r="BL20" s="65">
        <v>0.0</v>
      </c>
      <c r="BM20" s="65">
        <v>0.0</v>
      </c>
      <c r="BN20" s="65">
        <v>0.0</v>
      </c>
      <c r="BO20" s="65">
        <v>0.0</v>
      </c>
      <c r="BP20" s="65">
        <v>0.0</v>
      </c>
      <c r="BQ20" s="65">
        <v>0.0</v>
      </c>
      <c r="BR20" s="65">
        <v>0.0</v>
      </c>
      <c r="BS20" s="65">
        <v>0.0</v>
      </c>
      <c r="BT20" s="65">
        <v>0.0</v>
      </c>
      <c r="BU20" s="65">
        <v>0.0</v>
      </c>
      <c r="BV20" s="65">
        <v>0.0</v>
      </c>
      <c r="BW20" s="65">
        <v>0.0</v>
      </c>
      <c r="BX20" s="65">
        <v>0.0</v>
      </c>
      <c r="BY20" s="65">
        <v>0.0</v>
      </c>
      <c r="BZ20" s="65">
        <v>0.0</v>
      </c>
      <c r="CA20" s="65">
        <v>0.0</v>
      </c>
      <c r="CB20" s="65">
        <v>0.0</v>
      </c>
      <c r="CC20" s="65">
        <v>0.0</v>
      </c>
      <c r="CD20" s="65">
        <v>0.0</v>
      </c>
      <c r="CE20" s="65">
        <v>0.0</v>
      </c>
      <c r="CF20" s="65">
        <v>0.0</v>
      </c>
      <c r="CG20" s="65">
        <v>0.0</v>
      </c>
      <c r="CH20" s="65">
        <v>0.0</v>
      </c>
      <c r="CI20" s="65">
        <v>0.0</v>
      </c>
      <c r="CJ20" s="65">
        <v>0.0</v>
      </c>
      <c r="CK20" s="65">
        <v>0.0</v>
      </c>
      <c r="CL20" s="61"/>
      <c r="CM20" s="38" t="s">
        <v>99</v>
      </c>
      <c r="CN20" s="61"/>
      <c r="CO20" s="61"/>
      <c r="CP20" s="61"/>
    </row>
    <row r="21" ht="15.75" customHeight="1">
      <c r="A21" s="75"/>
      <c r="B21" s="65"/>
      <c r="C21" s="65"/>
      <c r="D21" s="65"/>
      <c r="E21" s="65" t="s">
        <v>333</v>
      </c>
      <c r="F21" s="65" t="s">
        <v>87</v>
      </c>
      <c r="G21" s="65"/>
      <c r="H21" s="65"/>
      <c r="I21" s="65" t="s">
        <v>328</v>
      </c>
      <c r="J21" s="65" t="s">
        <v>329</v>
      </c>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v>0.0</v>
      </c>
      <c r="AQ21" s="65">
        <v>0.0</v>
      </c>
      <c r="AR21" s="65">
        <v>0.0</v>
      </c>
      <c r="AS21" s="65">
        <v>0.0</v>
      </c>
      <c r="AT21" s="65">
        <v>0.0</v>
      </c>
      <c r="AU21" s="65">
        <v>0.0</v>
      </c>
      <c r="AV21" s="65">
        <v>0.0</v>
      </c>
      <c r="AW21" s="65">
        <v>0.0</v>
      </c>
      <c r="AX21" s="65">
        <v>0.0</v>
      </c>
      <c r="AY21" s="65">
        <v>0.0</v>
      </c>
      <c r="AZ21" s="65">
        <v>0.0</v>
      </c>
      <c r="BA21" s="65">
        <v>0.0</v>
      </c>
      <c r="BB21" s="65">
        <v>0.0</v>
      </c>
      <c r="BC21" s="65">
        <v>0.0</v>
      </c>
      <c r="BD21" s="65">
        <v>0.0</v>
      </c>
      <c r="BE21" s="65">
        <v>0.0</v>
      </c>
      <c r="BF21" s="65">
        <v>0.0</v>
      </c>
      <c r="BG21" s="65">
        <v>0.0</v>
      </c>
      <c r="BH21" s="65">
        <v>0.0</v>
      </c>
      <c r="BI21" s="65">
        <v>0.0</v>
      </c>
      <c r="BJ21" s="65">
        <v>0.0</v>
      </c>
      <c r="BK21" s="65">
        <v>0.0</v>
      </c>
      <c r="BL21" s="65">
        <v>0.0</v>
      </c>
      <c r="BM21" s="65">
        <v>0.0</v>
      </c>
      <c r="BN21" s="65">
        <v>0.0</v>
      </c>
      <c r="BO21" s="65">
        <v>0.0</v>
      </c>
      <c r="BP21" s="65">
        <v>0.0</v>
      </c>
      <c r="BQ21" s="65">
        <v>0.0</v>
      </c>
      <c r="BR21" s="65">
        <v>0.0</v>
      </c>
      <c r="BS21" s="65">
        <v>0.0</v>
      </c>
      <c r="BT21" s="65">
        <v>0.0</v>
      </c>
      <c r="BU21" s="65">
        <v>0.0</v>
      </c>
      <c r="BV21" s="65">
        <v>0.0</v>
      </c>
      <c r="BW21" s="65">
        <v>0.0</v>
      </c>
      <c r="BX21" s="65">
        <v>0.0</v>
      </c>
      <c r="BY21" s="65">
        <v>0.0</v>
      </c>
      <c r="BZ21" s="65">
        <v>0.0</v>
      </c>
      <c r="CA21" s="65">
        <v>0.0</v>
      </c>
      <c r="CB21" s="65">
        <v>0.0</v>
      </c>
      <c r="CC21" s="65">
        <v>0.0</v>
      </c>
      <c r="CD21" s="65">
        <v>0.0</v>
      </c>
      <c r="CE21" s="65">
        <v>0.0</v>
      </c>
      <c r="CF21" s="65">
        <v>0.0</v>
      </c>
      <c r="CG21" s="65">
        <v>0.0</v>
      </c>
      <c r="CH21" s="65">
        <v>0.0</v>
      </c>
      <c r="CI21" s="65">
        <v>0.0</v>
      </c>
      <c r="CJ21" s="65">
        <v>0.0</v>
      </c>
      <c r="CK21" s="65">
        <v>0.0</v>
      </c>
      <c r="CL21" s="61"/>
      <c r="CM21" s="38" t="s">
        <v>87</v>
      </c>
      <c r="CN21" s="61"/>
      <c r="CO21" s="61"/>
      <c r="CP21" s="61"/>
    </row>
    <row r="22" ht="15.75" customHeight="1">
      <c r="A22" s="75"/>
      <c r="B22" s="65"/>
      <c r="C22" s="65"/>
      <c r="D22" s="65"/>
      <c r="E22" s="65" t="s">
        <v>333</v>
      </c>
      <c r="F22" s="65" t="s">
        <v>334</v>
      </c>
      <c r="G22" s="65"/>
      <c r="H22" s="65"/>
      <c r="I22" s="65" t="s">
        <v>328</v>
      </c>
      <c r="J22" s="65" t="s">
        <v>329</v>
      </c>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v>0.0</v>
      </c>
      <c r="AQ22" s="65">
        <v>0.0</v>
      </c>
      <c r="AR22" s="65">
        <v>0.0</v>
      </c>
      <c r="AS22" s="65">
        <v>0.0</v>
      </c>
      <c r="AT22" s="65">
        <v>0.0</v>
      </c>
      <c r="AU22" s="65">
        <v>0.0</v>
      </c>
      <c r="AV22" s="65">
        <v>0.0</v>
      </c>
      <c r="AW22" s="65">
        <v>0.0</v>
      </c>
      <c r="AX22" s="65">
        <v>0.0</v>
      </c>
      <c r="AY22" s="65">
        <v>0.0</v>
      </c>
      <c r="AZ22" s="65">
        <v>0.0</v>
      </c>
      <c r="BA22" s="65">
        <v>0.0</v>
      </c>
      <c r="BB22" s="65">
        <v>0.0</v>
      </c>
      <c r="BC22" s="65">
        <v>0.0</v>
      </c>
      <c r="BD22" s="65">
        <v>0.0</v>
      </c>
      <c r="BE22" s="65">
        <v>0.0</v>
      </c>
      <c r="BF22" s="65">
        <v>0.0</v>
      </c>
      <c r="BG22" s="65">
        <v>0.0</v>
      </c>
      <c r="BH22" s="65">
        <v>0.0</v>
      </c>
      <c r="BI22" s="65">
        <v>0.0</v>
      </c>
      <c r="BJ22" s="65">
        <v>0.0</v>
      </c>
      <c r="BK22" s="65">
        <v>0.0</v>
      </c>
      <c r="BL22" s="65">
        <v>0.0</v>
      </c>
      <c r="BM22" s="65">
        <v>0.0</v>
      </c>
      <c r="BN22" s="65">
        <v>0.0</v>
      </c>
      <c r="BO22" s="65">
        <v>0.0</v>
      </c>
      <c r="BP22" s="65">
        <v>0.0</v>
      </c>
      <c r="BQ22" s="65">
        <v>0.0</v>
      </c>
      <c r="BR22" s="65">
        <v>0.0</v>
      </c>
      <c r="BS22" s="65">
        <v>0.0</v>
      </c>
      <c r="BT22" s="65">
        <v>0.0</v>
      </c>
      <c r="BU22" s="65">
        <v>0.0</v>
      </c>
      <c r="BV22" s="65">
        <v>0.0</v>
      </c>
      <c r="BW22" s="65">
        <v>0.0</v>
      </c>
      <c r="BX22" s="65">
        <v>0.0</v>
      </c>
      <c r="BY22" s="65">
        <v>0.0</v>
      </c>
      <c r="BZ22" s="65">
        <v>0.0</v>
      </c>
      <c r="CA22" s="65">
        <v>0.0</v>
      </c>
      <c r="CB22" s="65">
        <v>0.0</v>
      </c>
      <c r="CC22" s="65">
        <v>0.0</v>
      </c>
      <c r="CD22" s="65">
        <v>0.0</v>
      </c>
      <c r="CE22" s="65">
        <v>0.0</v>
      </c>
      <c r="CF22" s="65">
        <v>0.0</v>
      </c>
      <c r="CG22" s="65">
        <v>0.0</v>
      </c>
      <c r="CH22" s="65">
        <v>0.0</v>
      </c>
      <c r="CI22" s="65">
        <v>0.0</v>
      </c>
      <c r="CJ22" s="65">
        <v>0.0</v>
      </c>
      <c r="CK22" s="65">
        <v>0.0</v>
      </c>
      <c r="CL22" s="61"/>
      <c r="CM22" s="38" t="s">
        <v>334</v>
      </c>
      <c r="CN22" s="61"/>
      <c r="CO22" s="61"/>
      <c r="CP22" s="61"/>
    </row>
    <row r="23" ht="15.75" customHeight="1">
      <c r="A23" s="75"/>
      <c r="B23" s="65"/>
      <c r="C23" s="65"/>
      <c r="D23" s="65"/>
      <c r="E23" s="65" t="s">
        <v>333</v>
      </c>
      <c r="F23" s="65" t="s">
        <v>180</v>
      </c>
      <c r="G23" s="65"/>
      <c r="H23" s="65"/>
      <c r="I23" s="65" t="s">
        <v>328</v>
      </c>
      <c r="J23" s="65" t="s">
        <v>329</v>
      </c>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v>0.0</v>
      </c>
      <c r="AQ23" s="65">
        <v>0.0</v>
      </c>
      <c r="AR23" s="65">
        <v>0.0</v>
      </c>
      <c r="AS23" s="65">
        <v>0.0</v>
      </c>
      <c r="AT23" s="65">
        <v>0.0</v>
      </c>
      <c r="AU23" s="65">
        <v>0.0</v>
      </c>
      <c r="AV23" s="65">
        <v>0.0</v>
      </c>
      <c r="AW23" s="65">
        <v>0.0</v>
      </c>
      <c r="AX23" s="65">
        <v>0.0</v>
      </c>
      <c r="AY23" s="65">
        <v>0.0</v>
      </c>
      <c r="AZ23" s="65">
        <v>0.0</v>
      </c>
      <c r="BA23" s="65">
        <v>0.0</v>
      </c>
      <c r="BB23" s="65">
        <v>0.0</v>
      </c>
      <c r="BC23" s="65">
        <v>0.0</v>
      </c>
      <c r="BD23" s="65">
        <v>0.0</v>
      </c>
      <c r="BE23" s="65">
        <v>0.0</v>
      </c>
      <c r="BF23" s="65">
        <v>0.0</v>
      </c>
      <c r="BG23" s="65">
        <v>0.0</v>
      </c>
      <c r="BH23" s="65">
        <v>0.0</v>
      </c>
      <c r="BI23" s="65">
        <v>0.0</v>
      </c>
      <c r="BJ23" s="65">
        <v>0.0</v>
      </c>
      <c r="BK23" s="65">
        <v>0.0</v>
      </c>
      <c r="BL23" s="65">
        <v>0.0</v>
      </c>
      <c r="BM23" s="65">
        <v>0.0</v>
      </c>
      <c r="BN23" s="65">
        <v>0.0</v>
      </c>
      <c r="BO23" s="65">
        <v>0.0</v>
      </c>
      <c r="BP23" s="65">
        <v>0.0</v>
      </c>
      <c r="BQ23" s="65">
        <v>0.0</v>
      </c>
      <c r="BR23" s="65">
        <v>0.0</v>
      </c>
      <c r="BS23" s="65">
        <v>0.0</v>
      </c>
      <c r="BT23" s="65">
        <v>0.0</v>
      </c>
      <c r="BU23" s="65">
        <v>0.0</v>
      </c>
      <c r="BV23" s="65">
        <v>0.0</v>
      </c>
      <c r="BW23" s="65">
        <v>0.0</v>
      </c>
      <c r="BX23" s="65">
        <v>0.0</v>
      </c>
      <c r="BY23" s="65">
        <v>0.0</v>
      </c>
      <c r="BZ23" s="65">
        <v>0.0</v>
      </c>
      <c r="CA23" s="65">
        <v>0.0</v>
      </c>
      <c r="CB23" s="65">
        <v>0.0</v>
      </c>
      <c r="CC23" s="65">
        <v>0.0</v>
      </c>
      <c r="CD23" s="65">
        <v>0.0</v>
      </c>
      <c r="CE23" s="65">
        <v>0.0</v>
      </c>
      <c r="CF23" s="65">
        <v>0.0</v>
      </c>
      <c r="CG23" s="65">
        <v>0.0</v>
      </c>
      <c r="CH23" s="65">
        <v>0.0</v>
      </c>
      <c r="CI23" s="65">
        <v>0.0</v>
      </c>
      <c r="CJ23" s="65">
        <v>0.0</v>
      </c>
      <c r="CK23" s="65">
        <v>0.0</v>
      </c>
      <c r="CL23" s="61"/>
      <c r="CM23" s="38" t="s">
        <v>180</v>
      </c>
      <c r="CN23" s="61"/>
      <c r="CO23" s="61"/>
      <c r="CP23" s="61"/>
    </row>
    <row r="24" ht="15.75" customHeight="1">
      <c r="A24" s="75"/>
      <c r="B24" s="65"/>
      <c r="C24" s="65"/>
      <c r="D24" s="65"/>
      <c r="E24" s="65" t="s">
        <v>333</v>
      </c>
      <c r="F24" s="65" t="s">
        <v>91</v>
      </c>
      <c r="G24" s="65"/>
      <c r="H24" s="65"/>
      <c r="I24" s="65" t="s">
        <v>328</v>
      </c>
      <c r="J24" s="65" t="s">
        <v>329</v>
      </c>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v>0.0</v>
      </c>
      <c r="AQ24" s="65">
        <v>0.0</v>
      </c>
      <c r="AR24" s="65">
        <v>0.0</v>
      </c>
      <c r="AS24" s="65">
        <v>0.0</v>
      </c>
      <c r="AT24" s="65">
        <v>0.0</v>
      </c>
      <c r="AU24" s="65">
        <v>0.0</v>
      </c>
      <c r="AV24" s="65">
        <v>0.0</v>
      </c>
      <c r="AW24" s="65">
        <v>0.0</v>
      </c>
      <c r="AX24" s="65">
        <v>0.0</v>
      </c>
      <c r="AY24" s="65">
        <v>0.0</v>
      </c>
      <c r="AZ24" s="65">
        <v>0.0</v>
      </c>
      <c r="BA24" s="65">
        <v>0.0</v>
      </c>
      <c r="BB24" s="65">
        <v>0.0</v>
      </c>
      <c r="BC24" s="65">
        <v>0.0</v>
      </c>
      <c r="BD24" s="65">
        <v>0.0</v>
      </c>
      <c r="BE24" s="65">
        <v>0.0</v>
      </c>
      <c r="BF24" s="65">
        <v>0.0</v>
      </c>
      <c r="BG24" s="65">
        <v>0.0</v>
      </c>
      <c r="BH24" s="65">
        <v>0.0</v>
      </c>
      <c r="BI24" s="65">
        <v>0.0</v>
      </c>
      <c r="BJ24" s="65">
        <v>0.0</v>
      </c>
      <c r="BK24" s="65">
        <v>0.0</v>
      </c>
      <c r="BL24" s="65">
        <v>0.0</v>
      </c>
      <c r="BM24" s="65">
        <v>0.0</v>
      </c>
      <c r="BN24" s="65">
        <v>0.0</v>
      </c>
      <c r="BO24" s="65">
        <v>0.0</v>
      </c>
      <c r="BP24" s="65">
        <v>0.0</v>
      </c>
      <c r="BQ24" s="65">
        <v>0.0</v>
      </c>
      <c r="BR24" s="65">
        <v>0.0</v>
      </c>
      <c r="BS24" s="65">
        <v>0.0</v>
      </c>
      <c r="BT24" s="65">
        <v>0.0</v>
      </c>
      <c r="BU24" s="65">
        <v>0.0</v>
      </c>
      <c r="BV24" s="65">
        <v>0.0</v>
      </c>
      <c r="BW24" s="65">
        <v>0.0</v>
      </c>
      <c r="BX24" s="65">
        <v>0.0</v>
      </c>
      <c r="BY24" s="65">
        <v>0.0</v>
      </c>
      <c r="BZ24" s="65">
        <v>0.0</v>
      </c>
      <c r="CA24" s="65">
        <v>0.0</v>
      </c>
      <c r="CB24" s="65">
        <v>0.0</v>
      </c>
      <c r="CC24" s="65">
        <v>0.0</v>
      </c>
      <c r="CD24" s="65">
        <v>0.0</v>
      </c>
      <c r="CE24" s="65">
        <v>0.0</v>
      </c>
      <c r="CF24" s="65">
        <v>0.0</v>
      </c>
      <c r="CG24" s="65">
        <v>0.0</v>
      </c>
      <c r="CH24" s="65">
        <v>0.0</v>
      </c>
      <c r="CI24" s="65">
        <v>0.0</v>
      </c>
      <c r="CJ24" s="65">
        <v>0.0</v>
      </c>
      <c r="CK24" s="65">
        <v>0.0</v>
      </c>
      <c r="CL24" s="61"/>
      <c r="CM24" s="38" t="s">
        <v>91</v>
      </c>
      <c r="CN24" s="61"/>
      <c r="CO24" s="61"/>
      <c r="CP24" s="61"/>
    </row>
    <row r="25" ht="15.75" customHeight="1">
      <c r="A25" s="75"/>
      <c r="B25" s="65"/>
      <c r="C25" s="65"/>
      <c r="D25" s="65"/>
      <c r="E25" s="65" t="s">
        <v>333</v>
      </c>
      <c r="F25" s="65" t="s">
        <v>86</v>
      </c>
      <c r="G25" s="65"/>
      <c r="H25" s="65"/>
      <c r="I25" s="65" t="s">
        <v>328</v>
      </c>
      <c r="J25" s="65" t="s">
        <v>329</v>
      </c>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v>0.0</v>
      </c>
      <c r="AQ25" s="65">
        <v>0.0</v>
      </c>
      <c r="AR25" s="65">
        <v>0.0</v>
      </c>
      <c r="AS25" s="65">
        <v>0.0</v>
      </c>
      <c r="AT25" s="65">
        <v>0.0</v>
      </c>
      <c r="AU25" s="65">
        <v>0.0</v>
      </c>
      <c r="AV25" s="65">
        <v>0.0</v>
      </c>
      <c r="AW25" s="65">
        <v>0.0</v>
      </c>
      <c r="AX25" s="65">
        <v>0.0</v>
      </c>
      <c r="AY25" s="65">
        <v>0.0</v>
      </c>
      <c r="AZ25" s="65">
        <v>0.0</v>
      </c>
      <c r="BA25" s="65">
        <v>0.0</v>
      </c>
      <c r="BB25" s="65">
        <v>0.0</v>
      </c>
      <c r="BC25" s="65">
        <v>0.0</v>
      </c>
      <c r="BD25" s="65">
        <v>0.0</v>
      </c>
      <c r="BE25" s="65">
        <v>0.0</v>
      </c>
      <c r="BF25" s="65">
        <v>0.0</v>
      </c>
      <c r="BG25" s="65">
        <v>0.0</v>
      </c>
      <c r="BH25" s="65">
        <v>0.0</v>
      </c>
      <c r="BI25" s="65">
        <v>0.0</v>
      </c>
      <c r="BJ25" s="65">
        <v>0.0</v>
      </c>
      <c r="BK25" s="65">
        <v>0.0</v>
      </c>
      <c r="BL25" s="65">
        <v>0.0</v>
      </c>
      <c r="BM25" s="65">
        <v>0.0</v>
      </c>
      <c r="BN25" s="65">
        <v>0.0</v>
      </c>
      <c r="BO25" s="65">
        <v>0.0</v>
      </c>
      <c r="BP25" s="65">
        <v>0.0</v>
      </c>
      <c r="BQ25" s="65">
        <v>0.0</v>
      </c>
      <c r="BR25" s="65">
        <v>0.0</v>
      </c>
      <c r="BS25" s="65">
        <v>0.0</v>
      </c>
      <c r="BT25" s="65">
        <v>0.0</v>
      </c>
      <c r="BU25" s="65">
        <v>0.0</v>
      </c>
      <c r="BV25" s="65">
        <v>0.0</v>
      </c>
      <c r="BW25" s="65">
        <v>0.0</v>
      </c>
      <c r="BX25" s="65">
        <v>0.0</v>
      </c>
      <c r="BY25" s="65">
        <v>0.0</v>
      </c>
      <c r="BZ25" s="65">
        <v>0.0</v>
      </c>
      <c r="CA25" s="65">
        <v>0.0</v>
      </c>
      <c r="CB25" s="65">
        <v>0.0</v>
      </c>
      <c r="CC25" s="65">
        <v>0.0</v>
      </c>
      <c r="CD25" s="65">
        <v>0.0</v>
      </c>
      <c r="CE25" s="65">
        <v>0.0</v>
      </c>
      <c r="CF25" s="65">
        <v>0.0</v>
      </c>
      <c r="CG25" s="65">
        <v>0.0</v>
      </c>
      <c r="CH25" s="65">
        <v>0.0</v>
      </c>
      <c r="CI25" s="65">
        <v>0.0</v>
      </c>
      <c r="CJ25" s="65">
        <v>0.0</v>
      </c>
      <c r="CK25" s="65">
        <v>0.0</v>
      </c>
      <c r="CL25" s="61"/>
      <c r="CM25" s="38" t="s">
        <v>86</v>
      </c>
      <c r="CN25" s="61"/>
      <c r="CO25" s="61"/>
      <c r="CP25" s="61"/>
    </row>
    <row r="26" ht="15.75" customHeight="1">
      <c r="A26" s="75"/>
      <c r="B26" s="65"/>
      <c r="C26" s="65"/>
      <c r="D26" s="65"/>
      <c r="E26" s="65" t="s">
        <v>333</v>
      </c>
      <c r="F26" s="65" t="s">
        <v>84</v>
      </c>
      <c r="G26" s="65"/>
      <c r="H26" s="65"/>
      <c r="I26" s="65" t="s">
        <v>328</v>
      </c>
      <c r="J26" s="65" t="s">
        <v>329</v>
      </c>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v>0.0</v>
      </c>
      <c r="AQ26" s="65">
        <v>0.0</v>
      </c>
      <c r="AR26" s="65">
        <v>0.0</v>
      </c>
      <c r="AS26" s="65">
        <v>0.0</v>
      </c>
      <c r="AT26" s="65">
        <v>0.0</v>
      </c>
      <c r="AU26" s="65">
        <v>0.0</v>
      </c>
      <c r="AV26" s="65">
        <v>0.0</v>
      </c>
      <c r="AW26" s="65">
        <v>0.0</v>
      </c>
      <c r="AX26" s="65">
        <v>0.0</v>
      </c>
      <c r="AY26" s="65">
        <v>0.0</v>
      </c>
      <c r="AZ26" s="65">
        <v>0.0</v>
      </c>
      <c r="BA26" s="65">
        <v>0.0</v>
      </c>
      <c r="BB26" s="65">
        <v>0.0</v>
      </c>
      <c r="BC26" s="65">
        <v>0.0</v>
      </c>
      <c r="BD26" s="65">
        <v>0.0</v>
      </c>
      <c r="BE26" s="65">
        <v>0.0</v>
      </c>
      <c r="BF26" s="65">
        <v>0.0</v>
      </c>
      <c r="BG26" s="65">
        <v>0.0</v>
      </c>
      <c r="BH26" s="65">
        <v>0.0</v>
      </c>
      <c r="BI26" s="65">
        <v>0.0</v>
      </c>
      <c r="BJ26" s="65">
        <v>0.0</v>
      </c>
      <c r="BK26" s="65">
        <v>0.0</v>
      </c>
      <c r="BL26" s="65">
        <v>0.0</v>
      </c>
      <c r="BM26" s="65">
        <v>0.0</v>
      </c>
      <c r="BN26" s="65">
        <v>0.0</v>
      </c>
      <c r="BO26" s="65">
        <v>0.0</v>
      </c>
      <c r="BP26" s="65">
        <v>0.0</v>
      </c>
      <c r="BQ26" s="65">
        <v>0.0</v>
      </c>
      <c r="BR26" s="65">
        <v>0.0</v>
      </c>
      <c r="BS26" s="65">
        <v>0.0</v>
      </c>
      <c r="BT26" s="65">
        <v>0.0</v>
      </c>
      <c r="BU26" s="65">
        <v>0.0</v>
      </c>
      <c r="BV26" s="65">
        <v>0.0</v>
      </c>
      <c r="BW26" s="65">
        <v>0.0</v>
      </c>
      <c r="BX26" s="65">
        <v>0.0</v>
      </c>
      <c r="BY26" s="65">
        <v>0.0</v>
      </c>
      <c r="BZ26" s="65">
        <v>0.0</v>
      </c>
      <c r="CA26" s="65">
        <v>0.0</v>
      </c>
      <c r="CB26" s="65">
        <v>0.0</v>
      </c>
      <c r="CC26" s="65">
        <v>0.0</v>
      </c>
      <c r="CD26" s="65">
        <v>0.0</v>
      </c>
      <c r="CE26" s="65">
        <v>0.0</v>
      </c>
      <c r="CF26" s="65">
        <v>0.0</v>
      </c>
      <c r="CG26" s="65">
        <v>0.0</v>
      </c>
      <c r="CH26" s="65">
        <v>0.0</v>
      </c>
      <c r="CI26" s="65">
        <v>0.0</v>
      </c>
      <c r="CJ26" s="65">
        <v>0.0</v>
      </c>
      <c r="CK26" s="65">
        <v>0.0</v>
      </c>
      <c r="CL26" s="61"/>
      <c r="CM26" s="38" t="s">
        <v>84</v>
      </c>
      <c r="CN26" s="61"/>
      <c r="CO26" s="61"/>
      <c r="CP26" s="61"/>
    </row>
    <row r="27" ht="15.75" customHeight="1">
      <c r="A27" s="75"/>
      <c r="B27" s="65"/>
      <c r="C27" s="65"/>
      <c r="D27" s="65"/>
      <c r="E27" s="65" t="s">
        <v>333</v>
      </c>
      <c r="F27" s="65" t="s">
        <v>83</v>
      </c>
      <c r="G27" s="65"/>
      <c r="H27" s="65"/>
      <c r="I27" s="65" t="s">
        <v>328</v>
      </c>
      <c r="J27" s="65" t="s">
        <v>329</v>
      </c>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v>0.0</v>
      </c>
      <c r="AQ27" s="65">
        <v>0.0</v>
      </c>
      <c r="AR27" s="65">
        <v>0.0</v>
      </c>
      <c r="AS27" s="65">
        <v>0.0</v>
      </c>
      <c r="AT27" s="65">
        <v>0.0</v>
      </c>
      <c r="AU27" s="65">
        <v>0.0</v>
      </c>
      <c r="AV27" s="65">
        <v>0.0</v>
      </c>
      <c r="AW27" s="65">
        <v>0.0</v>
      </c>
      <c r="AX27" s="65">
        <v>0.0</v>
      </c>
      <c r="AY27" s="65">
        <v>0.0</v>
      </c>
      <c r="AZ27" s="65">
        <v>0.0</v>
      </c>
      <c r="BA27" s="65">
        <v>0.0</v>
      </c>
      <c r="BB27" s="65">
        <v>0.0</v>
      </c>
      <c r="BC27" s="65">
        <v>0.0</v>
      </c>
      <c r="BD27" s="65">
        <v>0.0</v>
      </c>
      <c r="BE27" s="65">
        <v>0.0</v>
      </c>
      <c r="BF27" s="65">
        <v>0.0</v>
      </c>
      <c r="BG27" s="65">
        <v>0.0</v>
      </c>
      <c r="BH27" s="65">
        <v>0.0</v>
      </c>
      <c r="BI27" s="65">
        <v>0.0</v>
      </c>
      <c r="BJ27" s="65">
        <v>0.0</v>
      </c>
      <c r="BK27" s="65">
        <v>0.0</v>
      </c>
      <c r="BL27" s="65">
        <v>0.0</v>
      </c>
      <c r="BM27" s="65">
        <v>0.0</v>
      </c>
      <c r="BN27" s="65">
        <v>0.0</v>
      </c>
      <c r="BO27" s="65">
        <v>0.0</v>
      </c>
      <c r="BP27" s="65">
        <v>0.0</v>
      </c>
      <c r="BQ27" s="65">
        <v>0.0</v>
      </c>
      <c r="BR27" s="65">
        <v>0.0</v>
      </c>
      <c r="BS27" s="65">
        <v>0.0</v>
      </c>
      <c r="BT27" s="65">
        <v>0.0</v>
      </c>
      <c r="BU27" s="65">
        <v>0.0</v>
      </c>
      <c r="BV27" s="65">
        <v>0.0</v>
      </c>
      <c r="BW27" s="65">
        <v>0.0</v>
      </c>
      <c r="BX27" s="65">
        <v>0.0</v>
      </c>
      <c r="BY27" s="65">
        <v>0.0</v>
      </c>
      <c r="BZ27" s="65">
        <v>0.0</v>
      </c>
      <c r="CA27" s="65">
        <v>0.0</v>
      </c>
      <c r="CB27" s="65">
        <v>0.0</v>
      </c>
      <c r="CC27" s="65">
        <v>0.0</v>
      </c>
      <c r="CD27" s="65">
        <v>0.0</v>
      </c>
      <c r="CE27" s="65">
        <v>0.0</v>
      </c>
      <c r="CF27" s="65">
        <v>0.0</v>
      </c>
      <c r="CG27" s="65">
        <v>0.0</v>
      </c>
      <c r="CH27" s="65">
        <v>0.0</v>
      </c>
      <c r="CI27" s="65">
        <v>0.0</v>
      </c>
      <c r="CJ27" s="65">
        <v>0.0</v>
      </c>
      <c r="CK27" s="65">
        <v>0.0</v>
      </c>
      <c r="CL27" s="61"/>
      <c r="CM27" s="38" t="s">
        <v>83</v>
      </c>
      <c r="CN27" s="61"/>
      <c r="CO27" s="61"/>
      <c r="CP27" s="61"/>
    </row>
    <row r="28" ht="15.75" customHeight="1">
      <c r="A28" s="75"/>
      <c r="B28" s="65"/>
      <c r="C28" s="65"/>
      <c r="D28" s="65"/>
      <c r="E28" s="65" t="s">
        <v>333</v>
      </c>
      <c r="F28" s="65" t="s">
        <v>239</v>
      </c>
      <c r="G28" s="65"/>
      <c r="H28" s="65"/>
      <c r="I28" s="65" t="s">
        <v>328</v>
      </c>
      <c r="J28" s="65" t="s">
        <v>329</v>
      </c>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v>0.0</v>
      </c>
      <c r="AQ28" s="65">
        <v>0.0</v>
      </c>
      <c r="AR28" s="65">
        <v>0.0</v>
      </c>
      <c r="AS28" s="65">
        <v>0.0</v>
      </c>
      <c r="AT28" s="65">
        <v>0.0</v>
      </c>
      <c r="AU28" s="65">
        <v>0.0</v>
      </c>
      <c r="AV28" s="65">
        <v>0.0</v>
      </c>
      <c r="AW28" s="65">
        <v>0.0</v>
      </c>
      <c r="AX28" s="65">
        <v>0.0</v>
      </c>
      <c r="AY28" s="65">
        <v>0.0</v>
      </c>
      <c r="AZ28" s="65">
        <v>0.0</v>
      </c>
      <c r="BA28" s="65">
        <v>0.0</v>
      </c>
      <c r="BB28" s="65">
        <v>0.0</v>
      </c>
      <c r="BC28" s="65">
        <v>0.0</v>
      </c>
      <c r="BD28" s="65">
        <v>0.0</v>
      </c>
      <c r="BE28" s="65">
        <v>0.0</v>
      </c>
      <c r="BF28" s="65">
        <v>0.0</v>
      </c>
      <c r="BG28" s="65">
        <v>0.0</v>
      </c>
      <c r="BH28" s="65">
        <v>0.0</v>
      </c>
      <c r="BI28" s="65">
        <v>0.0</v>
      </c>
      <c r="BJ28" s="65">
        <v>0.0</v>
      </c>
      <c r="BK28" s="65">
        <v>0.0</v>
      </c>
      <c r="BL28" s="65">
        <v>0.0</v>
      </c>
      <c r="BM28" s="65">
        <v>0.0</v>
      </c>
      <c r="BN28" s="65">
        <v>0.0</v>
      </c>
      <c r="BO28" s="65">
        <v>0.0</v>
      </c>
      <c r="BP28" s="65">
        <v>0.0</v>
      </c>
      <c r="BQ28" s="65">
        <v>0.0</v>
      </c>
      <c r="BR28" s="65">
        <v>0.0</v>
      </c>
      <c r="BS28" s="65">
        <v>0.0</v>
      </c>
      <c r="BT28" s="65">
        <v>0.0</v>
      </c>
      <c r="BU28" s="65">
        <v>0.0</v>
      </c>
      <c r="BV28" s="65">
        <v>0.0</v>
      </c>
      <c r="BW28" s="65">
        <v>0.0</v>
      </c>
      <c r="BX28" s="65">
        <v>0.0</v>
      </c>
      <c r="BY28" s="65">
        <v>0.0</v>
      </c>
      <c r="BZ28" s="65">
        <v>0.0</v>
      </c>
      <c r="CA28" s="65">
        <v>0.0</v>
      </c>
      <c r="CB28" s="65">
        <v>0.0</v>
      </c>
      <c r="CC28" s="65">
        <v>0.0</v>
      </c>
      <c r="CD28" s="65">
        <v>0.0</v>
      </c>
      <c r="CE28" s="65">
        <v>0.0</v>
      </c>
      <c r="CF28" s="65">
        <v>0.0</v>
      </c>
      <c r="CG28" s="65">
        <v>0.0</v>
      </c>
      <c r="CH28" s="65">
        <v>0.0</v>
      </c>
      <c r="CI28" s="65">
        <v>0.0</v>
      </c>
      <c r="CJ28" s="65">
        <v>0.0</v>
      </c>
      <c r="CK28" s="65">
        <v>0.0</v>
      </c>
      <c r="CL28" s="61"/>
      <c r="CM28" s="38" t="s">
        <v>239</v>
      </c>
      <c r="CN28" s="61"/>
      <c r="CO28" s="61"/>
      <c r="CP28" s="61"/>
    </row>
    <row r="29" ht="15.75" customHeight="1">
      <c r="A29" s="75"/>
      <c r="B29" s="65"/>
      <c r="C29" s="65"/>
      <c r="D29" s="65"/>
      <c r="E29" s="65" t="s">
        <v>333</v>
      </c>
      <c r="F29" s="65" t="s">
        <v>335</v>
      </c>
      <c r="G29" s="65"/>
      <c r="H29" s="65"/>
      <c r="I29" s="65" t="s">
        <v>328</v>
      </c>
      <c r="J29" s="65" t="s">
        <v>329</v>
      </c>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v>0.0</v>
      </c>
      <c r="AQ29" s="65">
        <v>0.0</v>
      </c>
      <c r="AR29" s="65">
        <v>0.0</v>
      </c>
      <c r="AS29" s="65">
        <v>0.0</v>
      </c>
      <c r="AT29" s="65">
        <v>0.0</v>
      </c>
      <c r="AU29" s="65">
        <v>0.0</v>
      </c>
      <c r="AV29" s="65">
        <v>0.0</v>
      </c>
      <c r="AW29" s="65">
        <v>0.0</v>
      </c>
      <c r="AX29" s="65">
        <v>0.0</v>
      </c>
      <c r="AY29" s="65">
        <v>0.0</v>
      </c>
      <c r="AZ29" s="65">
        <v>0.0</v>
      </c>
      <c r="BA29" s="65">
        <v>0.0</v>
      </c>
      <c r="BB29" s="65">
        <v>0.0</v>
      </c>
      <c r="BC29" s="65">
        <v>0.0</v>
      </c>
      <c r="BD29" s="65">
        <v>0.0</v>
      </c>
      <c r="BE29" s="65">
        <v>0.0</v>
      </c>
      <c r="BF29" s="65">
        <v>0.0</v>
      </c>
      <c r="BG29" s="65">
        <v>0.0</v>
      </c>
      <c r="BH29" s="65">
        <v>0.0</v>
      </c>
      <c r="BI29" s="65">
        <v>0.0</v>
      </c>
      <c r="BJ29" s="65">
        <v>0.0</v>
      </c>
      <c r="BK29" s="65">
        <v>0.0</v>
      </c>
      <c r="BL29" s="65">
        <v>0.0</v>
      </c>
      <c r="BM29" s="65">
        <v>0.0</v>
      </c>
      <c r="BN29" s="65">
        <v>0.0</v>
      </c>
      <c r="BO29" s="65">
        <v>0.0</v>
      </c>
      <c r="BP29" s="65">
        <v>0.0</v>
      </c>
      <c r="BQ29" s="65">
        <v>0.0</v>
      </c>
      <c r="BR29" s="65">
        <v>0.0</v>
      </c>
      <c r="BS29" s="65">
        <v>0.0</v>
      </c>
      <c r="BT29" s="65">
        <v>0.0</v>
      </c>
      <c r="BU29" s="65">
        <v>0.0</v>
      </c>
      <c r="BV29" s="65">
        <v>0.0</v>
      </c>
      <c r="BW29" s="65">
        <v>0.0</v>
      </c>
      <c r="BX29" s="65">
        <v>0.0</v>
      </c>
      <c r="BY29" s="65">
        <v>0.0</v>
      </c>
      <c r="BZ29" s="65">
        <v>0.0</v>
      </c>
      <c r="CA29" s="65">
        <v>0.0</v>
      </c>
      <c r="CB29" s="65">
        <v>0.0</v>
      </c>
      <c r="CC29" s="65">
        <v>0.0</v>
      </c>
      <c r="CD29" s="65">
        <v>0.0</v>
      </c>
      <c r="CE29" s="65">
        <v>0.0</v>
      </c>
      <c r="CF29" s="65">
        <v>0.0</v>
      </c>
      <c r="CG29" s="65">
        <v>0.0</v>
      </c>
      <c r="CH29" s="65">
        <v>0.0</v>
      </c>
      <c r="CI29" s="65">
        <v>0.0</v>
      </c>
      <c r="CJ29" s="65">
        <v>0.0</v>
      </c>
      <c r="CK29" s="65">
        <v>0.0</v>
      </c>
      <c r="CL29" s="61"/>
      <c r="CM29" s="38" t="s">
        <v>335</v>
      </c>
      <c r="CN29" s="61"/>
      <c r="CO29" s="61"/>
      <c r="CP29" s="61"/>
    </row>
    <row r="30" ht="15.75" customHeight="1">
      <c r="A30" s="75"/>
      <c r="B30" s="65"/>
      <c r="C30" s="65"/>
      <c r="D30" s="65"/>
      <c r="E30" s="65" t="s">
        <v>333</v>
      </c>
      <c r="F30" s="65" t="s">
        <v>77</v>
      </c>
      <c r="G30" s="65"/>
      <c r="H30" s="65"/>
      <c r="I30" s="65" t="s">
        <v>328</v>
      </c>
      <c r="J30" s="65" t="s">
        <v>329</v>
      </c>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v>0.0</v>
      </c>
      <c r="AQ30" s="65">
        <v>0.0</v>
      </c>
      <c r="AR30" s="65">
        <v>0.0</v>
      </c>
      <c r="AS30" s="65">
        <v>0.0</v>
      </c>
      <c r="AT30" s="65">
        <v>0.0</v>
      </c>
      <c r="AU30" s="65">
        <v>0.0</v>
      </c>
      <c r="AV30" s="65">
        <v>0.0</v>
      </c>
      <c r="AW30" s="65">
        <v>0.0</v>
      </c>
      <c r="AX30" s="65">
        <v>0.0</v>
      </c>
      <c r="AY30" s="65">
        <v>0.0</v>
      </c>
      <c r="AZ30" s="65">
        <v>0.0</v>
      </c>
      <c r="BA30" s="65">
        <v>0.0</v>
      </c>
      <c r="BB30" s="65">
        <v>0.0</v>
      </c>
      <c r="BC30" s="65">
        <v>0.0</v>
      </c>
      <c r="BD30" s="65">
        <v>0.0</v>
      </c>
      <c r="BE30" s="65">
        <v>0.0</v>
      </c>
      <c r="BF30" s="65">
        <v>0.0</v>
      </c>
      <c r="BG30" s="65">
        <v>0.0</v>
      </c>
      <c r="BH30" s="65">
        <v>0.0</v>
      </c>
      <c r="BI30" s="65">
        <v>0.0</v>
      </c>
      <c r="BJ30" s="65">
        <v>0.0</v>
      </c>
      <c r="BK30" s="65">
        <v>0.0</v>
      </c>
      <c r="BL30" s="65">
        <v>0.0</v>
      </c>
      <c r="BM30" s="65">
        <v>0.0</v>
      </c>
      <c r="BN30" s="65">
        <v>0.0</v>
      </c>
      <c r="BO30" s="65">
        <v>0.0</v>
      </c>
      <c r="BP30" s="65">
        <v>0.0</v>
      </c>
      <c r="BQ30" s="65">
        <v>0.0</v>
      </c>
      <c r="BR30" s="65">
        <v>0.0</v>
      </c>
      <c r="BS30" s="65">
        <v>0.0</v>
      </c>
      <c r="BT30" s="65">
        <v>0.0</v>
      </c>
      <c r="BU30" s="65">
        <v>0.0</v>
      </c>
      <c r="BV30" s="65">
        <v>0.0</v>
      </c>
      <c r="BW30" s="65">
        <v>0.0</v>
      </c>
      <c r="BX30" s="65">
        <v>0.0</v>
      </c>
      <c r="BY30" s="65">
        <v>0.0</v>
      </c>
      <c r="BZ30" s="65">
        <v>0.0</v>
      </c>
      <c r="CA30" s="65">
        <v>0.0</v>
      </c>
      <c r="CB30" s="65">
        <v>0.0</v>
      </c>
      <c r="CC30" s="65">
        <v>0.0</v>
      </c>
      <c r="CD30" s="65">
        <v>0.0</v>
      </c>
      <c r="CE30" s="65">
        <v>0.0</v>
      </c>
      <c r="CF30" s="65">
        <v>0.0</v>
      </c>
      <c r="CG30" s="65">
        <v>0.0</v>
      </c>
      <c r="CH30" s="65">
        <v>0.0</v>
      </c>
      <c r="CI30" s="65">
        <v>0.0</v>
      </c>
      <c r="CJ30" s="65">
        <v>0.0</v>
      </c>
      <c r="CK30" s="65">
        <v>0.0</v>
      </c>
      <c r="CL30" s="61"/>
      <c r="CM30" s="61" t="s">
        <v>336</v>
      </c>
      <c r="CN30" s="61"/>
      <c r="CO30" s="61"/>
      <c r="CP30" s="61"/>
    </row>
    <row r="31" ht="15.75" customHeight="1">
      <c r="A31" s="75"/>
      <c r="B31" s="65"/>
      <c r="C31" s="65"/>
      <c r="D31" s="65"/>
      <c r="E31" s="65" t="s">
        <v>333</v>
      </c>
      <c r="F31" s="65" t="s">
        <v>178</v>
      </c>
      <c r="G31" s="65"/>
      <c r="H31" s="65"/>
      <c r="I31" s="65" t="s">
        <v>328</v>
      </c>
      <c r="J31" s="65" t="s">
        <v>329</v>
      </c>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v>0.0</v>
      </c>
      <c r="AQ31" s="65">
        <v>0.0</v>
      </c>
      <c r="AR31" s="65">
        <v>0.0</v>
      </c>
      <c r="AS31" s="65">
        <v>0.0</v>
      </c>
      <c r="AT31" s="65">
        <v>0.0</v>
      </c>
      <c r="AU31" s="65">
        <v>0.0</v>
      </c>
      <c r="AV31" s="65">
        <v>0.0</v>
      </c>
      <c r="AW31" s="65">
        <v>0.0</v>
      </c>
      <c r="AX31" s="65">
        <v>0.0</v>
      </c>
      <c r="AY31" s="65">
        <v>0.0</v>
      </c>
      <c r="AZ31" s="65">
        <v>0.0</v>
      </c>
      <c r="BA31" s="65">
        <v>0.0</v>
      </c>
      <c r="BB31" s="65">
        <v>0.0</v>
      </c>
      <c r="BC31" s="65">
        <v>0.0</v>
      </c>
      <c r="BD31" s="65">
        <v>0.0</v>
      </c>
      <c r="BE31" s="65">
        <v>0.0</v>
      </c>
      <c r="BF31" s="65">
        <v>0.0</v>
      </c>
      <c r="BG31" s="65">
        <v>0.0</v>
      </c>
      <c r="BH31" s="65">
        <v>0.0</v>
      </c>
      <c r="BI31" s="65">
        <v>0.0</v>
      </c>
      <c r="BJ31" s="65">
        <v>0.0</v>
      </c>
      <c r="BK31" s="65">
        <v>0.0</v>
      </c>
      <c r="BL31" s="65">
        <v>0.0</v>
      </c>
      <c r="BM31" s="65">
        <v>0.0</v>
      </c>
      <c r="BN31" s="65">
        <v>0.0</v>
      </c>
      <c r="BO31" s="65">
        <v>0.0</v>
      </c>
      <c r="BP31" s="65">
        <v>0.0</v>
      </c>
      <c r="BQ31" s="65">
        <v>0.0</v>
      </c>
      <c r="BR31" s="65">
        <v>0.0</v>
      </c>
      <c r="BS31" s="65">
        <v>0.0</v>
      </c>
      <c r="BT31" s="65">
        <v>0.0</v>
      </c>
      <c r="BU31" s="65">
        <v>0.0</v>
      </c>
      <c r="BV31" s="65">
        <v>0.0</v>
      </c>
      <c r="BW31" s="65">
        <v>0.0</v>
      </c>
      <c r="BX31" s="65">
        <v>0.0</v>
      </c>
      <c r="BY31" s="65">
        <v>0.0</v>
      </c>
      <c r="BZ31" s="65">
        <v>0.0</v>
      </c>
      <c r="CA31" s="65">
        <v>0.0</v>
      </c>
      <c r="CB31" s="65">
        <v>0.0</v>
      </c>
      <c r="CC31" s="65">
        <v>0.0</v>
      </c>
      <c r="CD31" s="65">
        <v>0.0</v>
      </c>
      <c r="CE31" s="65">
        <v>0.0</v>
      </c>
      <c r="CF31" s="65">
        <v>0.0</v>
      </c>
      <c r="CG31" s="65">
        <v>0.0</v>
      </c>
      <c r="CH31" s="65">
        <v>0.0</v>
      </c>
      <c r="CI31" s="65">
        <v>0.0</v>
      </c>
      <c r="CJ31" s="65">
        <v>0.0</v>
      </c>
      <c r="CK31" s="65">
        <v>0.0</v>
      </c>
      <c r="CL31" s="61"/>
      <c r="CM31" s="38" t="s">
        <v>178</v>
      </c>
      <c r="CN31" s="61"/>
      <c r="CO31" s="61"/>
      <c r="CP31" s="61"/>
    </row>
    <row r="32" ht="15.75" customHeight="1">
      <c r="A32" s="75"/>
      <c r="B32" s="65"/>
      <c r="C32" s="65"/>
      <c r="D32" s="65"/>
      <c r="E32" s="65" t="s">
        <v>333</v>
      </c>
      <c r="F32" s="65" t="s">
        <v>337</v>
      </c>
      <c r="G32" s="65"/>
      <c r="H32" s="65"/>
      <c r="I32" s="65" t="s">
        <v>328</v>
      </c>
      <c r="J32" s="65" t="s">
        <v>329</v>
      </c>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v>0.0</v>
      </c>
      <c r="AQ32" s="65">
        <v>0.0</v>
      </c>
      <c r="AR32" s="65">
        <v>0.0</v>
      </c>
      <c r="AS32" s="65">
        <v>0.0</v>
      </c>
      <c r="AT32" s="65">
        <v>0.0</v>
      </c>
      <c r="AU32" s="65">
        <v>0.0</v>
      </c>
      <c r="AV32" s="65">
        <v>0.0</v>
      </c>
      <c r="AW32" s="65">
        <v>0.0</v>
      </c>
      <c r="AX32" s="65">
        <v>0.0</v>
      </c>
      <c r="AY32" s="65">
        <v>0.0</v>
      </c>
      <c r="AZ32" s="65">
        <v>0.0</v>
      </c>
      <c r="BA32" s="65">
        <v>0.0</v>
      </c>
      <c r="BB32" s="65">
        <v>0.0</v>
      </c>
      <c r="BC32" s="65">
        <v>0.0</v>
      </c>
      <c r="BD32" s="65">
        <v>0.0</v>
      </c>
      <c r="BE32" s="65">
        <v>0.0</v>
      </c>
      <c r="BF32" s="65">
        <v>0.0</v>
      </c>
      <c r="BG32" s="65">
        <v>0.0</v>
      </c>
      <c r="BH32" s="65">
        <v>0.0</v>
      </c>
      <c r="BI32" s="65">
        <v>0.0</v>
      </c>
      <c r="BJ32" s="65">
        <v>0.0</v>
      </c>
      <c r="BK32" s="65">
        <v>0.0</v>
      </c>
      <c r="BL32" s="65">
        <v>0.0</v>
      </c>
      <c r="BM32" s="65">
        <v>0.0</v>
      </c>
      <c r="BN32" s="65">
        <v>0.0</v>
      </c>
      <c r="BO32" s="65">
        <v>0.0</v>
      </c>
      <c r="BP32" s="65">
        <v>0.0</v>
      </c>
      <c r="BQ32" s="65">
        <v>0.0</v>
      </c>
      <c r="BR32" s="65">
        <v>0.0</v>
      </c>
      <c r="BS32" s="65">
        <v>0.0</v>
      </c>
      <c r="BT32" s="65">
        <v>0.0</v>
      </c>
      <c r="BU32" s="65">
        <v>0.0</v>
      </c>
      <c r="BV32" s="65">
        <v>0.0</v>
      </c>
      <c r="BW32" s="65">
        <v>0.0</v>
      </c>
      <c r="BX32" s="65">
        <v>0.0</v>
      </c>
      <c r="BY32" s="65">
        <v>0.0</v>
      </c>
      <c r="BZ32" s="65">
        <v>0.0</v>
      </c>
      <c r="CA32" s="65">
        <v>0.0</v>
      </c>
      <c r="CB32" s="65">
        <v>0.0</v>
      </c>
      <c r="CC32" s="65">
        <v>0.0</v>
      </c>
      <c r="CD32" s="65">
        <v>0.0</v>
      </c>
      <c r="CE32" s="65">
        <v>0.0</v>
      </c>
      <c r="CF32" s="65">
        <v>0.0</v>
      </c>
      <c r="CG32" s="65">
        <v>0.0</v>
      </c>
      <c r="CH32" s="65">
        <v>0.0</v>
      </c>
      <c r="CI32" s="65">
        <v>0.0</v>
      </c>
      <c r="CJ32" s="65">
        <v>0.0</v>
      </c>
      <c r="CK32" s="65">
        <v>0.0</v>
      </c>
      <c r="CL32" s="61"/>
      <c r="CM32" s="38" t="s">
        <v>337</v>
      </c>
      <c r="CN32" s="61"/>
      <c r="CO32" s="61"/>
      <c r="CP32" s="61"/>
    </row>
    <row r="33" ht="15.75" customHeight="1">
      <c r="A33" s="75"/>
      <c r="B33" s="65"/>
      <c r="C33" s="65"/>
      <c r="D33" s="65"/>
      <c r="E33" s="65" t="s">
        <v>333</v>
      </c>
      <c r="F33" s="65" t="s">
        <v>135</v>
      </c>
      <c r="G33" s="65"/>
      <c r="H33" s="65"/>
      <c r="I33" s="65" t="s">
        <v>328</v>
      </c>
      <c r="J33" s="65" t="s">
        <v>329</v>
      </c>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v>0.0</v>
      </c>
      <c r="AQ33" s="65">
        <v>0.0</v>
      </c>
      <c r="AR33" s="65">
        <v>0.0</v>
      </c>
      <c r="AS33" s="65">
        <v>0.0</v>
      </c>
      <c r="AT33" s="65">
        <v>0.0</v>
      </c>
      <c r="AU33" s="65">
        <v>0.0</v>
      </c>
      <c r="AV33" s="65">
        <v>0.0</v>
      </c>
      <c r="AW33" s="65">
        <v>0.0</v>
      </c>
      <c r="AX33" s="65">
        <v>0.0</v>
      </c>
      <c r="AY33" s="65">
        <v>0.0</v>
      </c>
      <c r="AZ33" s="65">
        <v>0.0</v>
      </c>
      <c r="BA33" s="65">
        <v>0.0</v>
      </c>
      <c r="BB33" s="65">
        <v>0.0</v>
      </c>
      <c r="BC33" s="65">
        <v>0.0</v>
      </c>
      <c r="BD33" s="65">
        <v>0.0</v>
      </c>
      <c r="BE33" s="65">
        <v>0.0</v>
      </c>
      <c r="BF33" s="65">
        <v>0.0</v>
      </c>
      <c r="BG33" s="65">
        <v>0.0</v>
      </c>
      <c r="BH33" s="65">
        <v>0.0</v>
      </c>
      <c r="BI33" s="65">
        <v>0.0</v>
      </c>
      <c r="BJ33" s="65">
        <v>0.0</v>
      </c>
      <c r="BK33" s="65">
        <v>0.0</v>
      </c>
      <c r="BL33" s="65">
        <v>0.0</v>
      </c>
      <c r="BM33" s="65">
        <v>0.0</v>
      </c>
      <c r="BN33" s="65">
        <v>0.0</v>
      </c>
      <c r="BO33" s="65">
        <v>0.0</v>
      </c>
      <c r="BP33" s="65">
        <v>0.0</v>
      </c>
      <c r="BQ33" s="65">
        <v>0.0</v>
      </c>
      <c r="BR33" s="65">
        <v>0.0</v>
      </c>
      <c r="BS33" s="65">
        <v>0.0</v>
      </c>
      <c r="BT33" s="65">
        <v>0.0</v>
      </c>
      <c r="BU33" s="65">
        <v>0.0</v>
      </c>
      <c r="BV33" s="65">
        <v>0.0</v>
      </c>
      <c r="BW33" s="65">
        <v>0.0</v>
      </c>
      <c r="BX33" s="65">
        <v>0.0</v>
      </c>
      <c r="BY33" s="65">
        <v>0.0</v>
      </c>
      <c r="BZ33" s="65">
        <v>0.0</v>
      </c>
      <c r="CA33" s="65">
        <v>0.0</v>
      </c>
      <c r="CB33" s="65">
        <v>0.0</v>
      </c>
      <c r="CC33" s="65">
        <v>0.0</v>
      </c>
      <c r="CD33" s="65">
        <v>0.0</v>
      </c>
      <c r="CE33" s="65">
        <v>0.0</v>
      </c>
      <c r="CF33" s="65">
        <v>0.0</v>
      </c>
      <c r="CG33" s="65">
        <v>0.0</v>
      </c>
      <c r="CH33" s="65">
        <v>0.0</v>
      </c>
      <c r="CI33" s="65">
        <v>0.0</v>
      </c>
      <c r="CJ33" s="65">
        <v>0.0</v>
      </c>
      <c r="CK33" s="65">
        <v>0.0</v>
      </c>
      <c r="CL33" s="61"/>
      <c r="CM33" s="38" t="s">
        <v>135</v>
      </c>
      <c r="CN33" s="61"/>
      <c r="CO33" s="61"/>
      <c r="CP33" s="61"/>
    </row>
    <row r="34" ht="15.75" customHeight="1">
      <c r="A34" s="75"/>
      <c r="B34" s="65"/>
      <c r="C34" s="65"/>
      <c r="D34" s="65"/>
      <c r="E34" s="65" t="s">
        <v>333</v>
      </c>
      <c r="F34" s="65" t="s">
        <v>213</v>
      </c>
      <c r="G34" s="65"/>
      <c r="H34" s="65"/>
      <c r="I34" s="65" t="s">
        <v>328</v>
      </c>
      <c r="J34" s="65" t="s">
        <v>329</v>
      </c>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v>0.0</v>
      </c>
      <c r="AQ34" s="65">
        <v>0.0</v>
      </c>
      <c r="AR34" s="65">
        <v>0.0</v>
      </c>
      <c r="AS34" s="65">
        <v>0.0</v>
      </c>
      <c r="AT34" s="65">
        <v>0.0</v>
      </c>
      <c r="AU34" s="65">
        <v>0.0</v>
      </c>
      <c r="AV34" s="65">
        <v>0.0</v>
      </c>
      <c r="AW34" s="65">
        <v>0.0</v>
      </c>
      <c r="AX34" s="65">
        <v>0.0</v>
      </c>
      <c r="AY34" s="65">
        <v>0.0</v>
      </c>
      <c r="AZ34" s="65">
        <v>0.0</v>
      </c>
      <c r="BA34" s="65">
        <v>0.0</v>
      </c>
      <c r="BB34" s="65">
        <v>0.0</v>
      </c>
      <c r="BC34" s="65">
        <v>0.0</v>
      </c>
      <c r="BD34" s="65">
        <v>0.0</v>
      </c>
      <c r="BE34" s="65">
        <v>0.0</v>
      </c>
      <c r="BF34" s="65">
        <v>0.0</v>
      </c>
      <c r="BG34" s="65">
        <v>0.0</v>
      </c>
      <c r="BH34" s="65">
        <v>0.0</v>
      </c>
      <c r="BI34" s="65">
        <v>0.0</v>
      </c>
      <c r="BJ34" s="65">
        <v>0.0</v>
      </c>
      <c r="BK34" s="65">
        <v>0.0</v>
      </c>
      <c r="BL34" s="65">
        <v>0.0</v>
      </c>
      <c r="BM34" s="65">
        <v>0.0</v>
      </c>
      <c r="BN34" s="65">
        <v>0.0</v>
      </c>
      <c r="BO34" s="65">
        <v>0.0</v>
      </c>
      <c r="BP34" s="65">
        <v>0.0</v>
      </c>
      <c r="BQ34" s="65">
        <v>0.0</v>
      </c>
      <c r="BR34" s="65">
        <v>0.0</v>
      </c>
      <c r="BS34" s="65">
        <v>0.0</v>
      </c>
      <c r="BT34" s="65">
        <v>0.0</v>
      </c>
      <c r="BU34" s="65">
        <v>0.0</v>
      </c>
      <c r="BV34" s="65">
        <v>0.0</v>
      </c>
      <c r="BW34" s="65">
        <v>0.0</v>
      </c>
      <c r="BX34" s="65">
        <v>0.0</v>
      </c>
      <c r="BY34" s="65">
        <v>0.0</v>
      </c>
      <c r="BZ34" s="65">
        <v>0.0</v>
      </c>
      <c r="CA34" s="65">
        <v>0.0</v>
      </c>
      <c r="CB34" s="65">
        <v>0.0</v>
      </c>
      <c r="CC34" s="65">
        <v>0.0</v>
      </c>
      <c r="CD34" s="65">
        <v>0.0</v>
      </c>
      <c r="CE34" s="65">
        <v>0.0</v>
      </c>
      <c r="CF34" s="65">
        <v>0.0</v>
      </c>
      <c r="CG34" s="65">
        <v>0.0</v>
      </c>
      <c r="CH34" s="65">
        <v>0.0</v>
      </c>
      <c r="CI34" s="65">
        <v>0.0</v>
      </c>
      <c r="CJ34" s="65">
        <v>0.0</v>
      </c>
      <c r="CK34" s="65">
        <v>0.0</v>
      </c>
      <c r="CL34" s="61"/>
      <c r="CM34" s="38" t="s">
        <v>213</v>
      </c>
      <c r="CN34" s="61"/>
      <c r="CO34" s="61"/>
      <c r="CP34" s="61"/>
    </row>
    <row r="35" ht="15.75" customHeight="1">
      <c r="A35" s="75"/>
      <c r="B35" s="61"/>
      <c r="C35" s="61"/>
      <c r="D35" s="61"/>
      <c r="E35" s="61"/>
      <c r="F35" s="61"/>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5"/>
      <c r="CF35" s="65"/>
      <c r="CG35" s="65"/>
      <c r="CH35" s="65"/>
      <c r="CI35" s="65"/>
      <c r="CJ35" s="65"/>
      <c r="CK35" s="65"/>
      <c r="CL35" s="61"/>
      <c r="CM35" s="61"/>
      <c r="CN35" s="61"/>
      <c r="CO35" s="61"/>
      <c r="CP35" s="61"/>
    </row>
    <row r="36" ht="15.75" customHeight="1">
      <c r="A36" s="75"/>
      <c r="B36" s="69"/>
      <c r="C36" s="69"/>
      <c r="D36" s="69"/>
      <c r="E36" s="76" t="s">
        <v>31</v>
      </c>
      <c r="F36" s="76"/>
      <c r="G36" s="77"/>
      <c r="H36" s="77">
        <v>1.0</v>
      </c>
      <c r="I36" s="77" t="s">
        <v>328</v>
      </c>
      <c r="J36" s="77" t="s">
        <v>329</v>
      </c>
      <c r="K36" s="77"/>
      <c r="L36" s="77"/>
      <c r="M36" s="77"/>
      <c r="N36" s="77"/>
      <c r="O36" s="77"/>
      <c r="P36" s="77"/>
      <c r="Q36" s="77"/>
      <c r="R36" s="77"/>
      <c r="S36" s="77"/>
      <c r="T36" s="77"/>
      <c r="U36" s="77"/>
      <c r="V36" s="77"/>
      <c r="W36" s="77"/>
      <c r="X36" s="77"/>
      <c r="Y36" s="77"/>
      <c r="Z36" s="77"/>
      <c r="AA36" s="77"/>
      <c r="AB36" s="77"/>
      <c r="AC36" s="77"/>
      <c r="AD36" s="77">
        <v>0.0</v>
      </c>
      <c r="AE36" s="77">
        <v>0.0</v>
      </c>
      <c r="AF36" s="77">
        <v>0.0</v>
      </c>
      <c r="AG36" s="77">
        <v>0.0</v>
      </c>
      <c r="AH36" s="77">
        <v>0.0</v>
      </c>
      <c r="AI36" s="77">
        <v>0.0</v>
      </c>
      <c r="AJ36" s="77">
        <v>0.0</v>
      </c>
      <c r="AK36" s="77">
        <v>0.0</v>
      </c>
      <c r="AL36" s="77">
        <v>0.0</v>
      </c>
      <c r="AM36" s="77">
        <v>0.0</v>
      </c>
      <c r="AN36" s="77">
        <v>0.0</v>
      </c>
      <c r="AO36" s="77">
        <v>0.0</v>
      </c>
      <c r="AP36" s="77">
        <v>0.0</v>
      </c>
      <c r="AQ36" s="77">
        <v>0.0</v>
      </c>
      <c r="AR36" s="77">
        <v>0.0</v>
      </c>
      <c r="AS36" s="77">
        <v>0.0</v>
      </c>
      <c r="AT36" s="77">
        <v>0.0</v>
      </c>
      <c r="AU36" s="77">
        <v>0.0</v>
      </c>
      <c r="AV36" s="77">
        <v>0.0</v>
      </c>
      <c r="AW36" s="77">
        <v>0.0</v>
      </c>
      <c r="AX36" s="77">
        <v>0.0</v>
      </c>
      <c r="AY36" s="77">
        <v>0.0</v>
      </c>
      <c r="AZ36" s="77">
        <v>0.0</v>
      </c>
      <c r="BA36" s="77">
        <v>0.0</v>
      </c>
      <c r="BB36" s="77">
        <v>0.0</v>
      </c>
      <c r="BC36" s="77">
        <v>0.0</v>
      </c>
      <c r="BD36" s="77">
        <v>0.0</v>
      </c>
      <c r="BE36" s="77">
        <v>0.0</v>
      </c>
      <c r="BF36" s="77">
        <v>0.0</v>
      </c>
      <c r="BG36" s="77">
        <v>0.0</v>
      </c>
      <c r="BH36" s="77">
        <v>0.0</v>
      </c>
      <c r="BI36" s="77">
        <v>0.0</v>
      </c>
      <c r="BJ36" s="77">
        <v>0.0</v>
      </c>
      <c r="BK36" s="77">
        <v>0.0</v>
      </c>
      <c r="BL36" s="77">
        <v>0.0</v>
      </c>
      <c r="BM36" s="77">
        <v>0.0</v>
      </c>
      <c r="BN36" s="77">
        <v>0.0</v>
      </c>
      <c r="BO36" s="77">
        <v>0.0</v>
      </c>
      <c r="BP36" s="77">
        <v>0.0</v>
      </c>
      <c r="BQ36" s="77">
        <v>0.0</v>
      </c>
      <c r="BR36" s="77">
        <v>0.0</v>
      </c>
      <c r="BS36" s="77">
        <v>0.0</v>
      </c>
      <c r="BT36" s="77">
        <v>0.0</v>
      </c>
      <c r="BU36" s="77">
        <v>0.0</v>
      </c>
      <c r="BV36" s="77">
        <v>0.0</v>
      </c>
      <c r="BW36" s="77">
        <v>0.0</v>
      </c>
      <c r="BX36" s="77">
        <v>0.0</v>
      </c>
      <c r="BY36" s="77">
        <v>0.0</v>
      </c>
      <c r="BZ36" s="77">
        <v>0.0</v>
      </c>
      <c r="CA36" s="77">
        <v>0.0</v>
      </c>
      <c r="CB36" s="77">
        <v>0.0</v>
      </c>
      <c r="CC36" s="77">
        <v>0.0</v>
      </c>
      <c r="CD36" s="77">
        <v>0.0</v>
      </c>
      <c r="CE36" s="77">
        <v>0.0</v>
      </c>
      <c r="CF36" s="77">
        <v>0.0</v>
      </c>
      <c r="CG36" s="77">
        <v>0.0</v>
      </c>
      <c r="CH36" s="77">
        <v>0.0</v>
      </c>
      <c r="CI36" s="77">
        <v>0.0</v>
      </c>
      <c r="CJ36" s="77">
        <v>0.0</v>
      </c>
      <c r="CK36" s="77">
        <v>0.0</v>
      </c>
      <c r="CL36" s="61"/>
      <c r="CM36" s="61"/>
      <c r="CN36" s="61"/>
      <c r="CO36" s="61"/>
      <c r="CP36" s="61"/>
    </row>
    <row r="37" ht="15.75" customHeight="1">
      <c r="A37" s="75"/>
      <c r="B37" s="63"/>
      <c r="C37" s="63"/>
      <c r="D37" s="63"/>
      <c r="E37" s="63" t="s">
        <v>32</v>
      </c>
      <c r="F37" s="63" t="s">
        <v>327</v>
      </c>
      <c r="G37" s="65"/>
      <c r="H37" s="65"/>
      <c r="I37" s="65" t="s">
        <v>328</v>
      </c>
      <c r="J37" s="65" t="s">
        <v>329</v>
      </c>
      <c r="K37" s="65"/>
      <c r="L37" s="65"/>
      <c r="M37" s="65"/>
      <c r="N37" s="65"/>
      <c r="O37" s="65"/>
      <c r="P37" s="65"/>
      <c r="Q37" s="65"/>
      <c r="R37" s="65"/>
      <c r="S37" s="65"/>
      <c r="T37" s="65"/>
      <c r="U37" s="65"/>
      <c r="V37" s="65"/>
      <c r="W37" s="65"/>
      <c r="X37" s="65"/>
      <c r="Y37" s="65"/>
      <c r="Z37" s="65"/>
      <c r="AA37" s="65"/>
      <c r="AB37" s="65"/>
      <c r="AC37" s="65"/>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61"/>
      <c r="CM37" s="61"/>
      <c r="CN37" s="61"/>
      <c r="CO37" s="61"/>
      <c r="CP37" s="61"/>
    </row>
    <row r="38" ht="15.75" customHeight="1">
      <c r="A38" s="75"/>
      <c r="B38" s="63"/>
      <c r="C38" s="63"/>
      <c r="D38" s="63"/>
      <c r="E38" s="63" t="s">
        <v>32</v>
      </c>
      <c r="F38" s="63" t="s">
        <v>327</v>
      </c>
      <c r="G38" s="65"/>
      <c r="H38" s="65"/>
      <c r="I38" s="65" t="s">
        <v>328</v>
      </c>
      <c r="J38" s="65" t="s">
        <v>329</v>
      </c>
      <c r="K38" s="65"/>
      <c r="L38" s="65"/>
      <c r="M38" s="65"/>
      <c r="N38" s="65"/>
      <c r="O38" s="65"/>
      <c r="P38" s="65"/>
      <c r="Q38" s="65"/>
      <c r="R38" s="65"/>
      <c r="S38" s="65"/>
      <c r="T38" s="65"/>
      <c r="U38" s="65"/>
      <c r="V38" s="65"/>
      <c r="W38" s="65"/>
      <c r="X38" s="65"/>
      <c r="Y38" s="65"/>
      <c r="Z38" s="65"/>
      <c r="AA38" s="65"/>
      <c r="AB38" s="65"/>
      <c r="AC38" s="65"/>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61"/>
      <c r="CM38" s="61"/>
      <c r="CN38" s="61"/>
      <c r="CO38" s="61"/>
      <c r="CP38" s="61"/>
    </row>
    <row r="39" ht="15.75" customHeight="1">
      <c r="A39" s="75"/>
      <c r="B39" s="63"/>
      <c r="C39" s="63"/>
      <c r="D39" s="63"/>
      <c r="E39" s="63" t="s">
        <v>37</v>
      </c>
      <c r="F39" s="63" t="s">
        <v>327</v>
      </c>
      <c r="G39" s="65"/>
      <c r="H39" s="65"/>
      <c r="I39" s="65" t="s">
        <v>328</v>
      </c>
      <c r="J39" s="65" t="s">
        <v>329</v>
      </c>
      <c r="K39" s="65"/>
      <c r="L39" s="65"/>
      <c r="M39" s="65"/>
      <c r="N39" s="65"/>
      <c r="O39" s="65"/>
      <c r="P39" s="65"/>
      <c r="Q39" s="65"/>
      <c r="R39" s="65"/>
      <c r="S39" s="65"/>
      <c r="T39" s="65"/>
      <c r="U39" s="65"/>
      <c r="V39" s="65"/>
      <c r="W39" s="65"/>
      <c r="X39" s="65"/>
      <c r="Y39" s="65"/>
      <c r="Z39" s="65"/>
      <c r="AA39" s="65"/>
      <c r="AB39" s="65"/>
      <c r="AC39" s="65"/>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61"/>
      <c r="CM39" s="61"/>
      <c r="CN39" s="61"/>
      <c r="CO39" s="61"/>
      <c r="CP39" s="61"/>
    </row>
    <row r="40" ht="15.75" customHeight="1">
      <c r="A40" s="75"/>
      <c r="B40" s="63"/>
      <c r="C40" s="63"/>
      <c r="D40" s="63"/>
      <c r="E40" s="63" t="s">
        <v>39</v>
      </c>
      <c r="F40" s="63" t="s">
        <v>327</v>
      </c>
      <c r="G40" s="65"/>
      <c r="H40" s="65"/>
      <c r="I40" s="65" t="s">
        <v>328</v>
      </c>
      <c r="J40" s="65" t="s">
        <v>329</v>
      </c>
      <c r="K40" s="65"/>
      <c r="L40" s="65"/>
      <c r="M40" s="65"/>
      <c r="N40" s="65"/>
      <c r="O40" s="65"/>
      <c r="P40" s="65"/>
      <c r="Q40" s="65"/>
      <c r="R40" s="65"/>
      <c r="S40" s="65"/>
      <c r="T40" s="65"/>
      <c r="U40" s="65"/>
      <c r="V40" s="65"/>
      <c r="W40" s="65"/>
      <c r="X40" s="65"/>
      <c r="Y40" s="65"/>
      <c r="Z40" s="65"/>
      <c r="AA40" s="65"/>
      <c r="AB40" s="65"/>
      <c r="AC40" s="65"/>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61"/>
      <c r="CM40" s="61"/>
      <c r="CN40" s="61"/>
      <c r="CO40" s="61"/>
      <c r="CP40" s="61"/>
    </row>
    <row r="41" ht="15.75" customHeight="1">
      <c r="A41" s="75"/>
      <c r="B41" s="63"/>
      <c r="C41" s="63"/>
      <c r="D41" s="63"/>
      <c r="E41" s="63" t="s">
        <v>43</v>
      </c>
      <c r="F41" s="63" t="s">
        <v>327</v>
      </c>
      <c r="G41" s="65"/>
      <c r="H41" s="65"/>
      <c r="I41" s="65" t="s">
        <v>328</v>
      </c>
      <c r="J41" s="65" t="s">
        <v>329</v>
      </c>
      <c r="K41" s="65"/>
      <c r="L41" s="65"/>
      <c r="M41" s="65"/>
      <c r="N41" s="65"/>
      <c r="O41" s="65"/>
      <c r="P41" s="65"/>
      <c r="Q41" s="65"/>
      <c r="R41" s="65"/>
      <c r="S41" s="65"/>
      <c r="T41" s="65"/>
      <c r="U41" s="65"/>
      <c r="V41" s="65"/>
      <c r="W41" s="65"/>
      <c r="X41" s="65"/>
      <c r="Y41" s="65"/>
      <c r="Z41" s="65"/>
      <c r="AA41" s="65"/>
      <c r="AB41" s="65"/>
      <c r="AC41" s="65"/>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61"/>
      <c r="CM41" s="61"/>
      <c r="CN41" s="61"/>
      <c r="CO41" s="61"/>
      <c r="CP41" s="61"/>
    </row>
    <row r="42" ht="15.75" customHeight="1">
      <c r="A42" s="75"/>
      <c r="B42" s="63"/>
      <c r="C42" s="63"/>
      <c r="D42" s="63"/>
      <c r="E42" s="63" t="s">
        <v>118</v>
      </c>
      <c r="F42" s="63" t="s">
        <v>327</v>
      </c>
      <c r="G42" s="65"/>
      <c r="H42" s="65"/>
      <c r="I42" s="65" t="s">
        <v>328</v>
      </c>
      <c r="J42" s="65" t="s">
        <v>329</v>
      </c>
      <c r="K42" s="65"/>
      <c r="L42" s="65"/>
      <c r="M42" s="65"/>
      <c r="N42" s="65"/>
      <c r="O42" s="65"/>
      <c r="P42" s="65"/>
      <c r="Q42" s="65"/>
      <c r="R42" s="65"/>
      <c r="S42" s="65"/>
      <c r="T42" s="65"/>
      <c r="U42" s="65"/>
      <c r="V42" s="65"/>
      <c r="W42" s="65"/>
      <c r="X42" s="65"/>
      <c r="Y42" s="65"/>
      <c r="Z42" s="65"/>
      <c r="AA42" s="65"/>
      <c r="AB42" s="65"/>
      <c r="AC42" s="65"/>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61"/>
      <c r="CM42" s="61"/>
      <c r="CN42" s="61"/>
      <c r="CO42" s="61"/>
      <c r="CP42" s="61"/>
    </row>
    <row r="43" ht="15.75" customHeight="1">
      <c r="A43" s="75"/>
      <c r="B43" s="69"/>
      <c r="C43" s="69"/>
      <c r="D43" s="69"/>
      <c r="E43" s="76" t="s">
        <v>44</v>
      </c>
      <c r="F43" s="79"/>
      <c r="G43" s="80"/>
      <c r="H43" s="80"/>
      <c r="I43" s="77" t="s">
        <v>328</v>
      </c>
      <c r="J43" s="77" t="s">
        <v>329</v>
      </c>
      <c r="K43" s="80"/>
      <c r="L43" s="80"/>
      <c r="M43" s="80"/>
      <c r="N43" s="80"/>
      <c r="O43" s="80"/>
      <c r="P43" s="80"/>
      <c r="Q43" s="80"/>
      <c r="R43" s="80"/>
      <c r="S43" s="80"/>
      <c r="T43" s="80"/>
      <c r="U43" s="80"/>
      <c r="V43" s="80"/>
      <c r="W43" s="80"/>
      <c r="X43" s="80"/>
      <c r="Y43" s="80"/>
      <c r="Z43" s="80"/>
      <c r="AA43" s="80"/>
      <c r="AB43" s="80"/>
      <c r="AC43" s="80"/>
      <c r="AD43" s="81"/>
      <c r="AE43" s="81"/>
      <c r="AF43" s="81"/>
      <c r="AG43" s="81"/>
      <c r="AH43" s="81"/>
      <c r="AI43" s="81"/>
      <c r="AJ43" s="81"/>
      <c r="AK43" s="81"/>
      <c r="AL43" s="81"/>
      <c r="AM43" s="81"/>
      <c r="AN43" s="81"/>
      <c r="AO43" s="81"/>
      <c r="AP43" s="77">
        <v>0.0</v>
      </c>
      <c r="AQ43" s="77">
        <v>0.0</v>
      </c>
      <c r="AR43" s="77">
        <v>0.0</v>
      </c>
      <c r="AS43" s="77">
        <v>0.0</v>
      </c>
      <c r="AT43" s="77">
        <v>0.0</v>
      </c>
      <c r="AU43" s="77">
        <v>0.0</v>
      </c>
      <c r="AV43" s="77">
        <v>0.0</v>
      </c>
      <c r="AW43" s="77">
        <v>0.0</v>
      </c>
      <c r="AX43" s="77">
        <v>0.0</v>
      </c>
      <c r="AY43" s="77">
        <v>0.0</v>
      </c>
      <c r="AZ43" s="77">
        <v>0.0</v>
      </c>
      <c r="BA43" s="77">
        <v>0.0</v>
      </c>
      <c r="BB43" s="77">
        <v>0.0</v>
      </c>
      <c r="BC43" s="77">
        <v>0.0</v>
      </c>
      <c r="BD43" s="77">
        <v>0.0</v>
      </c>
      <c r="BE43" s="77">
        <v>0.0</v>
      </c>
      <c r="BF43" s="77">
        <v>0.0</v>
      </c>
      <c r="BG43" s="77">
        <v>0.0</v>
      </c>
      <c r="BH43" s="77">
        <v>0.0</v>
      </c>
      <c r="BI43" s="77">
        <v>0.0</v>
      </c>
      <c r="BJ43" s="77">
        <v>0.0</v>
      </c>
      <c r="BK43" s="77">
        <v>0.0</v>
      </c>
      <c r="BL43" s="77">
        <v>0.0</v>
      </c>
      <c r="BM43" s="77">
        <v>0.0</v>
      </c>
      <c r="BN43" s="77">
        <v>0.0</v>
      </c>
      <c r="BO43" s="77">
        <v>0.0</v>
      </c>
      <c r="BP43" s="77">
        <v>0.0</v>
      </c>
      <c r="BQ43" s="77">
        <v>0.0</v>
      </c>
      <c r="BR43" s="77">
        <v>0.0</v>
      </c>
      <c r="BS43" s="77">
        <v>0.0</v>
      </c>
      <c r="BT43" s="77">
        <v>0.0</v>
      </c>
      <c r="BU43" s="77">
        <v>0.0</v>
      </c>
      <c r="BV43" s="77">
        <v>0.0</v>
      </c>
      <c r="BW43" s="77">
        <v>0.0</v>
      </c>
      <c r="BX43" s="77">
        <v>0.0</v>
      </c>
      <c r="BY43" s="77">
        <v>0.0</v>
      </c>
      <c r="BZ43" s="77">
        <v>0.0</v>
      </c>
      <c r="CA43" s="77">
        <v>0.0</v>
      </c>
      <c r="CB43" s="77">
        <v>0.0</v>
      </c>
      <c r="CC43" s="77">
        <v>0.0</v>
      </c>
      <c r="CD43" s="77">
        <v>0.0</v>
      </c>
      <c r="CE43" s="77">
        <v>0.0</v>
      </c>
      <c r="CF43" s="77">
        <v>0.0</v>
      </c>
      <c r="CG43" s="77">
        <v>0.0</v>
      </c>
      <c r="CH43" s="77">
        <v>0.0</v>
      </c>
      <c r="CI43" s="77">
        <v>0.0</v>
      </c>
      <c r="CJ43" s="77">
        <v>0.0</v>
      </c>
      <c r="CK43" s="77">
        <v>0.0</v>
      </c>
      <c r="CL43" s="61"/>
      <c r="CM43" s="61"/>
      <c r="CN43" s="61"/>
      <c r="CO43" s="61"/>
      <c r="CP43" s="61"/>
    </row>
    <row r="44" ht="15.75" customHeight="1">
      <c r="A44" s="75"/>
      <c r="B44" s="38" t="s">
        <v>338</v>
      </c>
      <c r="C44" s="53" t="s">
        <v>222</v>
      </c>
      <c r="D44" s="53" t="s">
        <v>223</v>
      </c>
      <c r="E44" s="69"/>
      <c r="F44" s="69"/>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c r="BS44" s="82"/>
      <c r="BT44" s="82"/>
      <c r="BU44" s="82"/>
      <c r="BV44" s="82"/>
      <c r="BW44" s="82"/>
      <c r="BX44" s="82"/>
      <c r="BY44" s="82"/>
      <c r="BZ44" s="82"/>
      <c r="CA44" s="82"/>
      <c r="CB44" s="82"/>
      <c r="CC44" s="82"/>
      <c r="CD44" s="82"/>
      <c r="CE44" s="82"/>
      <c r="CF44" s="82"/>
      <c r="CG44" s="82"/>
      <c r="CH44" s="82"/>
      <c r="CI44" s="82"/>
      <c r="CJ44" s="82"/>
      <c r="CK44" s="82"/>
      <c r="CL44" s="61"/>
      <c r="CM44" s="61"/>
      <c r="CN44" s="61"/>
      <c r="CO44" s="61"/>
      <c r="CP44" s="61"/>
    </row>
    <row r="45" ht="15.75" customHeight="1">
      <c r="A45" s="75"/>
      <c r="B45" s="61"/>
      <c r="C45" s="53"/>
      <c r="D45" s="53"/>
      <c r="E45" s="69"/>
      <c r="F45" s="69"/>
      <c r="G45" s="82"/>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c r="BG45" s="82"/>
      <c r="BH45" s="82"/>
      <c r="BI45" s="82"/>
      <c r="BJ45" s="82"/>
      <c r="BK45" s="82"/>
      <c r="BL45" s="82"/>
      <c r="BM45" s="82"/>
      <c r="BN45" s="82"/>
      <c r="BO45" s="82"/>
      <c r="BP45" s="82"/>
      <c r="BQ45" s="82"/>
      <c r="BR45" s="82"/>
      <c r="BS45" s="82"/>
      <c r="BT45" s="82"/>
      <c r="BU45" s="82"/>
      <c r="BV45" s="82"/>
      <c r="BW45" s="82"/>
      <c r="BX45" s="82"/>
      <c r="BY45" s="82"/>
      <c r="BZ45" s="82"/>
      <c r="CA45" s="82"/>
      <c r="CB45" s="82"/>
      <c r="CC45" s="82"/>
      <c r="CD45" s="82"/>
      <c r="CE45" s="82"/>
      <c r="CF45" s="82"/>
      <c r="CG45" s="82"/>
      <c r="CH45" s="82"/>
      <c r="CI45" s="82"/>
      <c r="CJ45" s="82"/>
      <c r="CK45" s="82"/>
      <c r="CL45" s="61"/>
      <c r="CM45" s="61"/>
      <c r="CN45" s="61"/>
      <c r="CO45" s="61"/>
      <c r="CP45" s="61"/>
    </row>
    <row r="46" ht="15.75" customHeight="1">
      <c r="A46" s="75"/>
      <c r="B46" s="61"/>
      <c r="C46" s="53"/>
      <c r="D46" s="53"/>
      <c r="E46" s="69"/>
      <c r="F46" s="69"/>
      <c r="G46" s="82"/>
      <c r="H46" s="82">
        <v>1.0</v>
      </c>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c r="AK46" s="82"/>
      <c r="AL46" s="82"/>
      <c r="AM46" s="82"/>
      <c r="AN46" s="82"/>
      <c r="AO46" s="82"/>
      <c r="AP46" s="83"/>
      <c r="AQ46" s="82"/>
      <c r="AR46" s="82"/>
      <c r="AS46" s="82"/>
      <c r="AT46" s="82"/>
      <c r="AU46" s="82"/>
      <c r="AV46" s="82"/>
      <c r="AW46" s="82"/>
      <c r="AX46" s="82"/>
      <c r="AY46" s="82"/>
      <c r="AZ46" s="82"/>
      <c r="BA46" s="82"/>
      <c r="BB46" s="82"/>
      <c r="BC46" s="82"/>
      <c r="BD46" s="82"/>
      <c r="BE46" s="82"/>
      <c r="BF46" s="82"/>
      <c r="BG46" s="82"/>
      <c r="BH46" s="82"/>
      <c r="BI46" s="82"/>
      <c r="BJ46" s="82"/>
      <c r="BK46" s="82"/>
      <c r="BL46" s="82"/>
      <c r="BM46" s="82"/>
      <c r="BN46" s="82"/>
      <c r="BO46" s="82"/>
      <c r="BP46" s="82"/>
      <c r="BQ46" s="82"/>
      <c r="BR46" s="82"/>
      <c r="BS46" s="82"/>
      <c r="BT46" s="82"/>
      <c r="BU46" s="82"/>
      <c r="BV46" s="82"/>
      <c r="BW46" s="82"/>
      <c r="BX46" s="82"/>
      <c r="BY46" s="82"/>
      <c r="BZ46" s="82"/>
      <c r="CA46" s="82"/>
      <c r="CB46" s="82"/>
      <c r="CC46" s="82"/>
      <c r="CD46" s="82"/>
      <c r="CE46" s="82"/>
      <c r="CF46" s="82"/>
      <c r="CG46" s="82"/>
      <c r="CH46" s="82"/>
      <c r="CI46" s="82"/>
      <c r="CJ46" s="82"/>
      <c r="CK46" s="82"/>
      <c r="CL46" s="61"/>
      <c r="CM46" s="61"/>
      <c r="CN46" s="61"/>
      <c r="CO46" s="61"/>
      <c r="CP46" s="61"/>
    </row>
    <row r="47" ht="15.75" customHeight="1">
      <c r="A47" s="75"/>
      <c r="B47" s="59" t="str">
        <f t="array" ref="B47">XLOOKUP(D47, 'マスタ'!$C$2:$C$1000, 'マスタ'!$D$2:$D$1000, "マスタ未登録")</f>
        <v>売上高</v>
      </c>
      <c r="C47" s="53" t="str">
        <f>IF(AND(D47&lt;&gt;"", COUNTIF('マスタ'!$C:$C, D47)=0), "マスタ未登録", "")</f>
        <v/>
      </c>
      <c r="D47" s="84" t="str">
        <f t="shared" ref="D47:D75" si="1">F47</f>
        <v>売上高</v>
      </c>
      <c r="E47" s="63" t="s">
        <v>1</v>
      </c>
      <c r="F47" s="65" t="s">
        <v>1</v>
      </c>
      <c r="G47" s="65"/>
      <c r="H47" s="65">
        <v>1.0</v>
      </c>
      <c r="I47" s="65" t="s">
        <v>328</v>
      </c>
      <c r="J47" s="65" t="s">
        <v>339</v>
      </c>
      <c r="K47" s="65"/>
      <c r="L47" s="65"/>
      <c r="M47" s="65"/>
      <c r="N47" s="65"/>
      <c r="O47" s="65"/>
      <c r="P47" s="65"/>
      <c r="Q47" s="65"/>
      <c r="R47" s="65"/>
      <c r="S47" s="65"/>
      <c r="T47" s="65"/>
      <c r="U47" s="65"/>
      <c r="V47" s="65"/>
      <c r="W47" s="65"/>
      <c r="X47" s="65"/>
      <c r="Y47" s="65"/>
      <c r="Z47" s="65"/>
      <c r="AA47" s="65"/>
      <c r="AB47" s="65"/>
      <c r="AC47" s="65"/>
      <c r="AD47" s="65">
        <v>2.96871389E8</v>
      </c>
      <c r="AE47" s="65">
        <v>2.72456691E8</v>
      </c>
      <c r="AF47" s="65">
        <v>2.67326019E8</v>
      </c>
      <c r="AG47" s="65">
        <v>2.65471022E8</v>
      </c>
      <c r="AH47" s="65">
        <v>2.66436263E8</v>
      </c>
      <c r="AI47" s="65">
        <v>2.71947067E8</v>
      </c>
      <c r="AJ47" s="65">
        <v>2.64563154E8</v>
      </c>
      <c r="AK47" s="65">
        <v>2.64405743E8</v>
      </c>
      <c r="AL47" s="65">
        <v>2.71514056E8</v>
      </c>
      <c r="AM47" s="65">
        <v>2.64967685E8</v>
      </c>
      <c r="AN47" s="65">
        <v>2.65297276E8</v>
      </c>
      <c r="AO47" s="65">
        <v>2.88600861E8</v>
      </c>
      <c r="AP47" s="85">
        <v>2.74897527E8</v>
      </c>
      <c r="AQ47" s="85">
        <v>2.74492845E8</v>
      </c>
      <c r="AR47" s="85">
        <v>2.64523861E8</v>
      </c>
      <c r="AS47" s="85">
        <v>2.55898325E8</v>
      </c>
      <c r="AT47" s="85">
        <v>2.56871049E8</v>
      </c>
      <c r="AU47" s="85">
        <v>2.64602714E8</v>
      </c>
      <c r="AV47" s="85">
        <v>2.53501668E8</v>
      </c>
      <c r="AW47" s="85">
        <v>2.54037604E8</v>
      </c>
      <c r="AX47" s="85">
        <v>2.55058656E8</v>
      </c>
      <c r="AY47" s="85">
        <v>2.54518036E8</v>
      </c>
      <c r="AZ47" s="85">
        <v>2.54893626E8</v>
      </c>
      <c r="BA47" s="85">
        <v>2.72121852E8</v>
      </c>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61"/>
      <c r="CM47" s="86" t="s">
        <v>1</v>
      </c>
      <c r="CN47" s="61"/>
      <c r="CO47" s="61"/>
      <c r="CP47" s="61"/>
    </row>
    <row r="48" ht="15.75" customHeight="1">
      <c r="A48" s="75"/>
      <c r="B48" s="59" t="str">
        <f t="array" ref="B48">XLOOKUP(D48, 'マスタ'!$C$2:$C$1000, 'マスタ'!$D$2:$D$1000, "マスタ未登録")</f>
        <v>当期商品仕入高</v>
      </c>
      <c r="C48" s="53" t="str">
        <f>IF(AND(D48&lt;&gt;"", COUNTIF('マスタ'!$C:$C, D48)=0), "マスタ未登録", "")</f>
        <v/>
      </c>
      <c r="D48" s="84" t="str">
        <f t="shared" si="1"/>
        <v>仕入高</v>
      </c>
      <c r="E48" s="63" t="s">
        <v>330</v>
      </c>
      <c r="F48" s="65" t="s">
        <v>138</v>
      </c>
      <c r="G48" s="65"/>
      <c r="H48" s="65"/>
      <c r="I48" s="65" t="s">
        <v>328</v>
      </c>
      <c r="J48" s="65" t="s">
        <v>339</v>
      </c>
      <c r="K48" s="65"/>
      <c r="L48" s="65"/>
      <c r="M48" s="65"/>
      <c r="N48" s="65"/>
      <c r="O48" s="65"/>
      <c r="P48" s="65"/>
      <c r="Q48" s="65"/>
      <c r="R48" s="65"/>
      <c r="S48" s="65"/>
      <c r="T48" s="65"/>
      <c r="U48" s="65"/>
      <c r="V48" s="65"/>
      <c r="W48" s="65"/>
      <c r="X48" s="65"/>
      <c r="Y48" s="65"/>
      <c r="Z48" s="65"/>
      <c r="AA48" s="65"/>
      <c r="AB48" s="65"/>
      <c r="AC48" s="65"/>
      <c r="AD48" s="65">
        <v>-1.8163675E7</v>
      </c>
      <c r="AE48" s="65">
        <v>-512673.0</v>
      </c>
      <c r="AF48" s="65">
        <v>-570122.0</v>
      </c>
      <c r="AG48" s="65">
        <v>-521683.0</v>
      </c>
      <c r="AH48" s="65">
        <v>-1096110.0</v>
      </c>
      <c r="AI48" s="65">
        <v>-427596.0</v>
      </c>
      <c r="AJ48" s="65">
        <v>-466100.0</v>
      </c>
      <c r="AK48" s="65">
        <v>0.0</v>
      </c>
      <c r="AL48" s="65">
        <v>0.0</v>
      </c>
      <c r="AM48" s="65">
        <v>-2816523.0</v>
      </c>
      <c r="AN48" s="65">
        <v>-12699.0</v>
      </c>
      <c r="AO48" s="65">
        <v>-4241810.0</v>
      </c>
      <c r="AP48" s="85">
        <v>-2.0886815E7</v>
      </c>
      <c r="AQ48" s="85">
        <v>-110000.0</v>
      </c>
      <c r="AR48" s="85">
        <v>-280000.0</v>
      </c>
      <c r="AS48" s="85">
        <v>-922200.0</v>
      </c>
      <c r="AT48" s="85">
        <v>-843000.0</v>
      </c>
      <c r="AU48" s="85">
        <v>-1626346.0</v>
      </c>
      <c r="AV48" s="85">
        <v>-4000000.0</v>
      </c>
      <c r="AW48" s="85">
        <v>0.0</v>
      </c>
      <c r="AX48" s="85">
        <v>-2000000.0</v>
      </c>
      <c r="AY48" s="85">
        <v>0.0</v>
      </c>
      <c r="AZ48" s="85">
        <v>0.0</v>
      </c>
      <c r="BA48" s="85">
        <v>0.0</v>
      </c>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61"/>
      <c r="CM48" s="38" t="s">
        <v>138</v>
      </c>
      <c r="CN48" s="61"/>
      <c r="CO48" s="61"/>
      <c r="CP48" s="61"/>
    </row>
    <row r="49" ht="15.75" customHeight="1">
      <c r="A49" s="75"/>
      <c r="B49" s="59" t="str">
        <f t="array" ref="B49">XLOOKUP(D49, 'マスタ'!$C$2:$C$1000, 'マスタ'!$D$2:$D$1000, "マスタ未登録")</f>
        <v>外注費</v>
      </c>
      <c r="C49" s="53" t="str">
        <f>IF(AND(D49&lt;&gt;"", COUNTIF('マスタ'!$C:$C, D49)=0), "マスタ未登録", "")</f>
        <v/>
      </c>
      <c r="D49" s="84" t="str">
        <f t="shared" si="1"/>
        <v>外注費</v>
      </c>
      <c r="E49" s="63" t="s">
        <v>330</v>
      </c>
      <c r="F49" s="65" t="s">
        <v>79</v>
      </c>
      <c r="G49" s="65"/>
      <c r="H49" s="65"/>
      <c r="I49" s="65" t="s">
        <v>328</v>
      </c>
      <c r="J49" s="65" t="s">
        <v>339</v>
      </c>
      <c r="K49" s="65"/>
      <c r="L49" s="65"/>
      <c r="M49" s="65"/>
      <c r="N49" s="65"/>
      <c r="O49" s="65"/>
      <c r="P49" s="65"/>
      <c r="Q49" s="65"/>
      <c r="R49" s="65"/>
      <c r="S49" s="65"/>
      <c r="T49" s="65"/>
      <c r="U49" s="65"/>
      <c r="V49" s="65"/>
      <c r="W49" s="65"/>
      <c r="X49" s="65"/>
      <c r="Y49" s="65"/>
      <c r="Z49" s="65"/>
      <c r="AA49" s="65"/>
      <c r="AB49" s="65"/>
      <c r="AC49" s="65"/>
      <c r="AD49" s="65">
        <v>-2.5458188E7</v>
      </c>
      <c r="AE49" s="65">
        <v>-3.2906723E7</v>
      </c>
      <c r="AF49" s="65">
        <v>-3.2397971E7</v>
      </c>
      <c r="AG49" s="65">
        <v>-2.8112283E7</v>
      </c>
      <c r="AH49" s="65">
        <v>-1.7214188E7</v>
      </c>
      <c r="AI49" s="65">
        <v>-2.581533E7</v>
      </c>
      <c r="AJ49" s="65">
        <v>-3.4137291E7</v>
      </c>
      <c r="AK49" s="65">
        <v>-3.344224E7</v>
      </c>
      <c r="AL49" s="65">
        <v>-3.0494279E7</v>
      </c>
      <c r="AM49" s="65">
        <v>-2.4470263E7</v>
      </c>
      <c r="AN49" s="65">
        <v>-2.5435271E7</v>
      </c>
      <c r="AO49" s="65">
        <v>-1.6211713E7</v>
      </c>
      <c r="AP49" s="85">
        <v>-2.6185502E7</v>
      </c>
      <c r="AQ49" s="85">
        <v>-2.577817E7</v>
      </c>
      <c r="AR49" s="85">
        <v>-2.817741E7</v>
      </c>
      <c r="AS49" s="85">
        <v>-2.5677255E7</v>
      </c>
      <c r="AT49" s="85">
        <v>-1.9180474E7</v>
      </c>
      <c r="AU49" s="85">
        <v>-2.1240287E7</v>
      </c>
      <c r="AV49" s="85">
        <v>-2.8291389E7</v>
      </c>
      <c r="AW49" s="85">
        <v>-2.80264E7</v>
      </c>
      <c r="AX49" s="85">
        <v>-2.8658094E7</v>
      </c>
      <c r="AY49" s="85">
        <v>-2.1446984E7</v>
      </c>
      <c r="AZ49" s="85">
        <v>-2.3243028E7</v>
      </c>
      <c r="BA49" s="85">
        <v>-1.0798206E7</v>
      </c>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61"/>
      <c r="CM49" s="38" t="s">
        <v>79</v>
      </c>
      <c r="CN49" s="61"/>
      <c r="CO49" s="61"/>
      <c r="CP49" s="61"/>
    </row>
    <row r="50" ht="15.75" customHeight="1">
      <c r="A50" s="75"/>
      <c r="B50" s="59" t="str">
        <f t="array" ref="B50">XLOOKUP(D50, 'マスタ'!$C$2:$C$1000, 'マスタ'!$D$2:$D$1000, "マスタ未登録")</f>
        <v>荷造運賃</v>
      </c>
      <c r="C50" s="53" t="str">
        <f>IF(AND(D50&lt;&gt;"", COUNTIF('マスタ'!$C:$C, D50)=0), "マスタ未登録", "")</f>
        <v/>
      </c>
      <c r="D50" s="84" t="str">
        <f t="shared" si="1"/>
        <v>荷造運賃</v>
      </c>
      <c r="E50" s="63" t="s">
        <v>330</v>
      </c>
      <c r="F50" s="65" t="s">
        <v>80</v>
      </c>
      <c r="G50" s="65"/>
      <c r="H50" s="65"/>
      <c r="I50" s="65" t="s">
        <v>328</v>
      </c>
      <c r="J50" s="65" t="s">
        <v>339</v>
      </c>
      <c r="K50" s="65"/>
      <c r="L50" s="65"/>
      <c r="M50" s="65"/>
      <c r="N50" s="65"/>
      <c r="O50" s="65"/>
      <c r="P50" s="65"/>
      <c r="Q50" s="65"/>
      <c r="R50" s="65"/>
      <c r="S50" s="65"/>
      <c r="T50" s="65"/>
      <c r="U50" s="65"/>
      <c r="V50" s="65"/>
      <c r="W50" s="65"/>
      <c r="X50" s="65"/>
      <c r="Y50" s="65"/>
      <c r="Z50" s="65"/>
      <c r="AA50" s="65"/>
      <c r="AB50" s="65"/>
      <c r="AC50" s="65"/>
      <c r="AD50" s="65">
        <v>-280865.0</v>
      </c>
      <c r="AE50" s="65">
        <v>-266998.0</v>
      </c>
      <c r="AF50" s="65">
        <v>-188754.0</v>
      </c>
      <c r="AG50" s="65">
        <v>-343183.0</v>
      </c>
      <c r="AH50" s="65">
        <v>-153943.0</v>
      </c>
      <c r="AI50" s="65">
        <v>-146868.0</v>
      </c>
      <c r="AJ50" s="65">
        <v>-150097.0</v>
      </c>
      <c r="AK50" s="65">
        <v>-99671.0</v>
      </c>
      <c r="AL50" s="65">
        <v>-211161.0</v>
      </c>
      <c r="AM50" s="65">
        <v>-323779.0</v>
      </c>
      <c r="AN50" s="65">
        <v>-272691.0</v>
      </c>
      <c r="AO50" s="65">
        <v>-409224.0</v>
      </c>
      <c r="AP50" s="85">
        <v>-247405.0</v>
      </c>
      <c r="AQ50" s="85">
        <v>-285180.0</v>
      </c>
      <c r="AR50" s="85">
        <v>-218969.0</v>
      </c>
      <c r="AS50" s="85">
        <v>-237399.0</v>
      </c>
      <c r="AT50" s="85">
        <v>-152512.0</v>
      </c>
      <c r="AU50" s="85">
        <v>-204805.0</v>
      </c>
      <c r="AV50" s="85">
        <v>-146347.0</v>
      </c>
      <c r="AW50" s="85">
        <v>-130869.0</v>
      </c>
      <c r="AX50" s="85">
        <v>-215970.0</v>
      </c>
      <c r="AY50" s="85">
        <v>-284828.0</v>
      </c>
      <c r="AZ50" s="85">
        <v>-203170.0</v>
      </c>
      <c r="BA50" s="85">
        <v>-197634.0</v>
      </c>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61"/>
      <c r="CM50" s="38" t="s">
        <v>80</v>
      </c>
      <c r="CN50" s="61"/>
      <c r="CO50" s="61"/>
      <c r="CP50" s="61"/>
    </row>
    <row r="51" ht="15.75" customHeight="1">
      <c r="A51" s="75"/>
      <c r="B51" s="59" t="str">
        <f t="array" ref="B51">XLOOKUP(D51, 'マスタ'!$C$2:$C$1000, 'マスタ'!$D$2:$D$1000, "マスタ未登録")</f>
        <v>支払手数料</v>
      </c>
      <c r="C51" s="53" t="str">
        <f>IF(AND(D51&lt;&gt;"", COUNTIF('マスタ'!$C:$C, D51)=0), "マスタ未登録", "")</f>
        <v/>
      </c>
      <c r="D51" s="84" t="str">
        <f t="shared" si="1"/>
        <v>支払手数料</v>
      </c>
      <c r="E51" s="63" t="s">
        <v>330</v>
      </c>
      <c r="F51" s="65" t="s">
        <v>92</v>
      </c>
      <c r="G51" s="65"/>
      <c r="H51" s="65"/>
      <c r="I51" s="65" t="s">
        <v>328</v>
      </c>
      <c r="J51" s="65" t="s">
        <v>339</v>
      </c>
      <c r="K51" s="65"/>
      <c r="L51" s="65"/>
      <c r="M51" s="65"/>
      <c r="N51" s="65"/>
      <c r="O51" s="65"/>
      <c r="P51" s="65"/>
      <c r="Q51" s="65"/>
      <c r="R51" s="65"/>
      <c r="S51" s="65"/>
      <c r="T51" s="65"/>
      <c r="U51" s="65"/>
      <c r="V51" s="65"/>
      <c r="W51" s="65"/>
      <c r="X51" s="65"/>
      <c r="Y51" s="65"/>
      <c r="Z51" s="65"/>
      <c r="AA51" s="65"/>
      <c r="AB51" s="65"/>
      <c r="AC51" s="65"/>
      <c r="AD51" s="65">
        <v>-262935.0</v>
      </c>
      <c r="AE51" s="65">
        <v>-286121.0</v>
      </c>
      <c r="AF51" s="65">
        <v>-254147.0</v>
      </c>
      <c r="AG51" s="65">
        <v>-230125.0</v>
      </c>
      <c r="AH51" s="65">
        <v>-315764.0</v>
      </c>
      <c r="AI51" s="65">
        <v>-320245.0</v>
      </c>
      <c r="AJ51" s="65">
        <v>-229760.0</v>
      </c>
      <c r="AK51" s="65">
        <v>-1728704.0</v>
      </c>
      <c r="AL51" s="65">
        <v>-2913841.0</v>
      </c>
      <c r="AM51" s="65">
        <v>1031916.0</v>
      </c>
      <c r="AN51" s="65">
        <v>-445982.0</v>
      </c>
      <c r="AO51" s="65">
        <v>941363.0</v>
      </c>
      <c r="AP51" s="85">
        <v>-255162.0</v>
      </c>
      <c r="AQ51" s="85">
        <v>-224550.0</v>
      </c>
      <c r="AR51" s="85">
        <v>-224550.0</v>
      </c>
      <c r="AS51" s="85">
        <v>-224550.0</v>
      </c>
      <c r="AT51" s="85">
        <v>-224550.0</v>
      </c>
      <c r="AU51" s="85">
        <v>-224550.0</v>
      </c>
      <c r="AV51" s="85">
        <v>-224550.0</v>
      </c>
      <c r="AW51" s="85">
        <v>-224550.0</v>
      </c>
      <c r="AX51" s="85">
        <v>-224550.0</v>
      </c>
      <c r="AY51" s="85">
        <v>-224550.0</v>
      </c>
      <c r="AZ51" s="85">
        <v>-224550.0</v>
      </c>
      <c r="BA51" s="85">
        <v>-224550.0</v>
      </c>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61"/>
      <c r="CM51" s="38" t="s">
        <v>92</v>
      </c>
      <c r="CN51" s="61"/>
      <c r="CO51" s="61"/>
      <c r="CP51" s="61"/>
    </row>
    <row r="52" ht="15.75" customHeight="1">
      <c r="A52" s="75"/>
      <c r="B52" s="59" t="str">
        <f t="array" ref="B52">XLOOKUP(D52, 'マスタ'!$C$2:$C$1000, 'マスタ'!$D$2:$D$1000, "マスタ未登録")</f>
        <v>保険料</v>
      </c>
      <c r="C52" s="53" t="str">
        <f>IF(AND(D52&lt;&gt;"", COUNTIF('マスタ'!$C:$C, D52)=0), "マスタ未登録", "")</f>
        <v/>
      </c>
      <c r="D52" s="84" t="str">
        <f t="shared" si="1"/>
        <v>保険料</v>
      </c>
      <c r="E52" s="63" t="s">
        <v>330</v>
      </c>
      <c r="F52" s="65" t="s">
        <v>90</v>
      </c>
      <c r="G52" s="65"/>
      <c r="H52" s="65"/>
      <c r="I52" s="65" t="s">
        <v>328</v>
      </c>
      <c r="J52" s="65" t="s">
        <v>339</v>
      </c>
      <c r="K52" s="65"/>
      <c r="L52" s="65"/>
      <c r="M52" s="65"/>
      <c r="N52" s="65"/>
      <c r="O52" s="65"/>
      <c r="P52" s="65"/>
      <c r="Q52" s="65"/>
      <c r="R52" s="65"/>
      <c r="S52" s="65"/>
      <c r="T52" s="65"/>
      <c r="U52" s="65"/>
      <c r="V52" s="65"/>
      <c r="W52" s="65"/>
      <c r="X52" s="65"/>
      <c r="Y52" s="65"/>
      <c r="Z52" s="65"/>
      <c r="AA52" s="65"/>
      <c r="AB52" s="65"/>
      <c r="AC52" s="65"/>
      <c r="AD52" s="65">
        <v>-1039587.0</v>
      </c>
      <c r="AE52" s="65">
        <v>-1038723.0</v>
      </c>
      <c r="AF52" s="65">
        <v>-1039583.0</v>
      </c>
      <c r="AG52" s="65">
        <v>-1065604.0</v>
      </c>
      <c r="AH52" s="65">
        <v>-1045113.0</v>
      </c>
      <c r="AI52" s="65">
        <v>-1045603.0</v>
      </c>
      <c r="AJ52" s="65">
        <v>-1287943.0</v>
      </c>
      <c r="AK52" s="65">
        <v>-1057233.0</v>
      </c>
      <c r="AL52" s="65">
        <v>-1169973.0</v>
      </c>
      <c r="AM52" s="65">
        <v>-1057583.0</v>
      </c>
      <c r="AN52" s="65">
        <v>-1039583.0</v>
      </c>
      <c r="AO52" s="65">
        <v>-1039583.0</v>
      </c>
      <c r="AP52" s="85">
        <v>-1039587.0</v>
      </c>
      <c r="AQ52" s="85">
        <v>-1039583.0</v>
      </c>
      <c r="AR52" s="85">
        <v>-1039583.0</v>
      </c>
      <c r="AS52" s="85">
        <v>-1039583.0</v>
      </c>
      <c r="AT52" s="85">
        <v>-1039583.0</v>
      </c>
      <c r="AU52" s="85">
        <v>-1039583.0</v>
      </c>
      <c r="AV52" s="85">
        <v>-1039583.0</v>
      </c>
      <c r="AW52" s="85">
        <v>-1039583.0</v>
      </c>
      <c r="AX52" s="85">
        <v>-1039583.0</v>
      </c>
      <c r="AY52" s="85">
        <v>-1039583.0</v>
      </c>
      <c r="AZ52" s="85">
        <v>-1039583.0</v>
      </c>
      <c r="BA52" s="85">
        <v>-1039583.0</v>
      </c>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61"/>
      <c r="CM52" s="38" t="s">
        <v>90</v>
      </c>
      <c r="CN52" s="61"/>
      <c r="CO52" s="61"/>
      <c r="CP52" s="61"/>
    </row>
    <row r="53" ht="15.75" customHeight="1">
      <c r="A53" s="75"/>
      <c r="B53" s="59" t="str">
        <f t="array" ref="B53">XLOOKUP(D53, 'マスタ'!$C$2:$C$1000, 'マスタ'!$D$2:$D$1000, "マスタ未登録")</f>
        <v>広告宣伝費</v>
      </c>
      <c r="C53" s="53" t="str">
        <f>IF(AND(D53&lt;&gt;"", COUNTIF('マスタ'!$C:$C, D53)=0), "マスタ未登録", "")</f>
        <v/>
      </c>
      <c r="D53" s="84" t="str">
        <f t="shared" si="1"/>
        <v>広告宣伝費</v>
      </c>
      <c r="E53" s="63" t="s">
        <v>331</v>
      </c>
      <c r="F53" s="65" t="s">
        <v>81</v>
      </c>
      <c r="G53" s="65"/>
      <c r="H53" s="65"/>
      <c r="I53" s="65" t="s">
        <v>328</v>
      </c>
      <c r="J53" s="65" t="s">
        <v>339</v>
      </c>
      <c r="K53" s="65"/>
      <c r="L53" s="65"/>
      <c r="M53" s="65"/>
      <c r="N53" s="65"/>
      <c r="O53" s="65"/>
      <c r="P53" s="65"/>
      <c r="Q53" s="65"/>
      <c r="R53" s="65"/>
      <c r="S53" s="65"/>
      <c r="T53" s="65"/>
      <c r="U53" s="65"/>
      <c r="V53" s="65"/>
      <c r="W53" s="65"/>
      <c r="X53" s="65"/>
      <c r="Y53" s="65"/>
      <c r="Z53" s="65"/>
      <c r="AA53" s="65"/>
      <c r="AB53" s="65"/>
      <c r="AC53" s="65"/>
      <c r="AD53" s="65">
        <v>-6.3471142E7</v>
      </c>
      <c r="AE53" s="65">
        <v>-6.2040319E7</v>
      </c>
      <c r="AF53" s="65">
        <v>-7.5533817E7</v>
      </c>
      <c r="AG53" s="65">
        <v>-8.888728E7</v>
      </c>
      <c r="AH53" s="65">
        <v>-8.0417496E7</v>
      </c>
      <c r="AI53" s="65">
        <v>-4.8528184E7</v>
      </c>
      <c r="AJ53" s="65">
        <v>-5.2450852E7</v>
      </c>
      <c r="AK53" s="65">
        <v>-4.4125455E7</v>
      </c>
      <c r="AL53" s="65">
        <v>-4.4020295E7</v>
      </c>
      <c r="AM53" s="65">
        <v>-5.2143004E7</v>
      </c>
      <c r="AN53" s="65">
        <v>-1.22333431E8</v>
      </c>
      <c r="AO53" s="65">
        <v>-7.9537168E7</v>
      </c>
      <c r="AP53" s="85">
        <v>-4.8303471E7</v>
      </c>
      <c r="AQ53" s="85">
        <v>-4.172367E7</v>
      </c>
      <c r="AR53" s="85">
        <v>-4.1910955E7</v>
      </c>
      <c r="AS53" s="85">
        <v>-4.5367005E7</v>
      </c>
      <c r="AT53" s="85">
        <v>-3.7452174E7</v>
      </c>
      <c r="AU53" s="85">
        <v>-3.7123992E7</v>
      </c>
      <c r="AV53" s="85">
        <v>-3.5568128E7</v>
      </c>
      <c r="AW53" s="85">
        <v>-3.6633492E7</v>
      </c>
      <c r="AX53" s="85">
        <v>-3.8640879E7</v>
      </c>
      <c r="AY53" s="85">
        <v>-4.0595115E7</v>
      </c>
      <c r="AZ53" s="85">
        <v>-5.9367818E7</v>
      </c>
      <c r="BA53" s="85">
        <v>-2.41172E7</v>
      </c>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61"/>
      <c r="CM53" s="38" t="s">
        <v>81</v>
      </c>
      <c r="CN53" s="61"/>
      <c r="CO53" s="61"/>
      <c r="CP53" s="61"/>
    </row>
    <row r="54" ht="15.75" customHeight="1">
      <c r="A54" s="75"/>
      <c r="B54" s="59" t="str">
        <f t="array" ref="B54">XLOOKUP(D54, 'マスタ'!$C$2:$C$1000, 'マスタ'!$D$2:$D$1000, "マスタ未登録")</f>
        <v>その他</v>
      </c>
      <c r="C54" s="53" t="str">
        <f>IF(AND(D54&lt;&gt;"", COUNTIF('マスタ'!$C:$C, D54)=0), "マスタ未登録", "")</f>
        <v/>
      </c>
      <c r="D54" s="84" t="str">
        <f t="shared" si="1"/>
        <v>その他（変）</v>
      </c>
      <c r="E54" s="63" t="s">
        <v>331</v>
      </c>
      <c r="F54" s="65" t="s">
        <v>340</v>
      </c>
      <c r="G54" s="65"/>
      <c r="H54" s="65"/>
      <c r="I54" s="65" t="s">
        <v>328</v>
      </c>
      <c r="J54" s="65" t="s">
        <v>339</v>
      </c>
      <c r="K54" s="65"/>
      <c r="L54" s="65"/>
      <c r="M54" s="65"/>
      <c r="N54" s="65"/>
      <c r="O54" s="65"/>
      <c r="P54" s="65"/>
      <c r="Q54" s="65"/>
      <c r="R54" s="65"/>
      <c r="S54" s="65"/>
      <c r="T54" s="65"/>
      <c r="U54" s="65"/>
      <c r="V54" s="65"/>
      <c r="W54" s="65"/>
      <c r="X54" s="65"/>
      <c r="Y54" s="65"/>
      <c r="Z54" s="65"/>
      <c r="AA54" s="65"/>
      <c r="AB54" s="65"/>
      <c r="AC54" s="65"/>
      <c r="AD54" s="65">
        <v>0.0</v>
      </c>
      <c r="AE54" s="65">
        <v>0.0</v>
      </c>
      <c r="AF54" s="65">
        <v>0.0</v>
      </c>
      <c r="AG54" s="65">
        <v>0.0</v>
      </c>
      <c r="AH54" s="65">
        <v>0.0</v>
      </c>
      <c r="AI54" s="65">
        <v>0.0</v>
      </c>
      <c r="AJ54" s="65">
        <v>0.0</v>
      </c>
      <c r="AK54" s="65">
        <v>0.0</v>
      </c>
      <c r="AL54" s="65">
        <v>0.0</v>
      </c>
      <c r="AM54" s="65">
        <v>0.0</v>
      </c>
      <c r="AN54" s="65">
        <v>0.0</v>
      </c>
      <c r="AO54" s="65">
        <v>0.0</v>
      </c>
      <c r="AP54" s="85">
        <v>0.0</v>
      </c>
      <c r="AQ54" s="85">
        <v>0.0</v>
      </c>
      <c r="AR54" s="85">
        <v>0.0</v>
      </c>
      <c r="AS54" s="85">
        <v>0.0</v>
      </c>
      <c r="AT54" s="85">
        <v>0.0</v>
      </c>
      <c r="AU54" s="85">
        <v>0.0</v>
      </c>
      <c r="AV54" s="85">
        <v>0.0</v>
      </c>
      <c r="AW54" s="85">
        <v>0.0</v>
      </c>
      <c r="AX54" s="85">
        <v>0.0</v>
      </c>
      <c r="AY54" s="85">
        <v>0.0</v>
      </c>
      <c r="AZ54" s="85">
        <v>0.0</v>
      </c>
      <c r="BA54" s="85">
        <v>0.0</v>
      </c>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61"/>
      <c r="CM54" s="38" t="s">
        <v>341</v>
      </c>
      <c r="CN54" s="61"/>
      <c r="CO54" s="61"/>
      <c r="CP54" s="61"/>
    </row>
    <row r="55" ht="15.75" customHeight="1">
      <c r="A55" s="75"/>
      <c r="B55" s="59" t="str">
        <f t="array" ref="B55">XLOOKUP(D55, 'マスタ'!$C$2:$C$1000, 'マスタ'!$D$2:$D$1000, "マスタ未登録")</f>
        <v>当期商品仕入高</v>
      </c>
      <c r="C55" s="53" t="str">
        <f>IF(AND(D55&lt;&gt;"", COUNTIF('マスタ'!$C:$C, D55)=0), "マスタ未登録", "")</f>
        <v/>
      </c>
      <c r="D55" s="84" t="str">
        <f t="shared" si="1"/>
        <v>タレント報酬</v>
      </c>
      <c r="E55" s="63" t="s">
        <v>331</v>
      </c>
      <c r="F55" s="65" t="s">
        <v>332</v>
      </c>
      <c r="G55" s="65"/>
      <c r="H55" s="65"/>
      <c r="I55" s="65" t="s">
        <v>328</v>
      </c>
      <c r="J55" s="65" t="s">
        <v>339</v>
      </c>
      <c r="K55" s="65"/>
      <c r="L55" s="65"/>
      <c r="M55" s="65"/>
      <c r="N55" s="65"/>
      <c r="O55" s="65"/>
      <c r="P55" s="65"/>
      <c r="Q55" s="65"/>
      <c r="R55" s="65"/>
      <c r="S55" s="65"/>
      <c r="T55" s="65"/>
      <c r="U55" s="65"/>
      <c r="V55" s="65"/>
      <c r="W55" s="65"/>
      <c r="X55" s="65"/>
      <c r="Y55" s="65"/>
      <c r="Z55" s="65"/>
      <c r="AA55" s="65"/>
      <c r="AB55" s="65"/>
      <c r="AC55" s="65"/>
      <c r="AD55" s="65">
        <v>0.0</v>
      </c>
      <c r="AE55" s="65">
        <v>0.0</v>
      </c>
      <c r="AF55" s="65">
        <v>0.0</v>
      </c>
      <c r="AG55" s="65">
        <v>0.0</v>
      </c>
      <c r="AH55" s="65">
        <v>0.0</v>
      </c>
      <c r="AI55" s="65">
        <v>0.0</v>
      </c>
      <c r="AJ55" s="65">
        <v>0.0</v>
      </c>
      <c r="AK55" s="65">
        <v>0.0</v>
      </c>
      <c r="AL55" s="65">
        <v>0.0</v>
      </c>
      <c r="AM55" s="65">
        <v>0.0</v>
      </c>
      <c r="AN55" s="65">
        <v>0.0</v>
      </c>
      <c r="AO55" s="65">
        <v>0.0</v>
      </c>
      <c r="AP55" s="85">
        <v>0.0</v>
      </c>
      <c r="AQ55" s="85">
        <v>-349500.0</v>
      </c>
      <c r="AR55" s="85">
        <v>-349500.0</v>
      </c>
      <c r="AS55" s="85">
        <v>-349500.0</v>
      </c>
      <c r="AT55" s="85">
        <v>-349500.0</v>
      </c>
      <c r="AU55" s="85">
        <v>-349500.0</v>
      </c>
      <c r="AV55" s="85">
        <v>-349500.0</v>
      </c>
      <c r="AW55" s="85">
        <v>-349500.0</v>
      </c>
      <c r="AX55" s="85">
        <v>-349500.0</v>
      </c>
      <c r="AY55" s="85">
        <v>-349500.0</v>
      </c>
      <c r="AZ55" s="85">
        <v>-349500.0</v>
      </c>
      <c r="BA55" s="85">
        <v>-298500.0</v>
      </c>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61"/>
      <c r="CM55" s="38" t="s">
        <v>332</v>
      </c>
      <c r="CN55" s="61"/>
      <c r="CO55" s="61"/>
      <c r="CP55" s="61"/>
    </row>
    <row r="56" ht="15.75" customHeight="1">
      <c r="A56" s="75"/>
      <c r="B56" s="59" t="str">
        <f t="array" ref="B56">XLOOKUP(D56, 'マスタ'!$C$2:$C$1000, 'マスタ'!$D$2:$D$1000, "マスタ未登録")</f>
        <v>当期商品仕入高</v>
      </c>
      <c r="C56" s="53" t="str">
        <f>IF(AND(D56&lt;&gt;"", COUNTIF('マスタ'!$C:$C, D56)=0), "マスタ未登録", "")</f>
        <v/>
      </c>
      <c r="D56" s="84" t="str">
        <f t="shared" si="1"/>
        <v>人件費</v>
      </c>
      <c r="E56" s="63" t="s">
        <v>331</v>
      </c>
      <c r="F56" s="65" t="s">
        <v>163</v>
      </c>
      <c r="G56" s="65"/>
      <c r="H56" s="65"/>
      <c r="I56" s="65" t="s">
        <v>328</v>
      </c>
      <c r="J56" s="65" t="s">
        <v>339</v>
      </c>
      <c r="K56" s="65"/>
      <c r="L56" s="65"/>
      <c r="M56" s="65"/>
      <c r="N56" s="65"/>
      <c r="O56" s="65"/>
      <c r="P56" s="65"/>
      <c r="Q56" s="65"/>
      <c r="R56" s="65"/>
      <c r="S56" s="65"/>
      <c r="T56" s="65"/>
      <c r="U56" s="65"/>
      <c r="V56" s="65"/>
      <c r="W56" s="65"/>
      <c r="X56" s="65"/>
      <c r="Y56" s="65"/>
      <c r="Z56" s="65"/>
      <c r="AA56" s="65"/>
      <c r="AB56" s="65"/>
      <c r="AC56" s="65"/>
      <c r="AD56" s="65">
        <v>-7.1256696E7</v>
      </c>
      <c r="AE56" s="65">
        <v>-6.8027168E7</v>
      </c>
      <c r="AF56" s="65">
        <v>-6.8357731E7</v>
      </c>
      <c r="AG56" s="65">
        <v>-6.7999945E7</v>
      </c>
      <c r="AH56" s="65">
        <v>-6.7966506E7</v>
      </c>
      <c r="AI56" s="65">
        <v>-6.8488371E7</v>
      </c>
      <c r="AJ56" s="65">
        <v>-7.1422464E7</v>
      </c>
      <c r="AK56" s="65">
        <v>-7.2082532E7</v>
      </c>
      <c r="AL56" s="65">
        <v>-7.031664E7</v>
      </c>
      <c r="AM56" s="65">
        <v>-7.1010384E7</v>
      </c>
      <c r="AN56" s="65">
        <v>-7.280355E7</v>
      </c>
      <c r="AO56" s="65">
        <v>-7.5233138E7</v>
      </c>
      <c r="AP56" s="85">
        <v>-7.4288318E7</v>
      </c>
      <c r="AQ56" s="85">
        <v>-7.4231739E7</v>
      </c>
      <c r="AR56" s="85">
        <v>-7.4806091E7</v>
      </c>
      <c r="AS56" s="85">
        <v>-7.2733517E7</v>
      </c>
      <c r="AT56" s="85">
        <v>-7.3144209E7</v>
      </c>
      <c r="AU56" s="85">
        <v>-7.4491113E7</v>
      </c>
      <c r="AV56" s="85">
        <v>-7.720613E7</v>
      </c>
      <c r="AW56" s="85">
        <v>-7.6884076E7</v>
      </c>
      <c r="AX56" s="85">
        <v>-7.698538E7</v>
      </c>
      <c r="AY56" s="85">
        <v>-7.6499131E7</v>
      </c>
      <c r="AZ56" s="85">
        <v>-7.7199611E7</v>
      </c>
      <c r="BA56" s="85">
        <v>-7.7159837E7</v>
      </c>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61"/>
      <c r="CM56" s="38" t="s">
        <v>163</v>
      </c>
      <c r="CN56" s="61"/>
      <c r="CO56" s="61"/>
      <c r="CP56" s="61"/>
    </row>
    <row r="57" ht="15.75" customHeight="1">
      <c r="A57" s="75"/>
      <c r="B57" s="59" t="str">
        <f t="array" ref="B57">XLOOKUP(D57, 'マスタ'!$C$2:$C$1000, 'マスタ'!$D$2:$D$1000, "マスタ未登録")</f>
        <v>採用教育費</v>
      </c>
      <c r="C57" s="53" t="str">
        <f>IF(AND(D57&lt;&gt;"", COUNTIF('マスタ'!$C:$C, D57)=0), "マスタ未登録", "")</f>
        <v/>
      </c>
      <c r="D57" s="84" t="str">
        <f t="shared" si="1"/>
        <v>採用教育費</v>
      </c>
      <c r="E57" s="63" t="s">
        <v>331</v>
      </c>
      <c r="F57" s="65" t="s">
        <v>77</v>
      </c>
      <c r="G57" s="65"/>
      <c r="H57" s="65"/>
      <c r="I57" s="65" t="s">
        <v>328</v>
      </c>
      <c r="J57" s="65" t="s">
        <v>339</v>
      </c>
      <c r="K57" s="65"/>
      <c r="L57" s="65"/>
      <c r="M57" s="65"/>
      <c r="N57" s="65"/>
      <c r="O57" s="65"/>
      <c r="P57" s="65"/>
      <c r="Q57" s="65"/>
      <c r="R57" s="65"/>
      <c r="S57" s="65"/>
      <c r="T57" s="65"/>
      <c r="U57" s="65"/>
      <c r="V57" s="65"/>
      <c r="W57" s="65"/>
      <c r="X57" s="65"/>
      <c r="Y57" s="65"/>
      <c r="Z57" s="65"/>
      <c r="AA57" s="65"/>
      <c r="AB57" s="65"/>
      <c r="AC57" s="65"/>
      <c r="AD57" s="65">
        <v>0.0</v>
      </c>
      <c r="AE57" s="65">
        <v>0.0</v>
      </c>
      <c r="AF57" s="65">
        <v>0.0</v>
      </c>
      <c r="AG57" s="65">
        <v>0.0</v>
      </c>
      <c r="AH57" s="65">
        <v>0.0</v>
      </c>
      <c r="AI57" s="65">
        <v>0.0</v>
      </c>
      <c r="AJ57" s="65">
        <v>0.0</v>
      </c>
      <c r="AK57" s="65">
        <v>0.0</v>
      </c>
      <c r="AL57" s="65">
        <v>0.0</v>
      </c>
      <c r="AM57" s="65">
        <v>0.0</v>
      </c>
      <c r="AN57" s="65">
        <v>0.0</v>
      </c>
      <c r="AO57" s="65">
        <v>0.0</v>
      </c>
      <c r="AP57" s="85">
        <v>0.0</v>
      </c>
      <c r="AQ57" s="85">
        <v>0.0</v>
      </c>
      <c r="AR57" s="85">
        <v>0.0</v>
      </c>
      <c r="AS57" s="85">
        <v>0.0</v>
      </c>
      <c r="AT57" s="85">
        <v>0.0</v>
      </c>
      <c r="AU57" s="85">
        <v>0.0</v>
      </c>
      <c r="AV57" s="85">
        <v>0.0</v>
      </c>
      <c r="AW57" s="85">
        <v>0.0</v>
      </c>
      <c r="AX57" s="85">
        <v>0.0</v>
      </c>
      <c r="AY57" s="85">
        <v>0.0</v>
      </c>
      <c r="AZ57" s="85">
        <v>0.0</v>
      </c>
      <c r="BA57" s="85">
        <v>0.0</v>
      </c>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61"/>
      <c r="CM57" s="38" t="s">
        <v>77</v>
      </c>
      <c r="CN57" s="61"/>
      <c r="CO57" s="61"/>
      <c r="CP57" s="61"/>
    </row>
    <row r="58" ht="15.75" customHeight="1">
      <c r="A58" s="75"/>
      <c r="B58" s="59" t="str">
        <f t="array" ref="B58">XLOOKUP(D58, 'マスタ'!$C$2:$C$1000, 'マスタ'!$D$2:$D$1000, "マスタ未登録")</f>
        <v>共通費配賦</v>
      </c>
      <c r="C58" s="53" t="str">
        <f>IF(AND(D58&lt;&gt;"", COUNTIF('マスタ'!$C:$C, D58)=0), "マスタ未登録", "")</f>
        <v/>
      </c>
      <c r="D58" s="84" t="str">
        <f t="shared" si="1"/>
        <v>共通費配賦</v>
      </c>
      <c r="E58" s="65" t="s">
        <v>333</v>
      </c>
      <c r="F58" s="65" t="s">
        <v>99</v>
      </c>
      <c r="G58" s="65"/>
      <c r="H58" s="65"/>
      <c r="I58" s="65" t="s">
        <v>328</v>
      </c>
      <c r="J58" s="65" t="s">
        <v>339</v>
      </c>
      <c r="K58" s="65"/>
      <c r="L58" s="65"/>
      <c r="M58" s="65"/>
      <c r="N58" s="65"/>
      <c r="O58" s="65"/>
      <c r="P58" s="65"/>
      <c r="Q58" s="65"/>
      <c r="R58" s="65"/>
      <c r="S58" s="65"/>
      <c r="T58" s="65"/>
      <c r="U58" s="65"/>
      <c r="V58" s="65"/>
      <c r="W58" s="65"/>
      <c r="X58" s="65"/>
      <c r="Y58" s="65"/>
      <c r="Z58" s="65"/>
      <c r="AA58" s="65"/>
      <c r="AB58" s="65"/>
      <c r="AC58" s="65"/>
      <c r="AD58" s="65">
        <v>0.0</v>
      </c>
      <c r="AE58" s="65">
        <v>0.0</v>
      </c>
      <c r="AF58" s="65">
        <v>0.0</v>
      </c>
      <c r="AG58" s="65">
        <v>0.0</v>
      </c>
      <c r="AH58" s="65">
        <v>0.0</v>
      </c>
      <c r="AI58" s="65">
        <v>0.0</v>
      </c>
      <c r="AJ58" s="65">
        <v>0.0</v>
      </c>
      <c r="AK58" s="65">
        <v>0.0</v>
      </c>
      <c r="AL58" s="65">
        <v>0.0</v>
      </c>
      <c r="AM58" s="65">
        <v>0.0</v>
      </c>
      <c r="AN58" s="65">
        <v>0.0</v>
      </c>
      <c r="AO58" s="65">
        <v>0.0</v>
      </c>
      <c r="AP58" s="85">
        <v>0.0</v>
      </c>
      <c r="AQ58" s="85">
        <v>0.0</v>
      </c>
      <c r="AR58" s="85">
        <v>0.0</v>
      </c>
      <c r="AS58" s="85">
        <v>0.0</v>
      </c>
      <c r="AT58" s="85">
        <v>0.0</v>
      </c>
      <c r="AU58" s="85">
        <v>0.0</v>
      </c>
      <c r="AV58" s="85">
        <v>0.0</v>
      </c>
      <c r="AW58" s="85">
        <v>0.0</v>
      </c>
      <c r="AX58" s="85">
        <v>0.0</v>
      </c>
      <c r="AY58" s="85">
        <v>0.0</v>
      </c>
      <c r="AZ58" s="85">
        <v>0.0</v>
      </c>
      <c r="BA58" s="85">
        <v>0.0</v>
      </c>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61"/>
      <c r="CM58" s="38" t="s">
        <v>99</v>
      </c>
      <c r="CN58" s="61"/>
      <c r="CO58" s="61"/>
      <c r="CP58" s="61"/>
    </row>
    <row r="59" ht="15.75" customHeight="1">
      <c r="A59" s="75"/>
      <c r="B59" s="59" t="str">
        <f t="array" ref="B59">XLOOKUP(D59, 'マスタ'!$C$2:$C$1000, 'マスタ'!$D$2:$D$1000, "マスタ未登録")</f>
        <v>地代家賃</v>
      </c>
      <c r="C59" s="53" t="str">
        <f>IF(AND(D59&lt;&gt;"", COUNTIF('マスタ'!$C:$C, D59)=0), "マスタ未登録", "")</f>
        <v/>
      </c>
      <c r="D59" s="84" t="str">
        <f t="shared" si="1"/>
        <v>地代家賃</v>
      </c>
      <c r="E59" s="65" t="s">
        <v>333</v>
      </c>
      <c r="F59" s="65" t="s">
        <v>87</v>
      </c>
      <c r="G59" s="65"/>
      <c r="H59" s="65"/>
      <c r="I59" s="65" t="s">
        <v>328</v>
      </c>
      <c r="J59" s="65" t="s">
        <v>339</v>
      </c>
      <c r="K59" s="65"/>
      <c r="L59" s="65"/>
      <c r="M59" s="65"/>
      <c r="N59" s="65"/>
      <c r="O59" s="65"/>
      <c r="P59" s="65"/>
      <c r="Q59" s="65"/>
      <c r="R59" s="65"/>
      <c r="S59" s="65"/>
      <c r="T59" s="65"/>
      <c r="U59" s="65"/>
      <c r="V59" s="65"/>
      <c r="W59" s="65"/>
      <c r="X59" s="65"/>
      <c r="Y59" s="65"/>
      <c r="Z59" s="65"/>
      <c r="AA59" s="65"/>
      <c r="AB59" s="65"/>
      <c r="AC59" s="65"/>
      <c r="AD59" s="65">
        <v>-4.4452731E7</v>
      </c>
      <c r="AE59" s="65">
        <v>-4.4525631E7</v>
      </c>
      <c r="AF59" s="65">
        <v>-4.4604431E7</v>
      </c>
      <c r="AG59" s="65">
        <v>-4.4624721E7</v>
      </c>
      <c r="AH59" s="65">
        <v>-4.4674401E7</v>
      </c>
      <c r="AI59" s="65">
        <v>-4.6030166E7</v>
      </c>
      <c r="AJ59" s="65">
        <v>-4.6038024E7</v>
      </c>
      <c r="AK59" s="65">
        <v>-4.6145175E7</v>
      </c>
      <c r="AL59" s="65">
        <v>-4.6147675E7</v>
      </c>
      <c r="AM59" s="65">
        <v>-5.0290485E7</v>
      </c>
      <c r="AN59" s="65">
        <v>-5.0936724E7</v>
      </c>
      <c r="AO59" s="65">
        <v>-5.0886024E7</v>
      </c>
      <c r="AP59" s="85">
        <v>-4.7108546E7</v>
      </c>
      <c r="AQ59" s="85">
        <v>-4.7132846E7</v>
      </c>
      <c r="AR59" s="85">
        <v>-4.7132846E7</v>
      </c>
      <c r="AS59" s="85">
        <v>-4.7132846E7</v>
      </c>
      <c r="AT59" s="85">
        <v>-4.7132846E7</v>
      </c>
      <c r="AU59" s="85">
        <v>-4.7132846E7</v>
      </c>
      <c r="AV59" s="85">
        <v>-4.7132846E7</v>
      </c>
      <c r="AW59" s="85">
        <v>-4.7132846E7</v>
      </c>
      <c r="AX59" s="85">
        <v>-4.7132846E7</v>
      </c>
      <c r="AY59" s="85">
        <v>-4.7132846E7</v>
      </c>
      <c r="AZ59" s="85">
        <v>-4.7132846E7</v>
      </c>
      <c r="BA59" s="85">
        <v>-4.7132846E7</v>
      </c>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61"/>
      <c r="CM59" s="38" t="s">
        <v>87</v>
      </c>
      <c r="CN59" s="61"/>
      <c r="CO59" s="61"/>
      <c r="CP59" s="61"/>
    </row>
    <row r="60" ht="15.75" customHeight="1">
      <c r="A60" s="75"/>
      <c r="B60" s="59" t="str">
        <f t="array" ref="B60">XLOOKUP(D60, 'マスタ'!$C$2:$C$1000, 'マスタ'!$D$2:$D$1000, "マスタ未登録")</f>
        <v>減価償却費</v>
      </c>
      <c r="C60" s="53" t="str">
        <f>IF(AND(D60&lt;&gt;"", COUNTIF('マスタ'!$C:$C, D60)=0), "マスタ未登録", "")</f>
        <v/>
      </c>
      <c r="D60" s="84" t="str">
        <f t="shared" si="1"/>
        <v>減価償却</v>
      </c>
      <c r="E60" s="65" t="s">
        <v>333</v>
      </c>
      <c r="F60" s="65" t="s">
        <v>334</v>
      </c>
      <c r="G60" s="65"/>
      <c r="H60" s="65"/>
      <c r="I60" s="65" t="s">
        <v>328</v>
      </c>
      <c r="J60" s="65" t="s">
        <v>339</v>
      </c>
      <c r="K60" s="65"/>
      <c r="L60" s="65"/>
      <c r="M60" s="65"/>
      <c r="N60" s="65"/>
      <c r="O60" s="65"/>
      <c r="P60" s="65"/>
      <c r="Q60" s="65"/>
      <c r="R60" s="65"/>
      <c r="S60" s="65"/>
      <c r="T60" s="65"/>
      <c r="U60" s="65"/>
      <c r="V60" s="65"/>
      <c r="W60" s="65"/>
      <c r="X60" s="65"/>
      <c r="Y60" s="65"/>
      <c r="Z60" s="65"/>
      <c r="AA60" s="65"/>
      <c r="AB60" s="65"/>
      <c r="AC60" s="65"/>
      <c r="AD60" s="65">
        <v>-1.4069029E7</v>
      </c>
      <c r="AE60" s="65">
        <v>-1.438346E7</v>
      </c>
      <c r="AF60" s="65">
        <v>-1.4535988E7</v>
      </c>
      <c r="AG60" s="65">
        <v>-1.4433569E7</v>
      </c>
      <c r="AH60" s="65">
        <v>-1.4661538E7</v>
      </c>
      <c r="AI60" s="65">
        <v>-1.4763457E7</v>
      </c>
      <c r="AJ60" s="65">
        <v>-1.4375289E7</v>
      </c>
      <c r="AK60" s="65">
        <v>-1.456782E7</v>
      </c>
      <c r="AL60" s="65">
        <v>-1.4671938E7</v>
      </c>
      <c r="AM60" s="65">
        <v>-1.4775441E7</v>
      </c>
      <c r="AN60" s="65">
        <v>-1.5070074E7</v>
      </c>
      <c r="AO60" s="65">
        <v>-3.3784785E7</v>
      </c>
      <c r="AP60" s="85">
        <v>-1.238599E7</v>
      </c>
      <c r="AQ60" s="85">
        <v>-1.2974881E7</v>
      </c>
      <c r="AR60" s="85">
        <v>-1.3372957E7</v>
      </c>
      <c r="AS60" s="85">
        <v>-1.3438241E7</v>
      </c>
      <c r="AT60" s="85">
        <v>-1.3567774E7</v>
      </c>
      <c r="AU60" s="85">
        <v>-1.3832428E7</v>
      </c>
      <c r="AV60" s="85">
        <v>-1.4002011E7</v>
      </c>
      <c r="AW60" s="85">
        <v>-1.4180582E7</v>
      </c>
      <c r="AX60" s="85">
        <v>-1.5189815E7</v>
      </c>
      <c r="AY60" s="85">
        <v>-1.5358864E7</v>
      </c>
      <c r="AZ60" s="85">
        <v>-1.56019E7</v>
      </c>
      <c r="BA60" s="85">
        <v>-1.6262884E7</v>
      </c>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61"/>
      <c r="CM60" s="38" t="s">
        <v>334</v>
      </c>
      <c r="CN60" s="61"/>
      <c r="CO60" s="61"/>
      <c r="CP60" s="61"/>
    </row>
    <row r="61" ht="15.75" customHeight="1">
      <c r="A61" s="75"/>
      <c r="B61" s="59" t="str">
        <f t="array" ref="B61">XLOOKUP(D61, 'マスタ'!$C$2:$C$1000, 'マスタ'!$D$2:$D$1000, "マスタ未登録")</f>
        <v>敷金償却</v>
      </c>
      <c r="C61" s="53" t="str">
        <f>IF(AND(D61&lt;&gt;"", COUNTIF('マスタ'!$C:$C, D61)=0), "マスタ未登録", "")</f>
        <v/>
      </c>
      <c r="D61" s="84" t="str">
        <f t="shared" si="1"/>
        <v>敷金償却</v>
      </c>
      <c r="E61" s="65" t="s">
        <v>333</v>
      </c>
      <c r="F61" s="65" t="s">
        <v>180</v>
      </c>
      <c r="G61" s="65"/>
      <c r="H61" s="65"/>
      <c r="I61" s="65" t="s">
        <v>328</v>
      </c>
      <c r="J61" s="65" t="s">
        <v>339</v>
      </c>
      <c r="K61" s="65"/>
      <c r="L61" s="65"/>
      <c r="M61" s="65"/>
      <c r="N61" s="65"/>
      <c r="O61" s="65"/>
      <c r="P61" s="65"/>
      <c r="Q61" s="65"/>
      <c r="R61" s="65"/>
      <c r="S61" s="65"/>
      <c r="T61" s="65"/>
      <c r="U61" s="65"/>
      <c r="V61" s="65"/>
      <c r="W61" s="65"/>
      <c r="X61" s="65"/>
      <c r="Y61" s="65"/>
      <c r="Z61" s="65"/>
      <c r="AA61" s="65"/>
      <c r="AB61" s="65"/>
      <c r="AC61" s="65"/>
      <c r="AD61" s="65">
        <v>0.0</v>
      </c>
      <c r="AE61" s="65">
        <v>0.0</v>
      </c>
      <c r="AF61" s="65">
        <v>0.0</v>
      </c>
      <c r="AG61" s="65">
        <v>0.0</v>
      </c>
      <c r="AH61" s="65">
        <v>0.0</v>
      </c>
      <c r="AI61" s="65">
        <v>0.0</v>
      </c>
      <c r="AJ61" s="65">
        <v>0.0</v>
      </c>
      <c r="AK61" s="65">
        <v>0.0</v>
      </c>
      <c r="AL61" s="65">
        <v>0.0</v>
      </c>
      <c r="AM61" s="65">
        <v>0.0</v>
      </c>
      <c r="AN61" s="65">
        <v>0.0</v>
      </c>
      <c r="AO61" s="65">
        <v>0.0</v>
      </c>
      <c r="AP61" s="85">
        <v>0.0</v>
      </c>
      <c r="AQ61" s="85">
        <v>0.0</v>
      </c>
      <c r="AR61" s="85">
        <v>0.0</v>
      </c>
      <c r="AS61" s="85">
        <v>0.0</v>
      </c>
      <c r="AT61" s="85">
        <v>0.0</v>
      </c>
      <c r="AU61" s="85">
        <v>0.0</v>
      </c>
      <c r="AV61" s="85">
        <v>0.0</v>
      </c>
      <c r="AW61" s="85">
        <v>0.0</v>
      </c>
      <c r="AX61" s="85">
        <v>0.0</v>
      </c>
      <c r="AY61" s="85">
        <v>0.0</v>
      </c>
      <c r="AZ61" s="85">
        <v>0.0</v>
      </c>
      <c r="BA61" s="85">
        <v>0.0</v>
      </c>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61"/>
      <c r="CM61" s="38" t="s">
        <v>180</v>
      </c>
      <c r="CN61" s="61"/>
      <c r="CO61" s="61"/>
      <c r="CP61" s="61"/>
    </row>
    <row r="62" ht="15.75" customHeight="1">
      <c r="A62" s="75"/>
      <c r="B62" s="59" t="str">
        <f t="array" ref="B62">XLOOKUP(D62, 'マスタ'!$C$2:$C$1000, 'マスタ'!$D$2:$D$1000, "マスタ未登録")</f>
        <v>租税公課</v>
      </c>
      <c r="C62" s="53" t="str">
        <f>IF(AND(D62&lt;&gt;"", COUNTIF('マスタ'!$C:$C, D62)=0), "マスタ未登録", "")</f>
        <v/>
      </c>
      <c r="D62" s="84" t="str">
        <f t="shared" si="1"/>
        <v>租税公課</v>
      </c>
      <c r="E62" s="65" t="s">
        <v>333</v>
      </c>
      <c r="F62" s="65" t="s">
        <v>91</v>
      </c>
      <c r="G62" s="65"/>
      <c r="H62" s="65"/>
      <c r="I62" s="65" t="s">
        <v>328</v>
      </c>
      <c r="J62" s="65" t="s">
        <v>339</v>
      </c>
      <c r="K62" s="65"/>
      <c r="L62" s="65"/>
      <c r="M62" s="65"/>
      <c r="N62" s="65"/>
      <c r="O62" s="65"/>
      <c r="P62" s="65"/>
      <c r="Q62" s="65"/>
      <c r="R62" s="65"/>
      <c r="S62" s="65"/>
      <c r="T62" s="65"/>
      <c r="U62" s="65"/>
      <c r="V62" s="65"/>
      <c r="W62" s="65"/>
      <c r="X62" s="65"/>
      <c r="Y62" s="65"/>
      <c r="Z62" s="65"/>
      <c r="AA62" s="65"/>
      <c r="AB62" s="65"/>
      <c r="AC62" s="65"/>
      <c r="AD62" s="65">
        <v>-961900.0</v>
      </c>
      <c r="AE62" s="65">
        <v>-1134300.0</v>
      </c>
      <c r="AF62" s="65">
        <v>-1017140.0</v>
      </c>
      <c r="AG62" s="65">
        <v>-964650.0</v>
      </c>
      <c r="AH62" s="65">
        <v>-983800.0</v>
      </c>
      <c r="AI62" s="65">
        <v>-1069200.0</v>
      </c>
      <c r="AJ62" s="65">
        <v>-966200.0</v>
      </c>
      <c r="AK62" s="65">
        <v>-980600.0</v>
      </c>
      <c r="AL62" s="65">
        <v>-964000.0</v>
      </c>
      <c r="AM62" s="65">
        <v>-964400.0</v>
      </c>
      <c r="AN62" s="65">
        <v>-984600.0</v>
      </c>
      <c r="AO62" s="65">
        <v>-966600.0</v>
      </c>
      <c r="AP62" s="85">
        <v>-943900.0</v>
      </c>
      <c r="AQ62" s="85">
        <v>-957741.0</v>
      </c>
      <c r="AR62" s="85">
        <v>-957741.0</v>
      </c>
      <c r="AS62" s="85">
        <v>-957741.0</v>
      </c>
      <c r="AT62" s="85">
        <v>-957741.0</v>
      </c>
      <c r="AU62" s="85">
        <v>-992541.0</v>
      </c>
      <c r="AV62" s="85">
        <v>-957741.0</v>
      </c>
      <c r="AW62" s="85">
        <v>-957741.0</v>
      </c>
      <c r="AX62" s="85">
        <v>-957741.0</v>
      </c>
      <c r="AY62" s="85">
        <v>-978341.0</v>
      </c>
      <c r="AZ62" s="85">
        <v>-957741.0</v>
      </c>
      <c r="BA62" s="85">
        <v>-957741.0</v>
      </c>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c r="CF62" s="85"/>
      <c r="CG62" s="85"/>
      <c r="CH62" s="85"/>
      <c r="CI62" s="85"/>
      <c r="CJ62" s="85"/>
      <c r="CK62" s="85"/>
      <c r="CL62" s="61"/>
      <c r="CM62" s="38" t="s">
        <v>91</v>
      </c>
      <c r="CN62" s="61"/>
      <c r="CO62" s="61"/>
      <c r="CP62" s="61"/>
    </row>
    <row r="63" ht="15.75" customHeight="1">
      <c r="A63" s="75"/>
      <c r="B63" s="59" t="str">
        <f t="array" ref="B63">XLOOKUP(D63, 'マスタ'!$C$2:$C$1000, 'マスタ'!$D$2:$D$1000, "マスタ未登録")</f>
        <v>消耗品費</v>
      </c>
      <c r="C63" s="53" t="str">
        <f>IF(AND(D63&lt;&gt;"", COUNTIF('マスタ'!$C:$C, D63)=0), "マスタ未登録", "")</f>
        <v/>
      </c>
      <c r="D63" s="84" t="str">
        <f t="shared" si="1"/>
        <v>消耗品費</v>
      </c>
      <c r="E63" s="65" t="s">
        <v>333</v>
      </c>
      <c r="F63" s="65" t="s">
        <v>86</v>
      </c>
      <c r="G63" s="65"/>
      <c r="H63" s="65"/>
      <c r="I63" s="65" t="s">
        <v>328</v>
      </c>
      <c r="J63" s="65" t="s">
        <v>339</v>
      </c>
      <c r="K63" s="65"/>
      <c r="L63" s="65"/>
      <c r="M63" s="65"/>
      <c r="N63" s="65"/>
      <c r="O63" s="65"/>
      <c r="P63" s="65"/>
      <c r="Q63" s="65"/>
      <c r="R63" s="65"/>
      <c r="S63" s="65"/>
      <c r="T63" s="65"/>
      <c r="U63" s="65"/>
      <c r="V63" s="65"/>
      <c r="W63" s="65"/>
      <c r="X63" s="65"/>
      <c r="Y63" s="65"/>
      <c r="Z63" s="65"/>
      <c r="AA63" s="65"/>
      <c r="AB63" s="65"/>
      <c r="AC63" s="65"/>
      <c r="AD63" s="65">
        <v>-2903725.0</v>
      </c>
      <c r="AE63" s="65">
        <v>-1978901.0</v>
      </c>
      <c r="AF63" s="65">
        <v>-975074.0</v>
      </c>
      <c r="AG63" s="65">
        <v>-4406479.0</v>
      </c>
      <c r="AH63" s="65">
        <v>-3177759.0</v>
      </c>
      <c r="AI63" s="65">
        <v>-716347.0</v>
      </c>
      <c r="AJ63" s="65">
        <v>-715115.0</v>
      </c>
      <c r="AK63" s="65">
        <v>-827859.0</v>
      </c>
      <c r="AL63" s="65">
        <v>-1083558.0</v>
      </c>
      <c r="AM63" s="65">
        <v>-1549546.0</v>
      </c>
      <c r="AN63" s="65">
        <v>-2803378.0</v>
      </c>
      <c r="AO63" s="65">
        <v>-1.3163675E7</v>
      </c>
      <c r="AP63" s="85">
        <v>-2023801.0</v>
      </c>
      <c r="AQ63" s="85">
        <v>-1028066.0</v>
      </c>
      <c r="AR63" s="85">
        <v>-1047394.0</v>
      </c>
      <c r="AS63" s="85">
        <v>-1090920.0</v>
      </c>
      <c r="AT63" s="85">
        <v>-1052524.0</v>
      </c>
      <c r="AU63" s="85">
        <v>-1299431.0</v>
      </c>
      <c r="AV63" s="85">
        <v>-980158.0</v>
      </c>
      <c r="AW63" s="85">
        <v>-995430.0</v>
      </c>
      <c r="AX63" s="85">
        <v>-968920.0</v>
      </c>
      <c r="AY63" s="85">
        <v>-1097540.0</v>
      </c>
      <c r="AZ63" s="85">
        <v>-1092022.0</v>
      </c>
      <c r="BA63" s="85">
        <v>-2162561.0</v>
      </c>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61"/>
      <c r="CM63" s="38" t="s">
        <v>86</v>
      </c>
      <c r="CN63" s="61"/>
      <c r="CO63" s="61"/>
      <c r="CP63" s="61"/>
    </row>
    <row r="64" ht="15.75" customHeight="1">
      <c r="A64" s="75"/>
      <c r="B64" s="59" t="str">
        <f t="array" ref="B64">XLOOKUP(D64, 'マスタ'!$C$2:$C$1000, 'マスタ'!$D$2:$D$1000, "マスタ未登録")</f>
        <v>通信費</v>
      </c>
      <c r="C64" s="53" t="str">
        <f>IF(AND(D64&lt;&gt;"", COUNTIF('マスタ'!$C:$C, D64)=0), "マスタ未登録", "")</f>
        <v/>
      </c>
      <c r="D64" s="84" t="str">
        <f t="shared" si="1"/>
        <v>通信費</v>
      </c>
      <c r="E64" s="65" t="s">
        <v>333</v>
      </c>
      <c r="F64" s="65" t="s">
        <v>84</v>
      </c>
      <c r="G64" s="65"/>
      <c r="H64" s="65"/>
      <c r="I64" s="65" t="s">
        <v>328</v>
      </c>
      <c r="J64" s="65" t="s">
        <v>339</v>
      </c>
      <c r="K64" s="65"/>
      <c r="L64" s="65"/>
      <c r="M64" s="65"/>
      <c r="N64" s="65"/>
      <c r="O64" s="65"/>
      <c r="P64" s="65"/>
      <c r="Q64" s="65"/>
      <c r="R64" s="65"/>
      <c r="S64" s="65"/>
      <c r="T64" s="65"/>
      <c r="U64" s="65"/>
      <c r="V64" s="65"/>
      <c r="W64" s="65"/>
      <c r="X64" s="65"/>
      <c r="Y64" s="65"/>
      <c r="Z64" s="65"/>
      <c r="AA64" s="65"/>
      <c r="AB64" s="65"/>
      <c r="AC64" s="65"/>
      <c r="AD64" s="65">
        <v>-1.8585902E7</v>
      </c>
      <c r="AE64" s="65">
        <v>-1.7745208E7</v>
      </c>
      <c r="AF64" s="65">
        <v>-1.5830405E7</v>
      </c>
      <c r="AG64" s="65">
        <v>-1.5386884E7</v>
      </c>
      <c r="AH64" s="65">
        <v>-1.8212747E7</v>
      </c>
      <c r="AI64" s="65">
        <v>-1.8194698E7</v>
      </c>
      <c r="AJ64" s="65">
        <v>-1.9256147E7</v>
      </c>
      <c r="AK64" s="65">
        <v>-2.0591352E7</v>
      </c>
      <c r="AL64" s="65">
        <v>-2.2527393E7</v>
      </c>
      <c r="AM64" s="65">
        <v>-1.9546898E7</v>
      </c>
      <c r="AN64" s="65">
        <v>-2.0185103E7</v>
      </c>
      <c r="AO64" s="65">
        <v>-3.2771928E7</v>
      </c>
      <c r="AP64" s="85">
        <v>-1.8016823E7</v>
      </c>
      <c r="AQ64" s="85">
        <v>-1.2360014E7</v>
      </c>
      <c r="AR64" s="85">
        <v>-1.2309803E7</v>
      </c>
      <c r="AS64" s="85">
        <v>-1.2282487E7</v>
      </c>
      <c r="AT64" s="85">
        <v>-1.2423192E7</v>
      </c>
      <c r="AU64" s="85">
        <v>-1.4810221E7</v>
      </c>
      <c r="AV64" s="85">
        <v>-1.2945811E7</v>
      </c>
      <c r="AW64" s="85">
        <v>-1.4344307E7</v>
      </c>
      <c r="AX64" s="85">
        <v>-1.4937858E7</v>
      </c>
      <c r="AY64" s="85">
        <v>-1.274093E7</v>
      </c>
      <c r="AZ64" s="85">
        <v>-1.3223071E7</v>
      </c>
      <c r="BA64" s="85">
        <v>-1.4402923E7</v>
      </c>
      <c r="BB64" s="85"/>
      <c r="BC64" s="85"/>
      <c r="BD64" s="85"/>
      <c r="BE64" s="85"/>
      <c r="BF64" s="85"/>
      <c r="BG64" s="85"/>
      <c r="BH64" s="85"/>
      <c r="BI64" s="85"/>
      <c r="BJ64" s="85"/>
      <c r="BK64" s="85"/>
      <c r="BL64" s="85"/>
      <c r="BM64" s="85"/>
      <c r="BN64" s="85"/>
      <c r="BO64" s="85"/>
      <c r="BP64" s="85"/>
      <c r="BQ64" s="85"/>
      <c r="BR64" s="85"/>
      <c r="BS64" s="85"/>
      <c r="BT64" s="85"/>
      <c r="BU64" s="85"/>
      <c r="BV64" s="85"/>
      <c r="BW64" s="85"/>
      <c r="BX64" s="85"/>
      <c r="BY64" s="85"/>
      <c r="BZ64" s="85"/>
      <c r="CA64" s="85"/>
      <c r="CB64" s="85"/>
      <c r="CC64" s="85"/>
      <c r="CD64" s="85"/>
      <c r="CE64" s="85"/>
      <c r="CF64" s="85"/>
      <c r="CG64" s="85"/>
      <c r="CH64" s="85"/>
      <c r="CI64" s="85"/>
      <c r="CJ64" s="85"/>
      <c r="CK64" s="85"/>
      <c r="CL64" s="61"/>
      <c r="CM64" s="38" t="s">
        <v>84</v>
      </c>
      <c r="CN64" s="61"/>
      <c r="CO64" s="61"/>
      <c r="CP64" s="61"/>
    </row>
    <row r="65" ht="15.75" customHeight="1">
      <c r="A65" s="75"/>
      <c r="B65" s="59" t="str">
        <f t="array" ref="B65">XLOOKUP(D65, 'マスタ'!$C$2:$C$1000, 'マスタ'!$D$2:$D$1000, "マスタ未登録")</f>
        <v>旅費交通費</v>
      </c>
      <c r="C65" s="53" t="str">
        <f>IF(AND(D65&lt;&gt;"", COUNTIF('マスタ'!$C:$C, D65)=0), "マスタ未登録", "")</f>
        <v/>
      </c>
      <c r="D65" s="84" t="str">
        <f t="shared" si="1"/>
        <v>旅費交通費</v>
      </c>
      <c r="E65" s="65" t="s">
        <v>333</v>
      </c>
      <c r="F65" s="65" t="s">
        <v>83</v>
      </c>
      <c r="G65" s="65"/>
      <c r="H65" s="65"/>
      <c r="I65" s="65" t="s">
        <v>328</v>
      </c>
      <c r="J65" s="65" t="s">
        <v>339</v>
      </c>
      <c r="K65" s="65"/>
      <c r="L65" s="65"/>
      <c r="M65" s="65"/>
      <c r="N65" s="65"/>
      <c r="O65" s="65"/>
      <c r="P65" s="65"/>
      <c r="Q65" s="65"/>
      <c r="R65" s="65"/>
      <c r="S65" s="65"/>
      <c r="T65" s="65"/>
      <c r="U65" s="65"/>
      <c r="V65" s="65"/>
      <c r="W65" s="65"/>
      <c r="X65" s="65"/>
      <c r="Y65" s="65"/>
      <c r="Z65" s="65"/>
      <c r="AA65" s="65"/>
      <c r="AB65" s="65"/>
      <c r="AC65" s="65"/>
      <c r="AD65" s="65">
        <v>-1451045.0</v>
      </c>
      <c r="AE65" s="65">
        <v>-1595147.0</v>
      </c>
      <c r="AF65" s="65">
        <v>-2507507.0</v>
      </c>
      <c r="AG65" s="65">
        <v>-2367961.0</v>
      </c>
      <c r="AH65" s="65">
        <v>-1709916.0</v>
      </c>
      <c r="AI65" s="65">
        <v>-2045059.0</v>
      </c>
      <c r="AJ65" s="65">
        <v>-2134656.0</v>
      </c>
      <c r="AK65" s="65">
        <v>-3076707.0</v>
      </c>
      <c r="AL65" s="65">
        <v>-1664100.0</v>
      </c>
      <c r="AM65" s="65">
        <v>-1617086.0</v>
      </c>
      <c r="AN65" s="65">
        <v>-1714388.0</v>
      </c>
      <c r="AO65" s="65">
        <v>-2549653.0</v>
      </c>
      <c r="AP65" s="85">
        <v>-1954909.0</v>
      </c>
      <c r="AQ65" s="85">
        <v>-1696271.0</v>
      </c>
      <c r="AR65" s="85">
        <v>-1988110.0</v>
      </c>
      <c r="AS65" s="85">
        <v>-1811425.0</v>
      </c>
      <c r="AT65" s="85">
        <v>-1532435.0</v>
      </c>
      <c r="AU65" s="85">
        <v>-2072507.0</v>
      </c>
      <c r="AV65" s="85">
        <v>-1961491.0</v>
      </c>
      <c r="AW65" s="85">
        <v>-2706870.0</v>
      </c>
      <c r="AX65" s="85">
        <v>-1515389.0</v>
      </c>
      <c r="AY65" s="85">
        <v>-1863679.0</v>
      </c>
      <c r="AZ65" s="85">
        <v>-1723209.0</v>
      </c>
      <c r="BA65" s="85">
        <v>-1744839.0</v>
      </c>
      <c r="BB65" s="85"/>
      <c r="BC65" s="85"/>
      <c r="BD65" s="85"/>
      <c r="BE65" s="85"/>
      <c r="BF65" s="85"/>
      <c r="BG65" s="85"/>
      <c r="BH65" s="85"/>
      <c r="BI65" s="85"/>
      <c r="BJ65" s="85"/>
      <c r="BK65" s="85"/>
      <c r="BL65" s="85"/>
      <c r="BM65" s="85"/>
      <c r="BN65" s="85"/>
      <c r="BO65" s="85"/>
      <c r="BP65" s="85"/>
      <c r="BQ65" s="85"/>
      <c r="BR65" s="85"/>
      <c r="BS65" s="85"/>
      <c r="BT65" s="85"/>
      <c r="BU65" s="85"/>
      <c r="BV65" s="85"/>
      <c r="BW65" s="85"/>
      <c r="BX65" s="85"/>
      <c r="BY65" s="85"/>
      <c r="BZ65" s="85"/>
      <c r="CA65" s="85"/>
      <c r="CB65" s="85"/>
      <c r="CC65" s="85"/>
      <c r="CD65" s="85"/>
      <c r="CE65" s="85"/>
      <c r="CF65" s="85"/>
      <c r="CG65" s="85"/>
      <c r="CH65" s="85"/>
      <c r="CI65" s="85"/>
      <c r="CJ65" s="85"/>
      <c r="CK65" s="85"/>
      <c r="CL65" s="61"/>
      <c r="CM65" s="38" t="s">
        <v>83</v>
      </c>
      <c r="CN65" s="61"/>
      <c r="CO65" s="61"/>
      <c r="CP65" s="61"/>
    </row>
    <row r="66" ht="15.75" customHeight="1">
      <c r="A66" s="75"/>
      <c r="B66" s="59" t="str">
        <f t="array" ref="B66">XLOOKUP(D66, 'マスタ'!$C$2:$C$1000, 'マスタ'!$D$2:$D$1000, "マスタ未登録")</f>
        <v>支払報酬</v>
      </c>
      <c r="C66" s="53" t="str">
        <f>IF(AND(D66&lt;&gt;"", COUNTIF('マスタ'!$C:$C, D66)=0), "マスタ未登録", "")</f>
        <v/>
      </c>
      <c r="D66" s="84" t="str">
        <f t="shared" si="1"/>
        <v>支払報酬料</v>
      </c>
      <c r="E66" s="65" t="s">
        <v>333</v>
      </c>
      <c r="F66" s="65" t="s">
        <v>239</v>
      </c>
      <c r="G66" s="65"/>
      <c r="H66" s="65"/>
      <c r="I66" s="65" t="s">
        <v>328</v>
      </c>
      <c r="J66" s="65" t="s">
        <v>339</v>
      </c>
      <c r="K66" s="65"/>
      <c r="L66" s="65"/>
      <c r="M66" s="65"/>
      <c r="N66" s="65"/>
      <c r="O66" s="65"/>
      <c r="P66" s="65"/>
      <c r="Q66" s="65"/>
      <c r="R66" s="65"/>
      <c r="S66" s="65"/>
      <c r="T66" s="65"/>
      <c r="U66" s="65"/>
      <c r="V66" s="65"/>
      <c r="W66" s="65"/>
      <c r="X66" s="65"/>
      <c r="Y66" s="65"/>
      <c r="Z66" s="65"/>
      <c r="AA66" s="65"/>
      <c r="AB66" s="65"/>
      <c r="AC66" s="65"/>
      <c r="AD66" s="65">
        <v>-250000.0</v>
      </c>
      <c r="AE66" s="65">
        <v>-250000.0</v>
      </c>
      <c r="AF66" s="65">
        <v>-250000.0</v>
      </c>
      <c r="AG66" s="65">
        <v>-250000.0</v>
      </c>
      <c r="AH66" s="65">
        <v>-250000.0</v>
      </c>
      <c r="AI66" s="65">
        <v>-853473.0</v>
      </c>
      <c r="AJ66" s="65">
        <v>-750000.0</v>
      </c>
      <c r="AK66" s="65">
        <v>-794382.0</v>
      </c>
      <c r="AL66" s="65">
        <v>-1097828.0</v>
      </c>
      <c r="AM66" s="65">
        <v>-783819.0</v>
      </c>
      <c r="AN66" s="65">
        <v>-909786.0</v>
      </c>
      <c r="AO66" s="65">
        <v>-750000.0</v>
      </c>
      <c r="AP66" s="85">
        <v>-791670.0</v>
      </c>
      <c r="AQ66" s="85">
        <v>-850000.0</v>
      </c>
      <c r="AR66" s="85">
        <v>-850000.0</v>
      </c>
      <c r="AS66" s="85">
        <v>-850000.0</v>
      </c>
      <c r="AT66" s="85">
        <v>-850000.0</v>
      </c>
      <c r="AU66" s="85">
        <v>-850000.0</v>
      </c>
      <c r="AV66" s="85">
        <v>-850000.0</v>
      </c>
      <c r="AW66" s="85">
        <v>-850000.0</v>
      </c>
      <c r="AX66" s="85">
        <v>-850000.0</v>
      </c>
      <c r="AY66" s="85">
        <v>-850000.0</v>
      </c>
      <c r="AZ66" s="85">
        <v>-850000.0</v>
      </c>
      <c r="BA66" s="85">
        <v>-850000.0</v>
      </c>
      <c r="BB66" s="85"/>
      <c r="BC66" s="85"/>
      <c r="BD66" s="85"/>
      <c r="BE66" s="85"/>
      <c r="BF66" s="85"/>
      <c r="BG66" s="85"/>
      <c r="BH66" s="85"/>
      <c r="BI66" s="85"/>
      <c r="BJ66" s="85"/>
      <c r="BK66" s="85"/>
      <c r="BL66" s="85"/>
      <c r="BM66" s="85"/>
      <c r="BN66" s="85"/>
      <c r="BO66" s="85"/>
      <c r="BP66" s="85"/>
      <c r="BQ66" s="85"/>
      <c r="BR66" s="85"/>
      <c r="BS66" s="85"/>
      <c r="BT66" s="85"/>
      <c r="BU66" s="85"/>
      <c r="BV66" s="85"/>
      <c r="BW66" s="85"/>
      <c r="BX66" s="85"/>
      <c r="BY66" s="85"/>
      <c r="BZ66" s="85"/>
      <c r="CA66" s="85"/>
      <c r="CB66" s="85"/>
      <c r="CC66" s="85"/>
      <c r="CD66" s="85"/>
      <c r="CE66" s="85"/>
      <c r="CF66" s="85"/>
      <c r="CG66" s="85"/>
      <c r="CH66" s="85"/>
      <c r="CI66" s="85"/>
      <c r="CJ66" s="85"/>
      <c r="CK66" s="85"/>
      <c r="CL66" s="61"/>
      <c r="CM66" s="38" t="s">
        <v>239</v>
      </c>
      <c r="CN66" s="61"/>
      <c r="CO66" s="61"/>
      <c r="CP66" s="61"/>
    </row>
    <row r="67" ht="15.75" customHeight="1">
      <c r="A67" s="75"/>
      <c r="B67" s="59" t="str">
        <f t="array" ref="B67">XLOOKUP(D67, 'マスタ'!$C$2:$C$1000, 'マスタ'!$D$2:$D$1000, "マスタ未登録")</f>
        <v>接待交際費</v>
      </c>
      <c r="C67" s="53" t="str">
        <f>IF(AND(D67&lt;&gt;"", COUNTIF('マスタ'!$C:$C, D67)=0), "マスタ未登録", "")</f>
        <v/>
      </c>
      <c r="D67" s="84" t="str">
        <f t="shared" si="1"/>
        <v>会議・交際費</v>
      </c>
      <c r="E67" s="65" t="s">
        <v>333</v>
      </c>
      <c r="F67" s="65" t="s">
        <v>335</v>
      </c>
      <c r="G67" s="65"/>
      <c r="H67" s="65"/>
      <c r="I67" s="65" t="s">
        <v>328</v>
      </c>
      <c r="J67" s="65" t="s">
        <v>339</v>
      </c>
      <c r="K67" s="65"/>
      <c r="L67" s="65"/>
      <c r="M67" s="65"/>
      <c r="N67" s="65"/>
      <c r="O67" s="65"/>
      <c r="P67" s="65"/>
      <c r="Q67" s="65"/>
      <c r="R67" s="65"/>
      <c r="S67" s="65"/>
      <c r="T67" s="65"/>
      <c r="U67" s="65"/>
      <c r="V67" s="65"/>
      <c r="W67" s="65"/>
      <c r="X67" s="65"/>
      <c r="Y67" s="65"/>
      <c r="Z67" s="65"/>
      <c r="AA67" s="65"/>
      <c r="AB67" s="65"/>
      <c r="AC67" s="65"/>
      <c r="AD67" s="65">
        <v>-316156.0</v>
      </c>
      <c r="AE67" s="65">
        <v>-475028.0</v>
      </c>
      <c r="AF67" s="65">
        <v>-329242.0</v>
      </c>
      <c r="AG67" s="65">
        <v>-356699.0</v>
      </c>
      <c r="AH67" s="65">
        <v>-277761.0</v>
      </c>
      <c r="AI67" s="65">
        <v>-45564.0</v>
      </c>
      <c r="AJ67" s="65">
        <v>-494746.0</v>
      </c>
      <c r="AK67" s="65">
        <v>-348919.0</v>
      </c>
      <c r="AL67" s="65">
        <v>-779190.0</v>
      </c>
      <c r="AM67" s="65">
        <v>-144725.0</v>
      </c>
      <c r="AN67" s="65">
        <v>-458256.0</v>
      </c>
      <c r="AO67" s="65">
        <v>-339832.0</v>
      </c>
      <c r="AP67" s="85">
        <v>-157929.0</v>
      </c>
      <c r="AQ67" s="85">
        <v>-392591.0</v>
      </c>
      <c r="AR67" s="85">
        <v>-390850.0</v>
      </c>
      <c r="AS67" s="85">
        <v>-245805.0</v>
      </c>
      <c r="AT67" s="85">
        <v>-379655.0</v>
      </c>
      <c r="AU67" s="85">
        <v>-272010.0</v>
      </c>
      <c r="AV67" s="85">
        <v>-368026.0</v>
      </c>
      <c r="AW67" s="85">
        <v>-357346.0</v>
      </c>
      <c r="AX67" s="85">
        <v>-340629.0</v>
      </c>
      <c r="AY67" s="85">
        <v>-238471.0</v>
      </c>
      <c r="AZ67" s="85">
        <v>-236555.0</v>
      </c>
      <c r="BA67" s="85">
        <v>-320000.0</v>
      </c>
      <c r="BB67" s="85"/>
      <c r="BC67" s="85"/>
      <c r="BD67" s="85"/>
      <c r="BE67" s="85"/>
      <c r="BF67" s="85"/>
      <c r="BG67" s="85"/>
      <c r="BH67" s="85"/>
      <c r="BI67" s="85"/>
      <c r="BJ67" s="85"/>
      <c r="BK67" s="85"/>
      <c r="BL67" s="85"/>
      <c r="BM67" s="85"/>
      <c r="BN67" s="85"/>
      <c r="BO67" s="85"/>
      <c r="BP67" s="85"/>
      <c r="BQ67" s="85"/>
      <c r="BR67" s="85"/>
      <c r="BS67" s="85"/>
      <c r="BT67" s="85"/>
      <c r="BU67" s="85"/>
      <c r="BV67" s="85"/>
      <c r="BW67" s="85"/>
      <c r="BX67" s="85"/>
      <c r="BY67" s="85"/>
      <c r="BZ67" s="85"/>
      <c r="CA67" s="85"/>
      <c r="CB67" s="85"/>
      <c r="CC67" s="85"/>
      <c r="CD67" s="85"/>
      <c r="CE67" s="85"/>
      <c r="CF67" s="85"/>
      <c r="CG67" s="85"/>
      <c r="CH67" s="85"/>
      <c r="CI67" s="85"/>
      <c r="CJ67" s="85"/>
      <c r="CK67" s="85"/>
      <c r="CL67" s="61"/>
      <c r="CM67" s="38" t="s">
        <v>335</v>
      </c>
      <c r="CN67" s="61"/>
      <c r="CO67" s="61"/>
      <c r="CP67" s="61"/>
    </row>
    <row r="68" ht="15.75" customHeight="1">
      <c r="A68" s="75"/>
      <c r="B68" s="59" t="str">
        <f t="array" ref="B68">XLOOKUP(D68, 'マスタ'!$C$2:$C$1000, 'マスタ'!$D$2:$D$1000, "マスタ未登録")</f>
        <v>採用教育費</v>
      </c>
      <c r="C68" s="53" t="str">
        <f>IF(AND(D68&lt;&gt;"", COUNTIF('マスタ'!$C:$C, D68)=0), "マスタ未登録", "")</f>
        <v/>
      </c>
      <c r="D68" s="84" t="str">
        <f t="shared" si="1"/>
        <v>採用教育費</v>
      </c>
      <c r="E68" s="65" t="s">
        <v>333</v>
      </c>
      <c r="F68" s="65" t="s">
        <v>77</v>
      </c>
      <c r="G68" s="65"/>
      <c r="H68" s="65"/>
      <c r="I68" s="65" t="s">
        <v>328</v>
      </c>
      <c r="J68" s="65" t="s">
        <v>339</v>
      </c>
      <c r="K68" s="65"/>
      <c r="L68" s="65"/>
      <c r="M68" s="65"/>
      <c r="N68" s="65"/>
      <c r="O68" s="65"/>
      <c r="P68" s="65"/>
      <c r="Q68" s="65"/>
      <c r="R68" s="65"/>
      <c r="S68" s="65"/>
      <c r="T68" s="65"/>
      <c r="U68" s="65"/>
      <c r="V68" s="65"/>
      <c r="W68" s="65"/>
      <c r="X68" s="65"/>
      <c r="Y68" s="65"/>
      <c r="Z68" s="65"/>
      <c r="AA68" s="65"/>
      <c r="AB68" s="65"/>
      <c r="AC68" s="65"/>
      <c r="AD68" s="65">
        <v>0.0</v>
      </c>
      <c r="AE68" s="65">
        <v>0.0</v>
      </c>
      <c r="AF68" s="65">
        <v>0.0</v>
      </c>
      <c r="AG68" s="65">
        <v>0.0</v>
      </c>
      <c r="AH68" s="65">
        <v>0.0</v>
      </c>
      <c r="AI68" s="65">
        <v>0.0</v>
      </c>
      <c r="AJ68" s="65">
        <v>0.0</v>
      </c>
      <c r="AK68" s="65">
        <v>0.0</v>
      </c>
      <c r="AL68" s="65">
        <v>0.0</v>
      </c>
      <c r="AM68" s="65">
        <v>0.0</v>
      </c>
      <c r="AN68" s="65">
        <v>0.0</v>
      </c>
      <c r="AO68" s="65">
        <v>-20000.0</v>
      </c>
      <c r="AP68" s="85">
        <v>0.0</v>
      </c>
      <c r="AQ68" s="85">
        <v>0.0</v>
      </c>
      <c r="AR68" s="85">
        <v>0.0</v>
      </c>
      <c r="AS68" s="85">
        <v>0.0</v>
      </c>
      <c r="AT68" s="85">
        <v>0.0</v>
      </c>
      <c r="AU68" s="85">
        <v>0.0</v>
      </c>
      <c r="AV68" s="85">
        <v>0.0</v>
      </c>
      <c r="AW68" s="85">
        <v>0.0</v>
      </c>
      <c r="AX68" s="85">
        <v>0.0</v>
      </c>
      <c r="AY68" s="85">
        <v>0.0</v>
      </c>
      <c r="AZ68" s="85">
        <v>0.0</v>
      </c>
      <c r="BA68" s="85">
        <v>0.0</v>
      </c>
      <c r="BB68" s="85"/>
      <c r="BC68" s="85"/>
      <c r="BD68" s="85"/>
      <c r="BE68" s="85"/>
      <c r="BF68" s="85"/>
      <c r="BG68" s="85"/>
      <c r="BH68" s="85"/>
      <c r="BI68" s="85"/>
      <c r="BJ68" s="85"/>
      <c r="BK68" s="85"/>
      <c r="BL68" s="85"/>
      <c r="BM68" s="85"/>
      <c r="BN68" s="85"/>
      <c r="BO68" s="85"/>
      <c r="BP68" s="85"/>
      <c r="BQ68" s="85"/>
      <c r="BR68" s="85"/>
      <c r="BS68" s="85"/>
      <c r="BT68" s="85"/>
      <c r="BU68" s="85"/>
      <c r="BV68" s="85"/>
      <c r="BW68" s="85"/>
      <c r="BX68" s="85"/>
      <c r="BY68" s="85"/>
      <c r="BZ68" s="85"/>
      <c r="CA68" s="85"/>
      <c r="CB68" s="85"/>
      <c r="CC68" s="85"/>
      <c r="CD68" s="85"/>
      <c r="CE68" s="85"/>
      <c r="CF68" s="85"/>
      <c r="CG68" s="85"/>
      <c r="CH68" s="85"/>
      <c r="CI68" s="85"/>
      <c r="CJ68" s="85"/>
      <c r="CK68" s="85"/>
      <c r="CL68" s="61"/>
      <c r="CM68" s="61" t="s">
        <v>336</v>
      </c>
      <c r="CN68" s="61"/>
      <c r="CO68" s="61"/>
      <c r="CP68" s="61"/>
    </row>
    <row r="69" ht="15.75" customHeight="1">
      <c r="A69" s="75"/>
      <c r="B69" s="59" t="str">
        <f t="array" ref="B69">XLOOKUP(D69, 'マスタ'!$C$2:$C$1000, 'マスタ'!$D$2:$D$1000, "マスタ未登録")</f>
        <v>水道光熱費</v>
      </c>
      <c r="C69" s="53" t="str">
        <f>IF(AND(D69&lt;&gt;"", COUNTIF('マスタ'!$C:$C, D69)=0), "マスタ未登録", "")</f>
        <v/>
      </c>
      <c r="D69" s="84" t="str">
        <f t="shared" si="1"/>
        <v>水道光熱費</v>
      </c>
      <c r="E69" s="65" t="s">
        <v>333</v>
      </c>
      <c r="F69" s="65" t="s">
        <v>178</v>
      </c>
      <c r="G69" s="65"/>
      <c r="H69" s="65"/>
      <c r="I69" s="65" t="s">
        <v>328</v>
      </c>
      <c r="J69" s="65" t="s">
        <v>339</v>
      </c>
      <c r="K69" s="65"/>
      <c r="L69" s="65"/>
      <c r="M69" s="65"/>
      <c r="N69" s="65"/>
      <c r="O69" s="65"/>
      <c r="P69" s="65"/>
      <c r="Q69" s="65"/>
      <c r="R69" s="65"/>
      <c r="S69" s="65"/>
      <c r="T69" s="65"/>
      <c r="U69" s="65"/>
      <c r="V69" s="65"/>
      <c r="W69" s="65"/>
      <c r="X69" s="65"/>
      <c r="Y69" s="65"/>
      <c r="Z69" s="65"/>
      <c r="AA69" s="65"/>
      <c r="AB69" s="65"/>
      <c r="AC69" s="65"/>
      <c r="AD69" s="65">
        <v>-3352238.0</v>
      </c>
      <c r="AE69" s="65">
        <v>-3181795.0</v>
      </c>
      <c r="AF69" s="65">
        <v>-4007814.0</v>
      </c>
      <c r="AG69" s="65">
        <v>-4750796.0</v>
      </c>
      <c r="AH69" s="65">
        <v>-4964938.0</v>
      </c>
      <c r="AI69" s="65">
        <v>-4761539.0</v>
      </c>
      <c r="AJ69" s="65">
        <v>-4142303.0</v>
      </c>
      <c r="AK69" s="65">
        <v>-3412410.0</v>
      </c>
      <c r="AL69" s="65">
        <v>-4004921.0</v>
      </c>
      <c r="AM69" s="65">
        <v>-3644359.0</v>
      </c>
      <c r="AN69" s="65">
        <v>-4621000.0</v>
      </c>
      <c r="AO69" s="65">
        <v>-3259085.0</v>
      </c>
      <c r="AP69" s="85">
        <v>-2728698.0</v>
      </c>
      <c r="AQ69" s="85">
        <v>-3084499.0</v>
      </c>
      <c r="AR69" s="85">
        <v>-3902134.0</v>
      </c>
      <c r="AS69" s="85">
        <v>-4630723.0</v>
      </c>
      <c r="AT69" s="85">
        <v>-4871574.0</v>
      </c>
      <c r="AU69" s="85">
        <v>-4667708.0</v>
      </c>
      <c r="AV69" s="85">
        <v>-3958738.0</v>
      </c>
      <c r="AW69" s="85">
        <v>-3197290.0</v>
      </c>
      <c r="AX69" s="85">
        <v>-3894582.0</v>
      </c>
      <c r="AY69" s="85">
        <v>-3559152.0</v>
      </c>
      <c r="AZ69" s="85">
        <v>-4475003.0</v>
      </c>
      <c r="BA69" s="85">
        <v>-3692990.0</v>
      </c>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5"/>
      <c r="CA69" s="85"/>
      <c r="CB69" s="85"/>
      <c r="CC69" s="85"/>
      <c r="CD69" s="85"/>
      <c r="CE69" s="85"/>
      <c r="CF69" s="85"/>
      <c r="CG69" s="85"/>
      <c r="CH69" s="85"/>
      <c r="CI69" s="85"/>
      <c r="CJ69" s="85"/>
      <c r="CK69" s="85"/>
      <c r="CL69" s="61"/>
      <c r="CM69" s="38" t="s">
        <v>178</v>
      </c>
      <c r="CN69" s="61"/>
      <c r="CO69" s="61"/>
      <c r="CP69" s="61"/>
    </row>
    <row r="70" ht="15.75" customHeight="1">
      <c r="A70" s="75"/>
      <c r="B70" s="59" t="str">
        <f t="array" ref="B70">XLOOKUP(D70, 'マスタ'!$C$2:$C$1000, 'マスタ'!$D$2:$D$1000, "マスタ未登録")</f>
        <v>のれん償却費</v>
      </c>
      <c r="C70" s="53" t="str">
        <f>IF(AND(D70&lt;&gt;"", COUNTIF('マスタ'!$C:$C, D70)=0), "マスタ未登録", "")</f>
        <v/>
      </c>
      <c r="D70" s="84" t="str">
        <f t="shared" si="1"/>
        <v>のれん償却費</v>
      </c>
      <c r="E70" s="65" t="s">
        <v>333</v>
      </c>
      <c r="F70" s="65" t="s">
        <v>337</v>
      </c>
      <c r="G70" s="65"/>
      <c r="H70" s="65"/>
      <c r="I70" s="65" t="s">
        <v>328</v>
      </c>
      <c r="J70" s="65" t="s">
        <v>339</v>
      </c>
      <c r="K70" s="65"/>
      <c r="L70" s="65"/>
      <c r="M70" s="65"/>
      <c r="N70" s="65"/>
      <c r="O70" s="65"/>
      <c r="P70" s="65"/>
      <c r="Q70" s="65"/>
      <c r="R70" s="65"/>
      <c r="S70" s="65"/>
      <c r="T70" s="65"/>
      <c r="U70" s="65"/>
      <c r="V70" s="65"/>
      <c r="W70" s="65"/>
      <c r="X70" s="65"/>
      <c r="Y70" s="65"/>
      <c r="Z70" s="65"/>
      <c r="AA70" s="65"/>
      <c r="AB70" s="65"/>
      <c r="AC70" s="65"/>
      <c r="AD70" s="65">
        <v>0.0</v>
      </c>
      <c r="AE70" s="65">
        <v>0.0</v>
      </c>
      <c r="AF70" s="65">
        <v>0.0</v>
      </c>
      <c r="AG70" s="65">
        <v>0.0</v>
      </c>
      <c r="AH70" s="65">
        <v>0.0</v>
      </c>
      <c r="AI70" s="65">
        <v>0.0</v>
      </c>
      <c r="AJ70" s="65">
        <v>0.0</v>
      </c>
      <c r="AK70" s="65">
        <v>0.0</v>
      </c>
      <c r="AL70" s="65">
        <v>0.0</v>
      </c>
      <c r="AM70" s="65">
        <v>0.0</v>
      </c>
      <c r="AN70" s="65">
        <v>0.0</v>
      </c>
      <c r="AO70" s="65">
        <v>0.0</v>
      </c>
      <c r="AP70" s="85">
        <v>0.0</v>
      </c>
      <c r="AQ70" s="85">
        <v>0.0</v>
      </c>
      <c r="AR70" s="85">
        <v>0.0</v>
      </c>
      <c r="AS70" s="85">
        <v>0.0</v>
      </c>
      <c r="AT70" s="85">
        <v>0.0</v>
      </c>
      <c r="AU70" s="85">
        <v>0.0</v>
      </c>
      <c r="AV70" s="85">
        <v>0.0</v>
      </c>
      <c r="AW70" s="85">
        <v>0.0</v>
      </c>
      <c r="AX70" s="85">
        <v>0.0</v>
      </c>
      <c r="AY70" s="85">
        <v>0.0</v>
      </c>
      <c r="AZ70" s="85">
        <v>0.0</v>
      </c>
      <c r="BA70" s="85">
        <v>0.0</v>
      </c>
      <c r="BB70" s="85"/>
      <c r="BC70" s="85"/>
      <c r="BD70" s="85"/>
      <c r="BE70" s="85"/>
      <c r="BF70" s="85"/>
      <c r="BG70" s="85"/>
      <c r="BH70" s="85"/>
      <c r="BI70" s="85"/>
      <c r="BJ70" s="85"/>
      <c r="BK70" s="85"/>
      <c r="BL70" s="85"/>
      <c r="BM70" s="85"/>
      <c r="BN70" s="85"/>
      <c r="BO70" s="85"/>
      <c r="BP70" s="85"/>
      <c r="BQ70" s="85"/>
      <c r="BR70" s="85"/>
      <c r="BS70" s="85"/>
      <c r="BT70" s="85"/>
      <c r="BU70" s="85"/>
      <c r="BV70" s="85"/>
      <c r="BW70" s="85"/>
      <c r="BX70" s="85"/>
      <c r="BY70" s="85"/>
      <c r="BZ70" s="85"/>
      <c r="CA70" s="85"/>
      <c r="CB70" s="85"/>
      <c r="CC70" s="85"/>
      <c r="CD70" s="85"/>
      <c r="CE70" s="85"/>
      <c r="CF70" s="85"/>
      <c r="CG70" s="85"/>
      <c r="CH70" s="85"/>
      <c r="CI70" s="85"/>
      <c r="CJ70" s="85"/>
      <c r="CK70" s="85"/>
      <c r="CL70" s="61"/>
      <c r="CM70" s="38" t="s">
        <v>337</v>
      </c>
      <c r="CN70" s="61"/>
      <c r="CO70" s="61"/>
      <c r="CP70" s="61"/>
    </row>
    <row r="71" ht="15.75" customHeight="1">
      <c r="A71" s="75"/>
      <c r="B71" s="59" t="str">
        <f t="array" ref="B71">XLOOKUP(D71, 'マスタ'!$C$2:$C$1000, 'マスタ'!$D$2:$D$1000, "マスタ未登録")</f>
        <v>雑費</v>
      </c>
      <c r="C71" s="53" t="str">
        <f>IF(AND(D71&lt;&gt;"", COUNTIF('マスタ'!$C:$C, D71)=0), "マスタ未登録", "")</f>
        <v/>
      </c>
      <c r="D71" s="84" t="str">
        <f t="shared" si="1"/>
        <v>その他（固）</v>
      </c>
      <c r="E71" s="65" t="s">
        <v>333</v>
      </c>
      <c r="F71" s="65" t="s">
        <v>342</v>
      </c>
      <c r="G71" s="65"/>
      <c r="H71" s="65"/>
      <c r="I71" s="65" t="s">
        <v>328</v>
      </c>
      <c r="J71" s="65" t="s">
        <v>339</v>
      </c>
      <c r="K71" s="65"/>
      <c r="L71" s="65"/>
      <c r="M71" s="65"/>
      <c r="N71" s="65"/>
      <c r="O71" s="65"/>
      <c r="P71" s="65"/>
      <c r="Q71" s="65"/>
      <c r="R71" s="65"/>
      <c r="S71" s="65"/>
      <c r="T71" s="65"/>
      <c r="U71" s="65"/>
      <c r="V71" s="65"/>
      <c r="W71" s="65"/>
      <c r="X71" s="65"/>
      <c r="Y71" s="65"/>
      <c r="Z71" s="65"/>
      <c r="AA71" s="65"/>
      <c r="AB71" s="65"/>
      <c r="AC71" s="65"/>
      <c r="AD71" s="65">
        <v>-3.1950257E7</v>
      </c>
      <c r="AE71" s="65">
        <v>-1.7209488E7</v>
      </c>
      <c r="AF71" s="65">
        <v>-2.927908E7</v>
      </c>
      <c r="AG71" s="65">
        <v>-3.065471E7</v>
      </c>
      <c r="AH71" s="65">
        <v>-2.6207078E7</v>
      </c>
      <c r="AI71" s="65">
        <v>-2.8065302E7</v>
      </c>
      <c r="AJ71" s="65">
        <v>-1.7566244E7</v>
      </c>
      <c r="AK71" s="65">
        <v>-1.441031E7</v>
      </c>
      <c r="AL71" s="65">
        <v>-3.165788E7</v>
      </c>
      <c r="AM71" s="65">
        <v>-2.4365737E7</v>
      </c>
      <c r="AN71" s="65">
        <v>-2.4381524E7</v>
      </c>
      <c r="AO71" s="65">
        <v>-5.1042431E7</v>
      </c>
      <c r="AP71" s="85">
        <v>-2.5909169E7</v>
      </c>
      <c r="AQ71" s="85">
        <v>-2.3083579E7</v>
      </c>
      <c r="AR71" s="85">
        <v>-2.4452911E7</v>
      </c>
      <c r="AS71" s="85">
        <v>-3.1177428E7</v>
      </c>
      <c r="AT71" s="85">
        <v>-2.7023047E7</v>
      </c>
      <c r="AU71" s="85">
        <v>-1.6921771E7</v>
      </c>
      <c r="AV71" s="85">
        <v>-1.7575938E7</v>
      </c>
      <c r="AW71" s="85">
        <v>-1.7036489E7</v>
      </c>
      <c r="AX71" s="85">
        <v>-2.2907282E7</v>
      </c>
      <c r="AY71" s="85">
        <v>-1.4842092E7</v>
      </c>
      <c r="AZ71" s="85">
        <v>-3.9538471E7</v>
      </c>
      <c r="BA71" s="85">
        <v>-4.2074883E7</v>
      </c>
      <c r="BB71" s="85"/>
      <c r="BC71" s="85"/>
      <c r="BD71" s="85"/>
      <c r="BE71" s="85"/>
      <c r="BF71" s="85"/>
      <c r="BG71" s="85"/>
      <c r="BH71" s="85"/>
      <c r="BI71" s="85"/>
      <c r="BJ71" s="85"/>
      <c r="BK71" s="85"/>
      <c r="BL71" s="85"/>
      <c r="BM71" s="85"/>
      <c r="BN71" s="85"/>
      <c r="BO71" s="85"/>
      <c r="BP71" s="85"/>
      <c r="BQ71" s="85"/>
      <c r="BR71" s="85"/>
      <c r="BS71" s="85"/>
      <c r="BT71" s="85"/>
      <c r="BU71" s="85"/>
      <c r="BV71" s="85"/>
      <c r="BW71" s="85"/>
      <c r="BX71" s="85"/>
      <c r="BY71" s="85"/>
      <c r="BZ71" s="85"/>
      <c r="CA71" s="85"/>
      <c r="CB71" s="85"/>
      <c r="CC71" s="85"/>
      <c r="CD71" s="85"/>
      <c r="CE71" s="85"/>
      <c r="CF71" s="85"/>
      <c r="CG71" s="85"/>
      <c r="CH71" s="85"/>
      <c r="CI71" s="85"/>
      <c r="CJ71" s="85"/>
      <c r="CK71" s="85"/>
      <c r="CL71" s="61"/>
      <c r="CM71" s="38" t="s">
        <v>343</v>
      </c>
      <c r="CN71" s="61"/>
      <c r="CO71" s="61"/>
      <c r="CP71" s="61"/>
    </row>
    <row r="72" ht="15.75" customHeight="1">
      <c r="A72" s="75"/>
      <c r="B72" s="59" t="str">
        <f t="array" ref="B72">XLOOKUP(D72, 'マスタ'!$C$2:$C$1000, 'マスタ'!$D$2:$D$1000, "マスタ未登録")</f>
        <v>マスタ未登録</v>
      </c>
      <c r="C72" s="53" t="str">
        <f>IF(AND(D72&lt;&gt;"", COUNTIF('マスタ'!$C:$C, D72)=0), "マスタ未登録", "")</f>
        <v>マスタ未登録</v>
      </c>
      <c r="D72" s="84" t="str">
        <f t="shared" si="1"/>
        <v>ウタイテ配賦額</v>
      </c>
      <c r="E72" s="65" t="s">
        <v>333</v>
      </c>
      <c r="F72" s="65" t="s">
        <v>213</v>
      </c>
      <c r="G72" s="65"/>
      <c r="H72" s="65"/>
      <c r="I72" s="65" t="s">
        <v>328</v>
      </c>
      <c r="J72" s="65" t="s">
        <v>339</v>
      </c>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1"/>
      <c r="CM72" s="38" t="s">
        <v>213</v>
      </c>
      <c r="CN72" s="61"/>
      <c r="CO72" s="61"/>
      <c r="CP72" s="61"/>
    </row>
    <row r="73" ht="15.75" customHeight="1">
      <c r="A73" s="75"/>
      <c r="B73" s="59" t="str">
        <f t="array" ref="B73">XLOOKUP(D73, 'マスタ'!$C$2:$C$1000, 'マスタ'!$D$2:$D$1000, "マスタ未登録")</f>
        <v>マスタ未登録</v>
      </c>
      <c r="C73" s="53" t="str">
        <f>IF(AND(D73&lt;&gt;"", COUNTIF('マスタ'!$C:$C, D73)=0), "マスタ未登録", "")</f>
        <v/>
      </c>
      <c r="D73" s="53" t="str">
        <f t="shared" si="1"/>
        <v/>
      </c>
      <c r="E73" s="61"/>
      <c r="F73" s="61"/>
      <c r="G73" s="65"/>
      <c r="H73" s="65"/>
      <c r="I73" s="65"/>
      <c r="J73" s="65" t="s">
        <v>339</v>
      </c>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c r="BO73" s="85"/>
      <c r="BP73" s="85"/>
      <c r="BQ73" s="85"/>
      <c r="BR73" s="85"/>
      <c r="BS73" s="85"/>
      <c r="BT73" s="85"/>
      <c r="BU73" s="85"/>
      <c r="BV73" s="85"/>
      <c r="BW73" s="85"/>
      <c r="BX73" s="85"/>
      <c r="BY73" s="85"/>
      <c r="BZ73" s="85"/>
      <c r="CA73" s="85"/>
      <c r="CB73" s="85"/>
      <c r="CC73" s="85"/>
      <c r="CD73" s="85"/>
      <c r="CE73" s="85"/>
      <c r="CF73" s="85"/>
      <c r="CG73" s="85"/>
      <c r="CH73" s="85"/>
      <c r="CI73" s="85"/>
      <c r="CJ73" s="85"/>
      <c r="CK73" s="85"/>
      <c r="CL73" s="61"/>
      <c r="CM73" s="61"/>
      <c r="CN73" s="61"/>
      <c r="CO73" s="61"/>
      <c r="CP73" s="61"/>
    </row>
    <row r="74" ht="15.75" customHeight="1">
      <c r="A74" s="75"/>
      <c r="B74" s="59" t="str">
        <f t="array" ref="B74">XLOOKUP(D74, 'マスタ'!$C$2:$C$1000, 'マスタ'!$D$2:$D$1000, "マスタ未登録")</f>
        <v>マスタ未登録</v>
      </c>
      <c r="C74" s="53" t="str">
        <f>IF(AND(D74&lt;&gt;"", COUNTIF('マスタ'!$C:$C, D74)=0), "マスタ未登録", "")</f>
        <v/>
      </c>
      <c r="D74" s="53" t="str">
        <f t="shared" si="1"/>
        <v/>
      </c>
      <c r="E74" s="76" t="s">
        <v>31</v>
      </c>
      <c r="F74" s="76"/>
      <c r="G74" s="77"/>
      <c r="H74" s="77">
        <v>1.0</v>
      </c>
      <c r="I74" s="77" t="s">
        <v>328</v>
      </c>
      <c r="J74" s="77" t="s">
        <v>339</v>
      </c>
      <c r="K74" s="77"/>
      <c r="L74" s="77"/>
      <c r="M74" s="77"/>
      <c r="N74" s="77"/>
      <c r="O74" s="77"/>
      <c r="P74" s="77"/>
      <c r="Q74" s="77"/>
      <c r="R74" s="77"/>
      <c r="S74" s="77"/>
      <c r="T74" s="77"/>
      <c r="U74" s="77"/>
      <c r="V74" s="77"/>
      <c r="W74" s="77"/>
      <c r="X74" s="77"/>
      <c r="Y74" s="77"/>
      <c r="Z74" s="77"/>
      <c r="AA74" s="77"/>
      <c r="AB74" s="77"/>
      <c r="AC74" s="77"/>
      <c r="AD74" s="77">
        <v>-1354682.0</v>
      </c>
      <c r="AE74" s="77">
        <v>4899008.0</v>
      </c>
      <c r="AF74" s="77">
        <v>-2.4352787E7</v>
      </c>
      <c r="AG74" s="77">
        <v>-3.988555E7</v>
      </c>
      <c r="AH74" s="77">
        <v>-1.6892795E7</v>
      </c>
      <c r="AI74" s="77">
        <v>1.0630065E7</v>
      </c>
      <c r="AJ74" s="77">
        <v>-2020077.0</v>
      </c>
      <c r="AK74" s="77">
        <v>6714374.0</v>
      </c>
      <c r="AL74" s="77">
        <v>-2210616.0</v>
      </c>
      <c r="AM74" s="77">
        <v>-3504431.0</v>
      </c>
      <c r="AN74" s="77">
        <v>-7.9110764E7</v>
      </c>
      <c r="AO74" s="77">
        <v>-7.6664425E7</v>
      </c>
      <c r="AP74" s="87">
        <v>-8330168.0</v>
      </c>
      <c r="AQ74" s="87">
        <v>2.7189965E7</v>
      </c>
      <c r="AR74" s="87">
        <v>1.1112057E7</v>
      </c>
      <c r="AS74" s="87">
        <v>-4270299.0</v>
      </c>
      <c r="AT74" s="87">
        <v>1.469426E7</v>
      </c>
      <c r="AU74" s="87">
        <v>2.5451076E7</v>
      </c>
      <c r="AV74" s="87">
        <v>5943281.0</v>
      </c>
      <c r="AW74" s="87">
        <v>8990234.0</v>
      </c>
      <c r="AX74" s="87">
        <v>-1750362.0</v>
      </c>
      <c r="AY74" s="87">
        <v>1.541643E7</v>
      </c>
      <c r="AZ74" s="87">
        <v>-3.1564452E7</v>
      </c>
      <c r="BA74" s="87">
        <v>2.8684677E7</v>
      </c>
      <c r="BB74" s="87">
        <v>0.0</v>
      </c>
      <c r="BC74" s="87">
        <v>0.0</v>
      </c>
      <c r="BD74" s="87">
        <v>0.0</v>
      </c>
      <c r="BE74" s="87">
        <v>0.0</v>
      </c>
      <c r="BF74" s="87">
        <v>0.0</v>
      </c>
      <c r="BG74" s="87">
        <v>0.0</v>
      </c>
      <c r="BH74" s="87">
        <v>0.0</v>
      </c>
      <c r="BI74" s="87">
        <v>0.0</v>
      </c>
      <c r="BJ74" s="87">
        <v>0.0</v>
      </c>
      <c r="BK74" s="87">
        <v>0.0</v>
      </c>
      <c r="BL74" s="87">
        <v>0.0</v>
      </c>
      <c r="BM74" s="87">
        <v>0.0</v>
      </c>
      <c r="BN74" s="87">
        <v>0.0</v>
      </c>
      <c r="BO74" s="87">
        <v>0.0</v>
      </c>
      <c r="BP74" s="87">
        <v>0.0</v>
      </c>
      <c r="BQ74" s="87">
        <v>0.0</v>
      </c>
      <c r="BR74" s="87">
        <v>0.0</v>
      </c>
      <c r="BS74" s="87">
        <v>0.0</v>
      </c>
      <c r="BT74" s="87">
        <v>0.0</v>
      </c>
      <c r="BU74" s="87">
        <v>0.0</v>
      </c>
      <c r="BV74" s="87">
        <v>0.0</v>
      </c>
      <c r="BW74" s="87">
        <v>0.0</v>
      </c>
      <c r="BX74" s="87">
        <v>0.0</v>
      </c>
      <c r="BY74" s="87">
        <v>0.0</v>
      </c>
      <c r="BZ74" s="87">
        <v>0.0</v>
      </c>
      <c r="CA74" s="87">
        <v>0.0</v>
      </c>
      <c r="CB74" s="87">
        <v>0.0</v>
      </c>
      <c r="CC74" s="87">
        <v>0.0</v>
      </c>
      <c r="CD74" s="87">
        <v>0.0</v>
      </c>
      <c r="CE74" s="87">
        <v>0.0</v>
      </c>
      <c r="CF74" s="87">
        <v>0.0</v>
      </c>
      <c r="CG74" s="87">
        <v>0.0</v>
      </c>
      <c r="CH74" s="87">
        <v>0.0</v>
      </c>
      <c r="CI74" s="87">
        <v>0.0</v>
      </c>
      <c r="CJ74" s="87">
        <v>0.0</v>
      </c>
      <c r="CK74" s="87">
        <v>0.0</v>
      </c>
      <c r="CL74" s="61"/>
      <c r="CM74" s="60">
        <v>9.1566699E7</v>
      </c>
      <c r="CN74" s="88">
        <v>-2.2375268E8</v>
      </c>
      <c r="CO74" s="61"/>
      <c r="CP74" s="61"/>
    </row>
    <row r="75" ht="15.75" customHeight="1">
      <c r="A75" s="75"/>
      <c r="B75" s="59" t="str">
        <f t="array" ref="B75">XLOOKUP(D75, 'マスタ'!$C$2:$C$1000, 'マスタ'!$D$2:$D$1000, "マスタ未登録")</f>
        <v>マスタ未登録</v>
      </c>
      <c r="C75" s="53" t="str">
        <f>IF(AND(D75&lt;&gt;"", COUNTIF('マスタ'!$C:$C, D75)=0), "マスタ未登録", "")</f>
        <v/>
      </c>
      <c r="D75" s="53" t="str">
        <f t="shared" si="1"/>
        <v/>
      </c>
      <c r="E75" s="69"/>
      <c r="F75" s="69"/>
      <c r="G75" s="82"/>
      <c r="H75" s="82">
        <v>1.0</v>
      </c>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2"/>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89"/>
      <c r="BY75" s="89"/>
      <c r="BZ75" s="89"/>
      <c r="CA75" s="89"/>
      <c r="CB75" s="89"/>
      <c r="CC75" s="89"/>
      <c r="CD75" s="89"/>
      <c r="CE75" s="89"/>
      <c r="CF75" s="89"/>
      <c r="CG75" s="89"/>
      <c r="CH75" s="89"/>
      <c r="CI75" s="89"/>
      <c r="CJ75" s="89"/>
      <c r="CK75" s="89"/>
      <c r="CL75" s="61"/>
      <c r="CM75" s="61"/>
      <c r="CN75" s="61"/>
      <c r="CO75" s="61"/>
      <c r="CP75" s="61"/>
    </row>
    <row r="76" ht="15.75" customHeight="1">
      <c r="A76" s="75"/>
      <c r="B76" s="59" t="str">
        <f t="array" ref="B76">XLOOKUP(D76, 'マスタ'!$C$2:$C$1000, 'マスタ'!$D$2:$D$1000, "マスタ未登録")</f>
        <v>売上高</v>
      </c>
      <c r="C76" s="53" t="str">
        <f>IF(AND(D76&lt;&gt;"", COUNTIF('マスタ'!$C:$C, D76)=0), "マスタ未登録", "")</f>
        <v/>
      </c>
      <c r="D76" s="53" t="str">
        <f>E76</f>
        <v>売上高</v>
      </c>
      <c r="E76" s="63" t="s">
        <v>1</v>
      </c>
      <c r="F76" s="65" t="s">
        <v>327</v>
      </c>
      <c r="G76" s="65"/>
      <c r="H76" s="65">
        <v>1.0</v>
      </c>
      <c r="I76" s="65" t="s">
        <v>328</v>
      </c>
      <c r="J76" s="65" t="s">
        <v>344</v>
      </c>
      <c r="K76" s="65"/>
      <c r="L76" s="65"/>
      <c r="M76" s="65"/>
      <c r="N76" s="65"/>
      <c r="O76" s="65"/>
      <c r="P76" s="65"/>
      <c r="Q76" s="65"/>
      <c r="R76" s="65"/>
      <c r="S76" s="65"/>
      <c r="T76" s="65"/>
      <c r="U76" s="65"/>
      <c r="V76" s="65"/>
      <c r="W76" s="65"/>
      <c r="X76" s="65"/>
      <c r="Y76" s="65"/>
      <c r="Z76" s="65"/>
      <c r="AA76" s="65"/>
      <c r="AB76" s="65"/>
      <c r="AC76" s="65"/>
      <c r="AD76" s="65">
        <v>2.69610004E8</v>
      </c>
      <c r="AE76" s="65">
        <v>4.34900477E8</v>
      </c>
      <c r="AF76" s="65">
        <v>4.53827169E8</v>
      </c>
      <c r="AG76" s="65">
        <v>7.60452518E8</v>
      </c>
      <c r="AH76" s="65">
        <v>2.6453467E8</v>
      </c>
      <c r="AI76" s="65">
        <v>8.66106639E8</v>
      </c>
      <c r="AJ76" s="65">
        <v>5.07137645E8</v>
      </c>
      <c r="AK76" s="65">
        <v>1.363748508E9</v>
      </c>
      <c r="AL76" s="65">
        <v>5.74462007E8</v>
      </c>
      <c r="AM76" s="65">
        <v>2.31931925E8</v>
      </c>
      <c r="AN76" s="65">
        <v>7.12994918E8</v>
      </c>
      <c r="AO76" s="65">
        <v>5.97162861E8</v>
      </c>
      <c r="AP76" s="85">
        <v>1.442655107E9</v>
      </c>
      <c r="AQ76" s="85">
        <v>6.83240007E8</v>
      </c>
      <c r="AR76" s="85">
        <v>2.221837739E9</v>
      </c>
      <c r="AS76" s="85">
        <v>4.84825841E8</v>
      </c>
      <c r="AT76" s="85">
        <v>3.97433565E8</v>
      </c>
      <c r="AU76" s="85">
        <v>6.27896579E8</v>
      </c>
      <c r="AV76" s="85">
        <v>2.22313896E8</v>
      </c>
      <c r="AW76" s="85">
        <v>3.95228124E8</v>
      </c>
      <c r="AX76" s="85">
        <v>4.81144275E8</v>
      </c>
      <c r="AY76" s="85">
        <v>1.404818023E9</v>
      </c>
      <c r="AZ76" s="85">
        <v>6.29900175E8</v>
      </c>
      <c r="BA76" s="85">
        <v>5.24553859E8</v>
      </c>
      <c r="BB76" s="85"/>
      <c r="BC76" s="85"/>
      <c r="BD76" s="85"/>
      <c r="BE76" s="85"/>
      <c r="BF76" s="85"/>
      <c r="BG76" s="85"/>
      <c r="BH76" s="85"/>
      <c r="BI76" s="85"/>
      <c r="BJ76" s="85"/>
      <c r="BK76" s="85"/>
      <c r="BL76" s="85"/>
      <c r="BM76" s="85"/>
      <c r="BN76" s="85"/>
      <c r="BO76" s="85"/>
      <c r="BP76" s="85"/>
      <c r="BQ76" s="85"/>
      <c r="BR76" s="85"/>
      <c r="BS76" s="85"/>
      <c r="BT76" s="85"/>
      <c r="BU76" s="85"/>
      <c r="BV76" s="85"/>
      <c r="BW76" s="85"/>
      <c r="BX76" s="85"/>
      <c r="BY76" s="85"/>
      <c r="BZ76" s="85"/>
      <c r="CA76" s="85"/>
      <c r="CB76" s="85"/>
      <c r="CC76" s="85"/>
      <c r="CD76" s="85"/>
      <c r="CE76" s="85"/>
      <c r="CF76" s="85"/>
      <c r="CG76" s="85"/>
      <c r="CH76" s="85"/>
      <c r="CI76" s="85"/>
      <c r="CJ76" s="85"/>
      <c r="CK76" s="85"/>
      <c r="CL76" s="61"/>
      <c r="CM76" s="38" t="s">
        <v>1</v>
      </c>
      <c r="CN76" s="61"/>
      <c r="CO76" s="61"/>
      <c r="CP76" s="61"/>
    </row>
    <row r="77" ht="15.75" customHeight="1">
      <c r="A77" s="75"/>
      <c r="B77" s="59" t="str">
        <f t="array" ref="B77">XLOOKUP(D77, 'マスタ'!$C$2:$C$1000, 'マスタ'!$D$2:$D$1000, "マスタ未登録")</f>
        <v>当期商品仕入高</v>
      </c>
      <c r="C77" s="53" t="str">
        <f>IF(AND(D77&lt;&gt;"", COUNTIF('マスタ'!$C:$C, D77)=0), "マスタ未登録", "")</f>
        <v/>
      </c>
      <c r="D77" s="84" t="str">
        <f t="shared" ref="D77:D104" si="2">F77</f>
        <v>仕入高</v>
      </c>
      <c r="E77" s="63" t="s">
        <v>330</v>
      </c>
      <c r="F77" s="65" t="s">
        <v>138</v>
      </c>
      <c r="G77" s="65"/>
      <c r="H77" s="65"/>
      <c r="I77" s="65" t="s">
        <v>328</v>
      </c>
      <c r="J77" s="65" t="s">
        <v>344</v>
      </c>
      <c r="K77" s="65"/>
      <c r="L77" s="65"/>
      <c r="M77" s="65"/>
      <c r="N77" s="65"/>
      <c r="O77" s="65"/>
      <c r="P77" s="65"/>
      <c r="Q77" s="65"/>
      <c r="R77" s="65"/>
      <c r="S77" s="65"/>
      <c r="T77" s="65"/>
      <c r="U77" s="65"/>
      <c r="V77" s="65"/>
      <c r="W77" s="65"/>
      <c r="X77" s="65"/>
      <c r="Y77" s="65"/>
      <c r="Z77" s="65"/>
      <c r="AA77" s="65"/>
      <c r="AB77" s="65"/>
      <c r="AC77" s="65"/>
      <c r="AD77" s="65">
        <v>-1.3254252E7</v>
      </c>
      <c r="AE77" s="65">
        <v>-9030196.0</v>
      </c>
      <c r="AF77" s="65">
        <v>-1.0505118E7</v>
      </c>
      <c r="AG77" s="65">
        <v>-1.0798181E7</v>
      </c>
      <c r="AH77" s="65">
        <v>-1.9305675E7</v>
      </c>
      <c r="AI77" s="65">
        <v>-9081731.0</v>
      </c>
      <c r="AJ77" s="65">
        <v>-1.7159741E7</v>
      </c>
      <c r="AK77" s="65">
        <v>-1.2085474E7</v>
      </c>
      <c r="AL77" s="65">
        <v>-1.0648534E7</v>
      </c>
      <c r="AM77" s="65">
        <v>-1.065082E7</v>
      </c>
      <c r="AN77" s="65">
        <v>-1.8431999E7</v>
      </c>
      <c r="AO77" s="65">
        <v>-2.1910372E7</v>
      </c>
      <c r="AP77" s="85">
        <v>-4.2107977E7</v>
      </c>
      <c r="AQ77" s="85">
        <v>-1.6070242E7</v>
      </c>
      <c r="AR77" s="85">
        <v>-6.3161028E7</v>
      </c>
      <c r="AS77" s="85">
        <v>-1.031856E7</v>
      </c>
      <c r="AT77" s="85">
        <v>-1.1306087E7</v>
      </c>
      <c r="AU77" s="85">
        <v>-1.7172518E7</v>
      </c>
      <c r="AV77" s="85">
        <v>-7581919.0</v>
      </c>
      <c r="AW77" s="85">
        <v>-9110417.0</v>
      </c>
      <c r="AX77" s="85">
        <v>-1.0888091E7</v>
      </c>
      <c r="AY77" s="85">
        <v>-3.5697304E7</v>
      </c>
      <c r="AZ77" s="85">
        <v>-1.2060655E7</v>
      </c>
      <c r="BA77" s="85">
        <v>-1.1773259E7</v>
      </c>
      <c r="BB77" s="85"/>
      <c r="BC77" s="85"/>
      <c r="BD77" s="85"/>
      <c r="BE77" s="85"/>
      <c r="BF77" s="85"/>
      <c r="BG77" s="85"/>
      <c r="BH77" s="85"/>
      <c r="BI77" s="85"/>
      <c r="BJ77" s="85"/>
      <c r="BK77" s="85"/>
      <c r="BL77" s="85"/>
      <c r="BM77" s="85"/>
      <c r="BN77" s="85"/>
      <c r="BO77" s="85"/>
      <c r="BP77" s="85"/>
      <c r="BQ77" s="85"/>
      <c r="BR77" s="85"/>
      <c r="BS77" s="85"/>
      <c r="BT77" s="85"/>
      <c r="BU77" s="85"/>
      <c r="BV77" s="85"/>
      <c r="BW77" s="85"/>
      <c r="BX77" s="85"/>
      <c r="BY77" s="85"/>
      <c r="BZ77" s="85"/>
      <c r="CA77" s="85"/>
      <c r="CB77" s="85"/>
      <c r="CC77" s="85"/>
      <c r="CD77" s="85"/>
      <c r="CE77" s="85"/>
      <c r="CF77" s="85"/>
      <c r="CG77" s="85"/>
      <c r="CH77" s="85"/>
      <c r="CI77" s="85"/>
      <c r="CJ77" s="85"/>
      <c r="CK77" s="85"/>
      <c r="CL77" s="61"/>
      <c r="CM77" s="38" t="s">
        <v>138</v>
      </c>
      <c r="CN77" s="61"/>
      <c r="CO77" s="61"/>
      <c r="CP77" s="61"/>
    </row>
    <row r="78" ht="15.75" customHeight="1">
      <c r="A78" s="75"/>
      <c r="B78" s="59" t="str">
        <f t="array" ref="B78">XLOOKUP(D78, 'マスタ'!$C$2:$C$1000, 'マスタ'!$D$2:$D$1000, "マスタ未登録")</f>
        <v>外注費</v>
      </c>
      <c r="C78" s="53" t="str">
        <f>IF(AND(D78&lt;&gt;"", COUNTIF('マスタ'!$C:$C, D78)=0), "マスタ未登録", "")</f>
        <v/>
      </c>
      <c r="D78" s="84" t="str">
        <f t="shared" si="2"/>
        <v>外注費</v>
      </c>
      <c r="E78" s="63" t="s">
        <v>330</v>
      </c>
      <c r="F78" s="65" t="s">
        <v>79</v>
      </c>
      <c r="G78" s="65"/>
      <c r="H78" s="65"/>
      <c r="I78" s="65" t="s">
        <v>328</v>
      </c>
      <c r="J78" s="65" t="s">
        <v>344</v>
      </c>
      <c r="K78" s="65"/>
      <c r="L78" s="65"/>
      <c r="M78" s="65"/>
      <c r="N78" s="65"/>
      <c r="O78" s="65"/>
      <c r="P78" s="65"/>
      <c r="Q78" s="65"/>
      <c r="R78" s="65"/>
      <c r="S78" s="65"/>
      <c r="T78" s="65"/>
      <c r="U78" s="65"/>
      <c r="V78" s="65"/>
      <c r="W78" s="65"/>
      <c r="X78" s="65"/>
      <c r="Y78" s="65"/>
      <c r="Z78" s="65"/>
      <c r="AA78" s="65"/>
      <c r="AB78" s="65"/>
      <c r="AC78" s="65"/>
      <c r="AD78" s="65">
        <v>-1.30512976E8</v>
      </c>
      <c r="AE78" s="65">
        <v>-2.04428088E8</v>
      </c>
      <c r="AF78" s="65">
        <v>-2.38097734E8</v>
      </c>
      <c r="AG78" s="65">
        <v>-4.26781601E8</v>
      </c>
      <c r="AH78" s="65">
        <v>-6.1111254E7</v>
      </c>
      <c r="AI78" s="65">
        <v>-5.268689E8</v>
      </c>
      <c r="AJ78" s="65">
        <v>-3.47267317E8</v>
      </c>
      <c r="AK78" s="65">
        <v>-9.89725564E8</v>
      </c>
      <c r="AL78" s="65">
        <v>-3.33794397E8</v>
      </c>
      <c r="AM78" s="65">
        <v>-2.9727803E7</v>
      </c>
      <c r="AN78" s="65">
        <v>-3.32880983E8</v>
      </c>
      <c r="AO78" s="65">
        <v>-2.60817349E8</v>
      </c>
      <c r="AP78" s="85">
        <v>-6.57994859E8</v>
      </c>
      <c r="AQ78" s="85">
        <v>-3.77243782E8</v>
      </c>
      <c r="AR78" s="85">
        <v>-1.271190873E9</v>
      </c>
      <c r="AS78" s="85">
        <v>-2.39637419E8</v>
      </c>
      <c r="AT78" s="85">
        <v>-1.92486146E8</v>
      </c>
      <c r="AU78" s="85">
        <v>-3.39809419E8</v>
      </c>
      <c r="AV78" s="85">
        <v>-7.8169782E7</v>
      </c>
      <c r="AW78" s="85">
        <v>-2.27911328E8</v>
      </c>
      <c r="AX78" s="85">
        <v>-2.52670509E8</v>
      </c>
      <c r="AY78" s="85">
        <v>-8.577096E8</v>
      </c>
      <c r="AZ78" s="85">
        <v>-3.27956873E8</v>
      </c>
      <c r="BA78" s="85">
        <v>-2.81624585E8</v>
      </c>
      <c r="BB78" s="85"/>
      <c r="BC78" s="85"/>
      <c r="BD78" s="85"/>
      <c r="BE78" s="85"/>
      <c r="BF78" s="85"/>
      <c r="BG78" s="85"/>
      <c r="BH78" s="85"/>
      <c r="BI78" s="85"/>
      <c r="BJ78" s="85"/>
      <c r="BK78" s="85"/>
      <c r="BL78" s="85"/>
      <c r="BM78" s="85"/>
      <c r="BN78" s="85"/>
      <c r="BO78" s="85"/>
      <c r="BP78" s="85"/>
      <c r="BQ78" s="85"/>
      <c r="BR78" s="85"/>
      <c r="BS78" s="85"/>
      <c r="BT78" s="85"/>
      <c r="BU78" s="85"/>
      <c r="BV78" s="85"/>
      <c r="BW78" s="85"/>
      <c r="BX78" s="85"/>
      <c r="BY78" s="85"/>
      <c r="BZ78" s="85"/>
      <c r="CA78" s="85"/>
      <c r="CB78" s="85"/>
      <c r="CC78" s="85"/>
      <c r="CD78" s="85"/>
      <c r="CE78" s="85"/>
      <c r="CF78" s="85"/>
      <c r="CG78" s="85"/>
      <c r="CH78" s="85"/>
      <c r="CI78" s="85"/>
      <c r="CJ78" s="85"/>
      <c r="CK78" s="85"/>
      <c r="CL78" s="61"/>
      <c r="CM78" s="38" t="s">
        <v>79</v>
      </c>
      <c r="CN78" s="61"/>
      <c r="CO78" s="61"/>
      <c r="CP78" s="61"/>
    </row>
    <row r="79" ht="15.75" customHeight="1">
      <c r="A79" s="75"/>
      <c r="B79" s="59" t="str">
        <f t="array" ref="B79">XLOOKUP(D79, 'マスタ'!$C$2:$C$1000, 'マスタ'!$D$2:$D$1000, "マスタ未登録")</f>
        <v>荷造運賃</v>
      </c>
      <c r="C79" s="53" t="str">
        <f>IF(AND(D79&lt;&gt;"", COUNTIF('マスタ'!$C:$C, D79)=0), "マスタ未登録", "")</f>
        <v/>
      </c>
      <c r="D79" s="84" t="str">
        <f t="shared" si="2"/>
        <v>荷造運賃</v>
      </c>
      <c r="E79" s="63" t="s">
        <v>330</v>
      </c>
      <c r="F79" s="65" t="s">
        <v>80</v>
      </c>
      <c r="G79" s="65"/>
      <c r="H79" s="65"/>
      <c r="I79" s="65" t="s">
        <v>328</v>
      </c>
      <c r="J79" s="65" t="s">
        <v>344</v>
      </c>
      <c r="K79" s="65"/>
      <c r="L79" s="65"/>
      <c r="M79" s="65"/>
      <c r="N79" s="65"/>
      <c r="O79" s="65"/>
      <c r="P79" s="65"/>
      <c r="Q79" s="65"/>
      <c r="R79" s="65"/>
      <c r="S79" s="65"/>
      <c r="T79" s="65"/>
      <c r="U79" s="65"/>
      <c r="V79" s="65"/>
      <c r="W79" s="65"/>
      <c r="X79" s="65"/>
      <c r="Y79" s="65"/>
      <c r="Z79" s="65"/>
      <c r="AA79" s="65"/>
      <c r="AB79" s="65"/>
      <c r="AC79" s="65"/>
      <c r="AD79" s="65">
        <v>-3637.0</v>
      </c>
      <c r="AE79" s="65">
        <v>-15029.0</v>
      </c>
      <c r="AF79" s="65">
        <v>-3910.0</v>
      </c>
      <c r="AG79" s="65">
        <v>-13510.0</v>
      </c>
      <c r="AH79" s="65">
        <v>-10391.0</v>
      </c>
      <c r="AI79" s="65">
        <v>2972.0</v>
      </c>
      <c r="AJ79" s="65">
        <v>-10437.0</v>
      </c>
      <c r="AK79" s="65">
        <v>-8583.0</v>
      </c>
      <c r="AL79" s="65">
        <v>-8964.0</v>
      </c>
      <c r="AM79" s="65">
        <v>0.0</v>
      </c>
      <c r="AN79" s="65">
        <v>-16720.0</v>
      </c>
      <c r="AO79" s="65">
        <v>-7077.0</v>
      </c>
      <c r="AP79" s="85">
        <v>-36580.0</v>
      </c>
      <c r="AQ79" s="85">
        <v>-7920.0</v>
      </c>
      <c r="AR79" s="85">
        <v>-7920.0</v>
      </c>
      <c r="AS79" s="85">
        <v>-7920.0</v>
      </c>
      <c r="AT79" s="85">
        <v>-7920.0</v>
      </c>
      <c r="AU79" s="85">
        <v>-7920.0</v>
      </c>
      <c r="AV79" s="85">
        <v>-7920.0</v>
      </c>
      <c r="AW79" s="85">
        <v>-7920.0</v>
      </c>
      <c r="AX79" s="85">
        <v>-7920.0</v>
      </c>
      <c r="AY79" s="85">
        <v>-7920.0</v>
      </c>
      <c r="AZ79" s="85">
        <v>-7920.0</v>
      </c>
      <c r="BA79" s="85">
        <v>-7922.0</v>
      </c>
      <c r="BB79" s="85"/>
      <c r="BC79" s="85"/>
      <c r="BD79" s="85"/>
      <c r="BE79" s="85"/>
      <c r="BF79" s="85"/>
      <c r="BG79" s="85"/>
      <c r="BH79" s="85"/>
      <c r="BI79" s="85"/>
      <c r="BJ79" s="85"/>
      <c r="BK79" s="85"/>
      <c r="BL79" s="85"/>
      <c r="BM79" s="85"/>
      <c r="BN79" s="85"/>
      <c r="BO79" s="85"/>
      <c r="BP79" s="85"/>
      <c r="BQ79" s="85"/>
      <c r="BR79" s="85"/>
      <c r="BS79" s="85"/>
      <c r="BT79" s="85"/>
      <c r="BU79" s="85"/>
      <c r="BV79" s="85"/>
      <c r="BW79" s="85"/>
      <c r="BX79" s="85"/>
      <c r="BY79" s="85"/>
      <c r="BZ79" s="85"/>
      <c r="CA79" s="85"/>
      <c r="CB79" s="85"/>
      <c r="CC79" s="85"/>
      <c r="CD79" s="85"/>
      <c r="CE79" s="85"/>
      <c r="CF79" s="85"/>
      <c r="CG79" s="85"/>
      <c r="CH79" s="85"/>
      <c r="CI79" s="85"/>
      <c r="CJ79" s="85"/>
      <c r="CK79" s="85"/>
      <c r="CL79" s="61"/>
      <c r="CM79" s="38" t="s">
        <v>80</v>
      </c>
      <c r="CN79" s="61"/>
      <c r="CO79" s="61"/>
      <c r="CP79" s="61"/>
    </row>
    <row r="80" ht="15.75" customHeight="1">
      <c r="A80" s="75"/>
      <c r="B80" s="59" t="str">
        <f t="array" ref="B80">XLOOKUP(D80, 'マスタ'!$C$2:$C$1000, 'マスタ'!$D$2:$D$1000, "マスタ未登録")</f>
        <v>支払手数料</v>
      </c>
      <c r="C80" s="53" t="str">
        <f>IF(AND(D80&lt;&gt;"", COUNTIF('マスタ'!$C:$C, D80)=0), "マスタ未登録", "")</f>
        <v/>
      </c>
      <c r="D80" s="84" t="str">
        <f t="shared" si="2"/>
        <v>支払手数料</v>
      </c>
      <c r="E80" s="63" t="s">
        <v>330</v>
      </c>
      <c r="F80" s="65" t="s">
        <v>92</v>
      </c>
      <c r="G80" s="65"/>
      <c r="H80" s="65"/>
      <c r="I80" s="65" t="s">
        <v>328</v>
      </c>
      <c r="J80" s="65" t="s">
        <v>344</v>
      </c>
      <c r="K80" s="65"/>
      <c r="L80" s="65"/>
      <c r="M80" s="65"/>
      <c r="N80" s="65"/>
      <c r="O80" s="65"/>
      <c r="P80" s="65"/>
      <c r="Q80" s="65"/>
      <c r="R80" s="65"/>
      <c r="S80" s="65"/>
      <c r="T80" s="65"/>
      <c r="U80" s="65"/>
      <c r="V80" s="65"/>
      <c r="W80" s="65"/>
      <c r="X80" s="65"/>
      <c r="Y80" s="65"/>
      <c r="Z80" s="65"/>
      <c r="AA80" s="65"/>
      <c r="AB80" s="65"/>
      <c r="AC80" s="65"/>
      <c r="AD80" s="65">
        <v>-1.0246536E7</v>
      </c>
      <c r="AE80" s="65">
        <v>-9692484.0</v>
      </c>
      <c r="AF80" s="65">
        <v>-1.337995E7</v>
      </c>
      <c r="AG80" s="65">
        <v>-1.0739035E7</v>
      </c>
      <c r="AH80" s="65">
        <v>-8497375.0</v>
      </c>
      <c r="AI80" s="65">
        <v>-2.0454399E7</v>
      </c>
      <c r="AJ80" s="65">
        <v>-1.0528046E7</v>
      </c>
      <c r="AK80" s="65">
        <v>-2.0774446E7</v>
      </c>
      <c r="AL80" s="65">
        <v>-2.0826067E7</v>
      </c>
      <c r="AM80" s="65">
        <v>-1.3218438E7</v>
      </c>
      <c r="AN80" s="65">
        <v>-1.4589917E7</v>
      </c>
      <c r="AO80" s="65">
        <v>-2.6745588E7</v>
      </c>
      <c r="AP80" s="85">
        <v>-2.0259856E7</v>
      </c>
      <c r="AQ80" s="85">
        <v>-2.3387106E7</v>
      </c>
      <c r="AR80" s="85">
        <v>-2.3387106E7</v>
      </c>
      <c r="AS80" s="85">
        <v>-2.3387106E7</v>
      </c>
      <c r="AT80" s="85">
        <v>-2.3387106E7</v>
      </c>
      <c r="AU80" s="85">
        <v>-2.3387106E7</v>
      </c>
      <c r="AV80" s="85">
        <v>-2.3387106E7</v>
      </c>
      <c r="AW80" s="85">
        <v>-2.3387106E7</v>
      </c>
      <c r="AX80" s="85">
        <v>-2.3387106E7</v>
      </c>
      <c r="AY80" s="85">
        <v>-2.3387106E7</v>
      </c>
      <c r="AZ80" s="85">
        <v>-2.3387106E7</v>
      </c>
      <c r="BA80" s="85">
        <v>-2.3387131E7</v>
      </c>
      <c r="BB80" s="85"/>
      <c r="BC80" s="85"/>
      <c r="BD80" s="85"/>
      <c r="BE80" s="85"/>
      <c r="BF80" s="85"/>
      <c r="BG80" s="85"/>
      <c r="BH80" s="85"/>
      <c r="BI80" s="85"/>
      <c r="BJ80" s="85"/>
      <c r="BK80" s="85"/>
      <c r="BL80" s="85"/>
      <c r="BM80" s="85"/>
      <c r="BN80" s="85"/>
      <c r="BO80" s="85"/>
      <c r="BP80" s="85"/>
      <c r="BQ80" s="85"/>
      <c r="BR80" s="85"/>
      <c r="BS80" s="85"/>
      <c r="BT80" s="85"/>
      <c r="BU80" s="85"/>
      <c r="BV80" s="85"/>
      <c r="BW80" s="85"/>
      <c r="BX80" s="85"/>
      <c r="BY80" s="85"/>
      <c r="BZ80" s="85"/>
      <c r="CA80" s="85"/>
      <c r="CB80" s="85"/>
      <c r="CC80" s="85"/>
      <c r="CD80" s="85"/>
      <c r="CE80" s="85"/>
      <c r="CF80" s="85"/>
      <c r="CG80" s="85"/>
      <c r="CH80" s="85"/>
      <c r="CI80" s="85"/>
      <c r="CJ80" s="85"/>
      <c r="CK80" s="85"/>
      <c r="CL80" s="61"/>
      <c r="CM80" s="38" t="s">
        <v>92</v>
      </c>
      <c r="CN80" s="61"/>
      <c r="CO80" s="61"/>
      <c r="CP80" s="61"/>
    </row>
    <row r="81" ht="15.75" customHeight="1">
      <c r="A81" s="75"/>
      <c r="B81" s="59" t="str">
        <f t="array" ref="B81">XLOOKUP(D81, 'マスタ'!$C$2:$C$1000, 'マスタ'!$D$2:$D$1000, "マスタ未登録")</f>
        <v>保険料</v>
      </c>
      <c r="C81" s="53" t="str">
        <f>IF(AND(D81&lt;&gt;"", COUNTIF('マスタ'!$C:$C, D81)=0), "マスタ未登録", "")</f>
        <v/>
      </c>
      <c r="D81" s="84" t="str">
        <f t="shared" si="2"/>
        <v>保険料</v>
      </c>
      <c r="E81" s="63" t="s">
        <v>330</v>
      </c>
      <c r="F81" s="65" t="s">
        <v>90</v>
      </c>
      <c r="G81" s="65"/>
      <c r="H81" s="65"/>
      <c r="I81" s="65" t="s">
        <v>328</v>
      </c>
      <c r="J81" s="65" t="s">
        <v>344</v>
      </c>
      <c r="K81" s="65"/>
      <c r="L81" s="65"/>
      <c r="M81" s="65"/>
      <c r="N81" s="65"/>
      <c r="O81" s="65"/>
      <c r="P81" s="65"/>
      <c r="Q81" s="65"/>
      <c r="R81" s="65"/>
      <c r="S81" s="65"/>
      <c r="T81" s="65"/>
      <c r="U81" s="65"/>
      <c r="V81" s="65"/>
      <c r="W81" s="65"/>
      <c r="X81" s="65"/>
      <c r="Y81" s="65"/>
      <c r="Z81" s="65"/>
      <c r="AA81" s="65"/>
      <c r="AB81" s="65"/>
      <c r="AC81" s="65"/>
      <c r="AD81" s="65">
        <v>-73520.0</v>
      </c>
      <c r="AE81" s="65">
        <v>-62500.0</v>
      </c>
      <c r="AF81" s="65">
        <v>-44770.0</v>
      </c>
      <c r="AG81" s="65">
        <v>-45771.0</v>
      </c>
      <c r="AH81" s="65">
        <v>-45839.0</v>
      </c>
      <c r="AI81" s="65">
        <v>-45839.0</v>
      </c>
      <c r="AJ81" s="65">
        <v>-166599.0</v>
      </c>
      <c r="AK81" s="65">
        <v>-87169.0</v>
      </c>
      <c r="AL81" s="65">
        <v>-45839.0</v>
      </c>
      <c r="AM81" s="65">
        <v>-35839.0</v>
      </c>
      <c r="AN81" s="65">
        <v>-65839.0</v>
      </c>
      <c r="AO81" s="65">
        <v>-45839.0</v>
      </c>
      <c r="AP81" s="85">
        <v>-119316.0</v>
      </c>
      <c r="AQ81" s="85">
        <v>-87676.0</v>
      </c>
      <c r="AR81" s="85">
        <v>-87676.0</v>
      </c>
      <c r="AS81" s="85">
        <v>-87676.0</v>
      </c>
      <c r="AT81" s="85">
        <v>-87676.0</v>
      </c>
      <c r="AU81" s="85">
        <v>-87676.0</v>
      </c>
      <c r="AV81" s="85">
        <v>-87676.0</v>
      </c>
      <c r="AW81" s="85">
        <v>-87676.0</v>
      </c>
      <c r="AX81" s="85">
        <v>-87676.0</v>
      </c>
      <c r="AY81" s="85">
        <v>-87676.0</v>
      </c>
      <c r="AZ81" s="85">
        <v>-87676.0</v>
      </c>
      <c r="BA81" s="85">
        <v>-87716.0</v>
      </c>
      <c r="BB81" s="85"/>
      <c r="BC81" s="85"/>
      <c r="BD81" s="85"/>
      <c r="BE81" s="85"/>
      <c r="BF81" s="85"/>
      <c r="BG81" s="85"/>
      <c r="BH81" s="85"/>
      <c r="BI81" s="85"/>
      <c r="BJ81" s="85"/>
      <c r="BK81" s="85"/>
      <c r="BL81" s="85"/>
      <c r="BM81" s="85"/>
      <c r="BN81" s="85"/>
      <c r="BO81" s="85"/>
      <c r="BP81" s="85"/>
      <c r="BQ81" s="85"/>
      <c r="BR81" s="85"/>
      <c r="BS81" s="85"/>
      <c r="BT81" s="85"/>
      <c r="BU81" s="85"/>
      <c r="BV81" s="85"/>
      <c r="BW81" s="85"/>
      <c r="BX81" s="85"/>
      <c r="BY81" s="85"/>
      <c r="BZ81" s="85"/>
      <c r="CA81" s="85"/>
      <c r="CB81" s="85"/>
      <c r="CC81" s="85"/>
      <c r="CD81" s="85"/>
      <c r="CE81" s="85"/>
      <c r="CF81" s="85"/>
      <c r="CG81" s="85"/>
      <c r="CH81" s="85"/>
      <c r="CI81" s="85"/>
      <c r="CJ81" s="85"/>
      <c r="CK81" s="85"/>
      <c r="CL81" s="61"/>
      <c r="CM81" s="38" t="s">
        <v>90</v>
      </c>
      <c r="CN81" s="61"/>
      <c r="CO81" s="61"/>
      <c r="CP81" s="61"/>
    </row>
    <row r="82" ht="15.75" customHeight="1">
      <c r="A82" s="75"/>
      <c r="B82" s="59" t="str">
        <f t="array" ref="B82">XLOOKUP(D82, 'マスタ'!$C$2:$C$1000, 'マスタ'!$D$2:$D$1000, "マスタ未登録")</f>
        <v>広告宣伝費</v>
      </c>
      <c r="C82" s="53" t="str">
        <f>IF(AND(D82&lt;&gt;"", COUNTIF('マスタ'!$C:$C, D82)=0), "マスタ未登録", "")</f>
        <v/>
      </c>
      <c r="D82" s="84" t="str">
        <f t="shared" si="2"/>
        <v>広告宣伝費</v>
      </c>
      <c r="E82" s="63" t="s">
        <v>331</v>
      </c>
      <c r="F82" s="65" t="s">
        <v>81</v>
      </c>
      <c r="G82" s="65"/>
      <c r="H82" s="65"/>
      <c r="I82" s="65" t="s">
        <v>328</v>
      </c>
      <c r="J82" s="65" t="s">
        <v>344</v>
      </c>
      <c r="K82" s="65"/>
      <c r="L82" s="65"/>
      <c r="M82" s="65"/>
      <c r="N82" s="65"/>
      <c r="O82" s="65"/>
      <c r="P82" s="65"/>
      <c r="Q82" s="65"/>
      <c r="R82" s="65"/>
      <c r="S82" s="65"/>
      <c r="T82" s="65"/>
      <c r="U82" s="65"/>
      <c r="V82" s="65"/>
      <c r="W82" s="65"/>
      <c r="X82" s="65"/>
      <c r="Y82" s="65"/>
      <c r="Z82" s="65"/>
      <c r="AA82" s="65"/>
      <c r="AB82" s="65"/>
      <c r="AC82" s="65"/>
      <c r="AD82" s="65">
        <v>-7675000.0</v>
      </c>
      <c r="AE82" s="65">
        <v>-1.3419584E7</v>
      </c>
      <c r="AF82" s="65">
        <v>-9469647.0</v>
      </c>
      <c r="AG82" s="65">
        <v>-2293273.0</v>
      </c>
      <c r="AH82" s="65">
        <v>-2.441E7</v>
      </c>
      <c r="AI82" s="65">
        <v>-3016828.0</v>
      </c>
      <c r="AJ82" s="65">
        <v>-2.653152E7</v>
      </c>
      <c r="AK82" s="65">
        <v>-1.91E7</v>
      </c>
      <c r="AL82" s="65">
        <v>-5.54595E7</v>
      </c>
      <c r="AM82" s="65">
        <v>-4.2525E7</v>
      </c>
      <c r="AN82" s="65">
        <v>-9.6775E7</v>
      </c>
      <c r="AO82" s="65">
        <v>-6.8942373E7</v>
      </c>
      <c r="AP82" s="85">
        <v>-1.5775E7</v>
      </c>
      <c r="AQ82" s="85">
        <v>-2.5472945E7</v>
      </c>
      <c r="AR82" s="85">
        <v>-3.3472945E7</v>
      </c>
      <c r="AS82" s="85">
        <v>-2.7472945E7</v>
      </c>
      <c r="AT82" s="85">
        <v>-2.5472945E7</v>
      </c>
      <c r="AU82" s="85">
        <v>-2.5472945E7</v>
      </c>
      <c r="AV82" s="85">
        <v>-2.8472945E7</v>
      </c>
      <c r="AW82" s="85">
        <v>-2.7472945E7</v>
      </c>
      <c r="AX82" s="85">
        <v>-3.0472945E7</v>
      </c>
      <c r="AY82" s="85">
        <v>-2.5472945E7</v>
      </c>
      <c r="AZ82" s="85">
        <v>-2.8472945E7</v>
      </c>
      <c r="BA82" s="85">
        <v>-2.7472957E7</v>
      </c>
      <c r="BB82" s="85"/>
      <c r="BC82" s="85"/>
      <c r="BD82" s="85"/>
      <c r="BE82" s="85"/>
      <c r="BF82" s="85"/>
      <c r="BG82" s="85"/>
      <c r="BH82" s="85"/>
      <c r="BI82" s="85"/>
      <c r="BJ82" s="85"/>
      <c r="BK82" s="85"/>
      <c r="BL82" s="85"/>
      <c r="BM82" s="85"/>
      <c r="BN82" s="85"/>
      <c r="BO82" s="85"/>
      <c r="BP82" s="85"/>
      <c r="BQ82" s="85"/>
      <c r="BR82" s="85"/>
      <c r="BS82" s="85"/>
      <c r="BT82" s="85"/>
      <c r="BU82" s="85"/>
      <c r="BV82" s="85"/>
      <c r="BW82" s="85"/>
      <c r="BX82" s="85"/>
      <c r="BY82" s="85"/>
      <c r="BZ82" s="85"/>
      <c r="CA82" s="85"/>
      <c r="CB82" s="85"/>
      <c r="CC82" s="85"/>
      <c r="CD82" s="85"/>
      <c r="CE82" s="85"/>
      <c r="CF82" s="85"/>
      <c r="CG82" s="85"/>
      <c r="CH82" s="85"/>
      <c r="CI82" s="85"/>
      <c r="CJ82" s="85"/>
      <c r="CK82" s="85"/>
      <c r="CL82" s="61"/>
      <c r="CM82" s="38" t="s">
        <v>81</v>
      </c>
      <c r="CN82" s="61"/>
      <c r="CO82" s="61"/>
      <c r="CP82" s="61"/>
    </row>
    <row r="83" ht="15.75" customHeight="1">
      <c r="A83" s="75"/>
      <c r="B83" s="59" t="str">
        <f t="array" ref="B83">XLOOKUP(D83, 'マスタ'!$C$2:$C$1000, 'マスタ'!$D$2:$D$1000, "マスタ未登録")</f>
        <v>その他</v>
      </c>
      <c r="C83" s="53" t="str">
        <f>IF(AND(D83&lt;&gt;"", COUNTIF('マスタ'!$C:$C, D83)=0), "マスタ未登録", "")</f>
        <v/>
      </c>
      <c r="D83" s="84" t="str">
        <f t="shared" si="2"/>
        <v>その他(変)</v>
      </c>
      <c r="E83" s="63" t="s">
        <v>331</v>
      </c>
      <c r="F83" s="65" t="s">
        <v>345</v>
      </c>
      <c r="G83" s="65"/>
      <c r="H83" s="65"/>
      <c r="I83" s="65" t="s">
        <v>328</v>
      </c>
      <c r="J83" s="65" t="s">
        <v>344</v>
      </c>
      <c r="K83" s="65"/>
      <c r="L83" s="65"/>
      <c r="M83" s="65"/>
      <c r="N83" s="65"/>
      <c r="O83" s="65"/>
      <c r="P83" s="65"/>
      <c r="Q83" s="65"/>
      <c r="R83" s="65"/>
      <c r="S83" s="65"/>
      <c r="T83" s="65"/>
      <c r="U83" s="65"/>
      <c r="V83" s="65"/>
      <c r="W83" s="65"/>
      <c r="X83" s="65"/>
      <c r="Y83" s="65"/>
      <c r="Z83" s="65"/>
      <c r="AA83" s="65"/>
      <c r="AB83" s="65"/>
      <c r="AC83" s="65"/>
      <c r="AD83" s="65">
        <v>-2.8833333E7</v>
      </c>
      <c r="AE83" s="65">
        <v>-4688087.0</v>
      </c>
      <c r="AF83" s="65">
        <v>-1.4408711E7</v>
      </c>
      <c r="AG83" s="65">
        <v>-3100000.0</v>
      </c>
      <c r="AH83" s="65">
        <v>-3902500.0</v>
      </c>
      <c r="AI83" s="65">
        <v>-1.6875549E7</v>
      </c>
      <c r="AJ83" s="65">
        <v>-8062500.0</v>
      </c>
      <c r="AK83" s="65">
        <v>-2.3675E7</v>
      </c>
      <c r="AL83" s="65">
        <v>-1.700433E7</v>
      </c>
      <c r="AM83" s="65">
        <v>-1.0960416E7</v>
      </c>
      <c r="AN83" s="65">
        <v>-1.6447917E7</v>
      </c>
      <c r="AO83" s="65">
        <v>-2.2270901E7</v>
      </c>
      <c r="AP83" s="85">
        <v>-5112500.0</v>
      </c>
      <c r="AQ83" s="85">
        <v>0.0</v>
      </c>
      <c r="AR83" s="85">
        <v>-2.7E7</v>
      </c>
      <c r="AS83" s="85">
        <v>-2.3E7</v>
      </c>
      <c r="AT83" s="85">
        <v>-4.0E7</v>
      </c>
      <c r="AU83" s="85">
        <v>-5000000.0</v>
      </c>
      <c r="AV83" s="85">
        <v>-2.3E7</v>
      </c>
      <c r="AW83" s="85">
        <v>-2.3E7</v>
      </c>
      <c r="AX83" s="85">
        <v>-4.0E7</v>
      </c>
      <c r="AY83" s="85">
        <v>-5000000.0</v>
      </c>
      <c r="AZ83" s="85">
        <v>-2.6E7</v>
      </c>
      <c r="BA83" s="85">
        <v>-2.3E7</v>
      </c>
      <c r="BB83" s="85"/>
      <c r="BC83" s="85"/>
      <c r="BD83" s="85"/>
      <c r="BE83" s="85"/>
      <c r="BF83" s="85"/>
      <c r="BG83" s="85"/>
      <c r="BH83" s="85"/>
      <c r="BI83" s="85"/>
      <c r="BJ83" s="85"/>
      <c r="BK83" s="85"/>
      <c r="BL83" s="85"/>
      <c r="BM83" s="85"/>
      <c r="BN83" s="85"/>
      <c r="BO83" s="85"/>
      <c r="BP83" s="85"/>
      <c r="BQ83" s="85"/>
      <c r="BR83" s="85"/>
      <c r="BS83" s="85"/>
      <c r="BT83" s="85"/>
      <c r="BU83" s="85"/>
      <c r="BV83" s="85"/>
      <c r="BW83" s="85"/>
      <c r="BX83" s="85"/>
      <c r="BY83" s="85"/>
      <c r="BZ83" s="85"/>
      <c r="CA83" s="85"/>
      <c r="CB83" s="85"/>
      <c r="CC83" s="85"/>
      <c r="CD83" s="85"/>
      <c r="CE83" s="85"/>
      <c r="CF83" s="85"/>
      <c r="CG83" s="85"/>
      <c r="CH83" s="85"/>
      <c r="CI83" s="85"/>
      <c r="CJ83" s="85"/>
      <c r="CK83" s="85"/>
      <c r="CL83" s="61"/>
      <c r="CM83" s="38" t="s">
        <v>341</v>
      </c>
      <c r="CN83" s="61"/>
      <c r="CO83" s="61"/>
      <c r="CP83" s="61"/>
    </row>
    <row r="84" ht="15.75" customHeight="1">
      <c r="A84" s="75"/>
      <c r="B84" s="59" t="str">
        <f t="array" ref="B84">XLOOKUP(D84, 'マスタ'!$C$2:$C$1000, 'マスタ'!$D$2:$D$1000, "マスタ未登録")</f>
        <v>当期商品仕入高</v>
      </c>
      <c r="C84" s="53" t="str">
        <f>IF(AND(D84&lt;&gt;"", COUNTIF('マスタ'!$C:$C, D84)=0), "マスタ未登録", "")</f>
        <v/>
      </c>
      <c r="D84" s="84" t="str">
        <f t="shared" si="2"/>
        <v>タレント報酬</v>
      </c>
      <c r="E84" s="63" t="s">
        <v>331</v>
      </c>
      <c r="F84" s="65" t="s">
        <v>332</v>
      </c>
      <c r="G84" s="65"/>
      <c r="H84" s="65"/>
      <c r="I84" s="65" t="s">
        <v>328</v>
      </c>
      <c r="J84" s="65" t="s">
        <v>344</v>
      </c>
      <c r="K84" s="65"/>
      <c r="L84" s="65"/>
      <c r="M84" s="65"/>
      <c r="N84" s="65"/>
      <c r="O84" s="65"/>
      <c r="P84" s="65"/>
      <c r="Q84" s="65"/>
      <c r="R84" s="65"/>
      <c r="S84" s="65"/>
      <c r="T84" s="65"/>
      <c r="U84" s="65"/>
      <c r="V84" s="65"/>
      <c r="W84" s="65"/>
      <c r="X84" s="65"/>
      <c r="Y84" s="65"/>
      <c r="Z84" s="65"/>
      <c r="AA84" s="65"/>
      <c r="AB84" s="65"/>
      <c r="AC84" s="65"/>
      <c r="AD84" s="65">
        <v>-2.3928502E7</v>
      </c>
      <c r="AE84" s="65">
        <v>-2.5156865E7</v>
      </c>
      <c r="AF84" s="65">
        <v>-2.4166256E7</v>
      </c>
      <c r="AG84" s="65">
        <v>-3.5166976E7</v>
      </c>
      <c r="AH84" s="65">
        <v>-3.5327856E7</v>
      </c>
      <c r="AI84" s="65">
        <v>-3.7463515E7</v>
      </c>
      <c r="AJ84" s="65">
        <v>-3.899597E7</v>
      </c>
      <c r="AK84" s="65">
        <v>-2.4424528E7</v>
      </c>
      <c r="AL84" s="65">
        <v>0.0</v>
      </c>
      <c r="AM84" s="65">
        <v>-4.8974028E7</v>
      </c>
      <c r="AN84" s="65">
        <v>-5.0643174E7</v>
      </c>
      <c r="AO84" s="65">
        <v>-5.1834298E7</v>
      </c>
      <c r="AP84" s="85">
        <v>-5.0963888E7</v>
      </c>
      <c r="AQ84" s="85">
        <v>-4.7457837E7</v>
      </c>
      <c r="AR84" s="85">
        <v>-4.7457837E7</v>
      </c>
      <c r="AS84" s="85">
        <v>-5.7339634E7</v>
      </c>
      <c r="AT84" s="85">
        <v>-5.7339634E7</v>
      </c>
      <c r="AU84" s="85">
        <v>-5.7339634E7</v>
      </c>
      <c r="AV84" s="85">
        <v>-5.7339634E7</v>
      </c>
      <c r="AW84" s="85">
        <v>-5.7339634E7</v>
      </c>
      <c r="AX84" s="85">
        <v>-5.7339634E7</v>
      </c>
      <c r="AY84" s="85">
        <v>-6.0732432E7</v>
      </c>
      <c r="AZ84" s="85">
        <v>-6.0732432E7</v>
      </c>
      <c r="BA84" s="85">
        <v>-6.062125E7</v>
      </c>
      <c r="BB84" s="85"/>
      <c r="BC84" s="85"/>
      <c r="BD84" s="85"/>
      <c r="BE84" s="85"/>
      <c r="BF84" s="85"/>
      <c r="BG84" s="85"/>
      <c r="BH84" s="85"/>
      <c r="BI84" s="85"/>
      <c r="BJ84" s="85"/>
      <c r="BK84" s="85"/>
      <c r="BL84" s="85"/>
      <c r="BM84" s="85"/>
      <c r="BN84" s="85"/>
      <c r="BO84" s="85"/>
      <c r="BP84" s="85"/>
      <c r="BQ84" s="85"/>
      <c r="BR84" s="85"/>
      <c r="BS84" s="85"/>
      <c r="BT84" s="85"/>
      <c r="BU84" s="85"/>
      <c r="BV84" s="85"/>
      <c r="BW84" s="85"/>
      <c r="BX84" s="85"/>
      <c r="BY84" s="85"/>
      <c r="BZ84" s="85"/>
      <c r="CA84" s="85"/>
      <c r="CB84" s="85"/>
      <c r="CC84" s="85"/>
      <c r="CD84" s="85"/>
      <c r="CE84" s="85"/>
      <c r="CF84" s="85"/>
      <c r="CG84" s="85"/>
      <c r="CH84" s="85"/>
      <c r="CI84" s="85"/>
      <c r="CJ84" s="85"/>
      <c r="CK84" s="85"/>
      <c r="CL84" s="61"/>
      <c r="CM84" s="38" t="s">
        <v>332</v>
      </c>
      <c r="CN84" s="61"/>
      <c r="CO84" s="61"/>
      <c r="CP84" s="61"/>
    </row>
    <row r="85" ht="15.75" customHeight="1">
      <c r="A85" s="75"/>
      <c r="B85" s="59" t="str">
        <f t="array" ref="B85">XLOOKUP(D85, 'マスタ'!$C$2:$C$1000, 'マスタ'!$D$2:$D$1000, "マスタ未登録")</f>
        <v>当期商品仕入高</v>
      </c>
      <c r="C85" s="53" t="str">
        <f>IF(AND(D85&lt;&gt;"", COUNTIF('マスタ'!$C:$C, D85)=0), "マスタ未登録", "")</f>
        <v/>
      </c>
      <c r="D85" s="84" t="str">
        <f t="shared" si="2"/>
        <v>人件費</v>
      </c>
      <c r="E85" s="63" t="s">
        <v>331</v>
      </c>
      <c r="F85" s="65" t="s">
        <v>163</v>
      </c>
      <c r="G85" s="65"/>
      <c r="H85" s="65"/>
      <c r="I85" s="65" t="s">
        <v>328</v>
      </c>
      <c r="J85" s="65" t="s">
        <v>344</v>
      </c>
      <c r="K85" s="65"/>
      <c r="L85" s="65"/>
      <c r="M85" s="65"/>
      <c r="N85" s="65"/>
      <c r="O85" s="65"/>
      <c r="P85" s="65"/>
      <c r="Q85" s="65"/>
      <c r="R85" s="65"/>
      <c r="S85" s="65"/>
      <c r="T85" s="65"/>
      <c r="U85" s="65"/>
      <c r="V85" s="65"/>
      <c r="W85" s="65"/>
      <c r="X85" s="65"/>
      <c r="Y85" s="65"/>
      <c r="Z85" s="65"/>
      <c r="AA85" s="65"/>
      <c r="AB85" s="65"/>
      <c r="AC85" s="65"/>
      <c r="AD85" s="65">
        <v>-1.3162838E7</v>
      </c>
      <c r="AE85" s="65">
        <v>-1.2724998E7</v>
      </c>
      <c r="AF85" s="65">
        <v>-1.3020754E7</v>
      </c>
      <c r="AG85" s="65">
        <v>-1.2924478E7</v>
      </c>
      <c r="AH85" s="65">
        <v>-1.2371933E7</v>
      </c>
      <c r="AI85" s="65">
        <v>-1.4498135E7</v>
      </c>
      <c r="AJ85" s="65">
        <v>-1.3705046E7</v>
      </c>
      <c r="AK85" s="65">
        <v>-1.2397943E7</v>
      </c>
      <c r="AL85" s="65">
        <v>-1.1693787E7</v>
      </c>
      <c r="AM85" s="65">
        <v>-1.1467035E7</v>
      </c>
      <c r="AN85" s="65">
        <v>-1.2619942E7</v>
      </c>
      <c r="AO85" s="65">
        <v>-2.0083993E7</v>
      </c>
      <c r="AP85" s="85">
        <v>-1.4684459E7</v>
      </c>
      <c r="AQ85" s="85">
        <v>-1.5763767E7</v>
      </c>
      <c r="AR85" s="85">
        <v>-1.679796E7</v>
      </c>
      <c r="AS85" s="85">
        <v>-1.5619443E7</v>
      </c>
      <c r="AT85" s="85">
        <v>-1.5850443E7</v>
      </c>
      <c r="AU85" s="85">
        <v>-1.6399943E7</v>
      </c>
      <c r="AV85" s="85">
        <v>-1.6399943E7</v>
      </c>
      <c r="AW85" s="85">
        <v>-1.6399943E7</v>
      </c>
      <c r="AX85" s="85">
        <v>-1.6509943E7</v>
      </c>
      <c r="AY85" s="85">
        <v>-1.6399943E7</v>
      </c>
      <c r="AZ85" s="85">
        <v>-1.6289943E7</v>
      </c>
      <c r="BA85" s="85">
        <v>-1.6289944E7</v>
      </c>
      <c r="BB85" s="85"/>
      <c r="BC85" s="85"/>
      <c r="BD85" s="85"/>
      <c r="BE85" s="85"/>
      <c r="BF85" s="85"/>
      <c r="BG85" s="85"/>
      <c r="BH85" s="85"/>
      <c r="BI85" s="85"/>
      <c r="BJ85" s="85"/>
      <c r="BK85" s="85"/>
      <c r="BL85" s="85"/>
      <c r="BM85" s="85"/>
      <c r="BN85" s="85"/>
      <c r="BO85" s="85"/>
      <c r="BP85" s="85"/>
      <c r="BQ85" s="85"/>
      <c r="BR85" s="85"/>
      <c r="BS85" s="85"/>
      <c r="BT85" s="85"/>
      <c r="BU85" s="85"/>
      <c r="BV85" s="85"/>
      <c r="BW85" s="85"/>
      <c r="BX85" s="85"/>
      <c r="BY85" s="85"/>
      <c r="BZ85" s="85"/>
      <c r="CA85" s="85"/>
      <c r="CB85" s="85"/>
      <c r="CC85" s="85"/>
      <c r="CD85" s="85"/>
      <c r="CE85" s="85"/>
      <c r="CF85" s="85"/>
      <c r="CG85" s="85"/>
      <c r="CH85" s="85"/>
      <c r="CI85" s="85"/>
      <c r="CJ85" s="85"/>
      <c r="CK85" s="85"/>
      <c r="CL85" s="61"/>
      <c r="CM85" s="38" t="s">
        <v>163</v>
      </c>
      <c r="CN85" s="61"/>
      <c r="CO85" s="61"/>
      <c r="CP85" s="61"/>
    </row>
    <row r="86" ht="15.75" customHeight="1">
      <c r="A86" s="75"/>
      <c r="B86" s="59" t="str">
        <f t="array" ref="B86">XLOOKUP(D86, 'マスタ'!$C$2:$C$1000, 'マスタ'!$D$2:$D$1000, "マスタ未登録")</f>
        <v>採用教育費</v>
      </c>
      <c r="C86" s="53" t="str">
        <f>IF(AND(D86&lt;&gt;"", COUNTIF('マスタ'!$C:$C, D86)=0), "マスタ未登録", "")</f>
        <v/>
      </c>
      <c r="D86" s="84" t="str">
        <f t="shared" si="2"/>
        <v>採用教育費</v>
      </c>
      <c r="E86" s="63" t="s">
        <v>331</v>
      </c>
      <c r="F86" s="65" t="s">
        <v>77</v>
      </c>
      <c r="G86" s="65"/>
      <c r="H86" s="65"/>
      <c r="I86" s="65" t="s">
        <v>328</v>
      </c>
      <c r="J86" s="65" t="s">
        <v>344</v>
      </c>
      <c r="K86" s="65"/>
      <c r="L86" s="65"/>
      <c r="M86" s="65"/>
      <c r="N86" s="65"/>
      <c r="O86" s="65"/>
      <c r="P86" s="65"/>
      <c r="Q86" s="65"/>
      <c r="R86" s="65"/>
      <c r="S86" s="65"/>
      <c r="T86" s="65"/>
      <c r="U86" s="65"/>
      <c r="V86" s="65"/>
      <c r="W86" s="65"/>
      <c r="X86" s="65"/>
      <c r="Y86" s="65"/>
      <c r="Z86" s="65"/>
      <c r="AA86" s="65"/>
      <c r="AB86" s="65"/>
      <c r="AC86" s="65"/>
      <c r="AD86" s="65">
        <v>0.0</v>
      </c>
      <c r="AE86" s="65">
        <v>0.0</v>
      </c>
      <c r="AF86" s="65">
        <v>0.0</v>
      </c>
      <c r="AG86" s="65">
        <v>0.0</v>
      </c>
      <c r="AH86" s="65">
        <v>0.0</v>
      </c>
      <c r="AI86" s="65">
        <v>0.0</v>
      </c>
      <c r="AJ86" s="65">
        <v>0.0</v>
      </c>
      <c r="AK86" s="65">
        <v>0.0</v>
      </c>
      <c r="AL86" s="65">
        <v>0.0</v>
      </c>
      <c r="AM86" s="65">
        <v>0.0</v>
      </c>
      <c r="AN86" s="65">
        <v>0.0</v>
      </c>
      <c r="AO86" s="65">
        <v>0.0</v>
      </c>
      <c r="AP86" s="85">
        <v>0.0</v>
      </c>
      <c r="AQ86" s="85">
        <v>0.0</v>
      </c>
      <c r="AR86" s="85">
        <v>0.0</v>
      </c>
      <c r="AS86" s="85">
        <v>0.0</v>
      </c>
      <c r="AT86" s="85">
        <v>0.0</v>
      </c>
      <c r="AU86" s="85">
        <v>0.0</v>
      </c>
      <c r="AV86" s="85">
        <v>0.0</v>
      </c>
      <c r="AW86" s="85">
        <v>0.0</v>
      </c>
      <c r="AX86" s="85">
        <v>0.0</v>
      </c>
      <c r="AY86" s="85">
        <v>0.0</v>
      </c>
      <c r="AZ86" s="85">
        <v>0.0</v>
      </c>
      <c r="BA86" s="85">
        <v>0.0</v>
      </c>
      <c r="BB86" s="85"/>
      <c r="BC86" s="85"/>
      <c r="BD86" s="85"/>
      <c r="BE86" s="85"/>
      <c r="BF86" s="85"/>
      <c r="BG86" s="85"/>
      <c r="BH86" s="85"/>
      <c r="BI86" s="85"/>
      <c r="BJ86" s="85"/>
      <c r="BK86" s="85"/>
      <c r="BL86" s="85"/>
      <c r="BM86" s="85"/>
      <c r="BN86" s="85"/>
      <c r="BO86" s="85"/>
      <c r="BP86" s="85"/>
      <c r="BQ86" s="85"/>
      <c r="BR86" s="85"/>
      <c r="BS86" s="85"/>
      <c r="BT86" s="85"/>
      <c r="BU86" s="85"/>
      <c r="BV86" s="85"/>
      <c r="BW86" s="85"/>
      <c r="BX86" s="85"/>
      <c r="BY86" s="85"/>
      <c r="BZ86" s="85"/>
      <c r="CA86" s="85"/>
      <c r="CB86" s="85"/>
      <c r="CC86" s="85"/>
      <c r="CD86" s="85"/>
      <c r="CE86" s="85"/>
      <c r="CF86" s="85"/>
      <c r="CG86" s="85"/>
      <c r="CH86" s="85"/>
      <c r="CI86" s="85"/>
      <c r="CJ86" s="85"/>
      <c r="CK86" s="85"/>
      <c r="CL86" s="61"/>
      <c r="CM86" s="38" t="s">
        <v>77</v>
      </c>
      <c r="CN86" s="61"/>
      <c r="CO86" s="61"/>
      <c r="CP86" s="61"/>
    </row>
    <row r="87" ht="15.75" customHeight="1">
      <c r="A87" s="75"/>
      <c r="B87" s="59" t="str">
        <f t="array" ref="B87">XLOOKUP(D87, 'マスタ'!$C$2:$C$1000, 'マスタ'!$D$2:$D$1000, "マスタ未登録")</f>
        <v>共通費配賦</v>
      </c>
      <c r="C87" s="53" t="str">
        <f>IF(AND(D87&lt;&gt;"", COUNTIF('マスタ'!$C:$C, D87)=0), "マスタ未登録", "")</f>
        <v/>
      </c>
      <c r="D87" s="84" t="str">
        <f t="shared" si="2"/>
        <v>共通費配賦</v>
      </c>
      <c r="E87" s="65" t="s">
        <v>333</v>
      </c>
      <c r="F87" s="65" t="s">
        <v>99</v>
      </c>
      <c r="G87" s="65"/>
      <c r="H87" s="65"/>
      <c r="I87" s="65" t="s">
        <v>328</v>
      </c>
      <c r="J87" s="65" t="s">
        <v>344</v>
      </c>
      <c r="K87" s="65"/>
      <c r="L87" s="65"/>
      <c r="M87" s="65"/>
      <c r="N87" s="65"/>
      <c r="O87" s="65"/>
      <c r="P87" s="65"/>
      <c r="Q87" s="65"/>
      <c r="R87" s="65"/>
      <c r="S87" s="65"/>
      <c r="T87" s="65"/>
      <c r="U87" s="65"/>
      <c r="V87" s="65"/>
      <c r="W87" s="65"/>
      <c r="X87" s="65"/>
      <c r="Y87" s="65"/>
      <c r="Z87" s="65"/>
      <c r="AA87" s="65"/>
      <c r="AB87" s="65"/>
      <c r="AC87" s="65"/>
      <c r="AD87" s="65">
        <v>0.0</v>
      </c>
      <c r="AE87" s="65">
        <v>0.0</v>
      </c>
      <c r="AF87" s="65">
        <v>0.0</v>
      </c>
      <c r="AG87" s="65">
        <v>0.0</v>
      </c>
      <c r="AH87" s="65">
        <v>0.0</v>
      </c>
      <c r="AI87" s="65">
        <v>0.0</v>
      </c>
      <c r="AJ87" s="65">
        <v>0.0</v>
      </c>
      <c r="AK87" s="65">
        <v>0.0</v>
      </c>
      <c r="AL87" s="65">
        <v>0.0</v>
      </c>
      <c r="AM87" s="65">
        <v>0.0</v>
      </c>
      <c r="AN87" s="65">
        <v>0.0</v>
      </c>
      <c r="AO87" s="65">
        <v>0.0</v>
      </c>
      <c r="AP87" s="85">
        <v>0.0</v>
      </c>
      <c r="AQ87" s="85">
        <v>0.0</v>
      </c>
      <c r="AR87" s="85">
        <v>0.0</v>
      </c>
      <c r="AS87" s="85">
        <v>0.0</v>
      </c>
      <c r="AT87" s="85">
        <v>0.0</v>
      </c>
      <c r="AU87" s="85">
        <v>0.0</v>
      </c>
      <c r="AV87" s="85">
        <v>0.0</v>
      </c>
      <c r="AW87" s="85">
        <v>0.0</v>
      </c>
      <c r="AX87" s="85">
        <v>0.0</v>
      </c>
      <c r="AY87" s="85">
        <v>0.0</v>
      </c>
      <c r="AZ87" s="85">
        <v>0.0</v>
      </c>
      <c r="BA87" s="85">
        <v>0.0</v>
      </c>
      <c r="BB87" s="85"/>
      <c r="BC87" s="85"/>
      <c r="BD87" s="85"/>
      <c r="BE87" s="85"/>
      <c r="BF87" s="85"/>
      <c r="BG87" s="85"/>
      <c r="BH87" s="85"/>
      <c r="BI87" s="85"/>
      <c r="BJ87" s="85"/>
      <c r="BK87" s="85"/>
      <c r="BL87" s="85"/>
      <c r="BM87" s="85"/>
      <c r="BN87" s="85"/>
      <c r="BO87" s="85"/>
      <c r="BP87" s="85"/>
      <c r="BQ87" s="85"/>
      <c r="BR87" s="85"/>
      <c r="BS87" s="85"/>
      <c r="BT87" s="85"/>
      <c r="BU87" s="85"/>
      <c r="BV87" s="85"/>
      <c r="BW87" s="85"/>
      <c r="BX87" s="85"/>
      <c r="BY87" s="85"/>
      <c r="BZ87" s="85"/>
      <c r="CA87" s="85"/>
      <c r="CB87" s="85"/>
      <c r="CC87" s="85"/>
      <c r="CD87" s="85"/>
      <c r="CE87" s="85"/>
      <c r="CF87" s="85"/>
      <c r="CG87" s="85"/>
      <c r="CH87" s="85"/>
      <c r="CI87" s="85"/>
      <c r="CJ87" s="85"/>
      <c r="CK87" s="85"/>
      <c r="CL87" s="61"/>
      <c r="CM87" s="38" t="s">
        <v>99</v>
      </c>
      <c r="CN87" s="61"/>
      <c r="CO87" s="61"/>
      <c r="CP87" s="61"/>
    </row>
    <row r="88" ht="15.75" customHeight="1">
      <c r="A88" s="75"/>
      <c r="B88" s="59" t="str">
        <f t="array" ref="B88">XLOOKUP(D88, 'マスタ'!$C$2:$C$1000, 'マスタ'!$D$2:$D$1000, "マスタ未登録")</f>
        <v>地代家賃</v>
      </c>
      <c r="C88" s="53" t="str">
        <f>IF(AND(D88&lt;&gt;"", COUNTIF('マスタ'!$C:$C, D88)=0), "マスタ未登録", "")</f>
        <v/>
      </c>
      <c r="D88" s="84" t="str">
        <f t="shared" si="2"/>
        <v>地代家賃</v>
      </c>
      <c r="E88" s="65" t="s">
        <v>333</v>
      </c>
      <c r="F88" s="65" t="s">
        <v>87</v>
      </c>
      <c r="G88" s="65"/>
      <c r="H88" s="65"/>
      <c r="I88" s="65" t="s">
        <v>328</v>
      </c>
      <c r="J88" s="65" t="s">
        <v>344</v>
      </c>
      <c r="K88" s="65"/>
      <c r="L88" s="65"/>
      <c r="M88" s="65"/>
      <c r="N88" s="65"/>
      <c r="O88" s="65"/>
      <c r="P88" s="65"/>
      <c r="Q88" s="65"/>
      <c r="R88" s="65"/>
      <c r="S88" s="65"/>
      <c r="T88" s="65"/>
      <c r="U88" s="65"/>
      <c r="V88" s="65"/>
      <c r="W88" s="65"/>
      <c r="X88" s="65"/>
      <c r="Y88" s="65"/>
      <c r="Z88" s="65"/>
      <c r="AA88" s="65"/>
      <c r="AB88" s="65"/>
      <c r="AC88" s="65"/>
      <c r="AD88" s="65">
        <v>-3530273.0</v>
      </c>
      <c r="AE88" s="65">
        <v>-3682532.0</v>
      </c>
      <c r="AF88" s="65">
        <v>-3715953.0</v>
      </c>
      <c r="AG88" s="65">
        <v>-3701940.0</v>
      </c>
      <c r="AH88" s="65">
        <v>-3731273.0</v>
      </c>
      <c r="AI88" s="65">
        <v>-3731273.0</v>
      </c>
      <c r="AJ88" s="65">
        <v>-3656469.0</v>
      </c>
      <c r="AK88" s="65">
        <v>-3819486.0</v>
      </c>
      <c r="AL88" s="65">
        <v>-3949953.0</v>
      </c>
      <c r="AM88" s="65">
        <v>-3840323.0</v>
      </c>
      <c r="AN88" s="65">
        <v>-3856394.0</v>
      </c>
      <c r="AO88" s="65">
        <v>-4089073.0</v>
      </c>
      <c r="AP88" s="85">
        <v>-4358026.0</v>
      </c>
      <c r="AQ88" s="85">
        <v>-3710934.0</v>
      </c>
      <c r="AR88" s="85">
        <v>-3710934.0</v>
      </c>
      <c r="AS88" s="85">
        <v>-3710934.0</v>
      </c>
      <c r="AT88" s="85">
        <v>-3710934.0</v>
      </c>
      <c r="AU88" s="85">
        <v>-3710934.0</v>
      </c>
      <c r="AV88" s="85">
        <v>-3710934.0</v>
      </c>
      <c r="AW88" s="85">
        <v>-3710934.0</v>
      </c>
      <c r="AX88" s="85">
        <v>-3710934.0</v>
      </c>
      <c r="AY88" s="85">
        <v>-3710934.0</v>
      </c>
      <c r="AZ88" s="85">
        <v>-3710934.0</v>
      </c>
      <c r="BA88" s="85">
        <v>-3710950.0</v>
      </c>
      <c r="BB88" s="85"/>
      <c r="BC88" s="85"/>
      <c r="BD88" s="85"/>
      <c r="BE88" s="85"/>
      <c r="BF88" s="85"/>
      <c r="BG88" s="85"/>
      <c r="BH88" s="85"/>
      <c r="BI88" s="85"/>
      <c r="BJ88" s="85"/>
      <c r="BK88" s="85"/>
      <c r="BL88" s="85"/>
      <c r="BM88" s="85"/>
      <c r="BN88" s="85"/>
      <c r="BO88" s="85"/>
      <c r="BP88" s="85"/>
      <c r="BQ88" s="85"/>
      <c r="BR88" s="85"/>
      <c r="BS88" s="85"/>
      <c r="BT88" s="85"/>
      <c r="BU88" s="85"/>
      <c r="BV88" s="85"/>
      <c r="BW88" s="85"/>
      <c r="BX88" s="85"/>
      <c r="BY88" s="85"/>
      <c r="BZ88" s="85"/>
      <c r="CA88" s="85"/>
      <c r="CB88" s="85"/>
      <c r="CC88" s="85"/>
      <c r="CD88" s="85"/>
      <c r="CE88" s="85"/>
      <c r="CF88" s="85"/>
      <c r="CG88" s="85"/>
      <c r="CH88" s="85"/>
      <c r="CI88" s="85"/>
      <c r="CJ88" s="85"/>
      <c r="CK88" s="85"/>
      <c r="CL88" s="61"/>
      <c r="CM88" s="38" t="s">
        <v>87</v>
      </c>
      <c r="CN88" s="61"/>
      <c r="CO88" s="61"/>
      <c r="CP88" s="61"/>
    </row>
    <row r="89" ht="15.75" customHeight="1">
      <c r="A89" s="75"/>
      <c r="B89" s="59" t="str">
        <f t="array" ref="B89">XLOOKUP(D89, 'マスタ'!$C$2:$C$1000, 'マスタ'!$D$2:$D$1000, "マスタ未登録")</f>
        <v>減価償却費</v>
      </c>
      <c r="C89" s="53" t="str">
        <f>IF(AND(D89&lt;&gt;"", COUNTIF('マスタ'!$C:$C, D89)=0), "マスタ未登録", "")</f>
        <v/>
      </c>
      <c r="D89" s="84" t="str">
        <f t="shared" si="2"/>
        <v>減価償却</v>
      </c>
      <c r="E89" s="65" t="s">
        <v>333</v>
      </c>
      <c r="F89" s="65" t="s">
        <v>334</v>
      </c>
      <c r="G89" s="65"/>
      <c r="H89" s="65"/>
      <c r="I89" s="65" t="s">
        <v>328</v>
      </c>
      <c r="J89" s="65" t="s">
        <v>344</v>
      </c>
      <c r="K89" s="65"/>
      <c r="L89" s="65"/>
      <c r="M89" s="65"/>
      <c r="N89" s="65"/>
      <c r="O89" s="65"/>
      <c r="P89" s="65"/>
      <c r="Q89" s="65"/>
      <c r="R89" s="65"/>
      <c r="S89" s="65"/>
      <c r="T89" s="65"/>
      <c r="U89" s="65"/>
      <c r="V89" s="65"/>
      <c r="W89" s="65"/>
      <c r="X89" s="65"/>
      <c r="Y89" s="65"/>
      <c r="Z89" s="65"/>
      <c r="AA89" s="65"/>
      <c r="AB89" s="65"/>
      <c r="AC89" s="65"/>
      <c r="AD89" s="65">
        <v>-303420.0</v>
      </c>
      <c r="AE89" s="65">
        <v>-303420.0</v>
      </c>
      <c r="AF89" s="65">
        <v>-303420.0</v>
      </c>
      <c r="AG89" s="65">
        <v>-303420.0</v>
      </c>
      <c r="AH89" s="65">
        <v>-303420.0</v>
      </c>
      <c r="AI89" s="65">
        <v>-411045.0</v>
      </c>
      <c r="AJ89" s="65">
        <v>-635102.0</v>
      </c>
      <c r="AK89" s="65">
        <v>-660485.0</v>
      </c>
      <c r="AL89" s="65">
        <v>-660485.0</v>
      </c>
      <c r="AM89" s="65">
        <v>-684099.0</v>
      </c>
      <c r="AN89" s="65">
        <v>-684099.0</v>
      </c>
      <c r="AO89" s="65">
        <v>-994395.0</v>
      </c>
      <c r="AP89" s="85">
        <v>-515984.0</v>
      </c>
      <c r="AQ89" s="85">
        <v>-451214.0</v>
      </c>
      <c r="AR89" s="85">
        <v>-451214.0</v>
      </c>
      <c r="AS89" s="85">
        <v>-451214.0</v>
      </c>
      <c r="AT89" s="85">
        <v>-451214.0</v>
      </c>
      <c r="AU89" s="85">
        <v>-451214.0</v>
      </c>
      <c r="AV89" s="85">
        <v>-451214.0</v>
      </c>
      <c r="AW89" s="85">
        <v>-451214.0</v>
      </c>
      <c r="AX89" s="85">
        <v>-451214.0</v>
      </c>
      <c r="AY89" s="85">
        <v>-451214.0</v>
      </c>
      <c r="AZ89" s="85">
        <v>-451214.0</v>
      </c>
      <c r="BA89" s="85">
        <v>-451240.0</v>
      </c>
      <c r="BB89" s="85"/>
      <c r="BC89" s="85"/>
      <c r="BD89" s="85"/>
      <c r="BE89" s="85"/>
      <c r="BF89" s="85"/>
      <c r="BG89" s="85"/>
      <c r="BH89" s="85"/>
      <c r="BI89" s="85"/>
      <c r="BJ89" s="85"/>
      <c r="BK89" s="85"/>
      <c r="BL89" s="85"/>
      <c r="BM89" s="85"/>
      <c r="BN89" s="85"/>
      <c r="BO89" s="85"/>
      <c r="BP89" s="85"/>
      <c r="BQ89" s="85"/>
      <c r="BR89" s="85"/>
      <c r="BS89" s="85"/>
      <c r="BT89" s="85"/>
      <c r="BU89" s="85"/>
      <c r="BV89" s="85"/>
      <c r="BW89" s="85"/>
      <c r="BX89" s="85"/>
      <c r="BY89" s="85"/>
      <c r="BZ89" s="85"/>
      <c r="CA89" s="85"/>
      <c r="CB89" s="85"/>
      <c r="CC89" s="85"/>
      <c r="CD89" s="85"/>
      <c r="CE89" s="85"/>
      <c r="CF89" s="85"/>
      <c r="CG89" s="85"/>
      <c r="CH89" s="85"/>
      <c r="CI89" s="85"/>
      <c r="CJ89" s="85"/>
      <c r="CK89" s="85"/>
      <c r="CL89" s="61"/>
      <c r="CM89" s="38" t="s">
        <v>334</v>
      </c>
      <c r="CN89" s="61"/>
      <c r="CO89" s="61"/>
      <c r="CP89" s="61"/>
    </row>
    <row r="90" ht="15.75" customHeight="1">
      <c r="A90" s="75"/>
      <c r="B90" s="59" t="str">
        <f t="array" ref="B90">XLOOKUP(D90, 'マスタ'!$C$2:$C$1000, 'マスタ'!$D$2:$D$1000, "マスタ未登録")</f>
        <v>敷金償却</v>
      </c>
      <c r="C90" s="53" t="str">
        <f>IF(AND(D90&lt;&gt;"", COUNTIF('マスタ'!$C:$C, D90)=0), "マスタ未登録", "")</f>
        <v/>
      </c>
      <c r="D90" s="84" t="str">
        <f t="shared" si="2"/>
        <v>敷金償却</v>
      </c>
      <c r="E90" s="65" t="s">
        <v>333</v>
      </c>
      <c r="F90" s="65" t="s">
        <v>180</v>
      </c>
      <c r="G90" s="65"/>
      <c r="H90" s="65"/>
      <c r="I90" s="65" t="s">
        <v>328</v>
      </c>
      <c r="J90" s="65" t="s">
        <v>344</v>
      </c>
      <c r="K90" s="65"/>
      <c r="L90" s="65"/>
      <c r="M90" s="65"/>
      <c r="N90" s="65"/>
      <c r="O90" s="65"/>
      <c r="P90" s="65"/>
      <c r="Q90" s="65"/>
      <c r="R90" s="65"/>
      <c r="S90" s="65"/>
      <c r="T90" s="65"/>
      <c r="U90" s="65"/>
      <c r="V90" s="65"/>
      <c r="W90" s="65"/>
      <c r="X90" s="65"/>
      <c r="Y90" s="65"/>
      <c r="Z90" s="65"/>
      <c r="AA90" s="65"/>
      <c r="AB90" s="65"/>
      <c r="AC90" s="65"/>
      <c r="AD90" s="65">
        <v>0.0</v>
      </c>
      <c r="AE90" s="65">
        <v>0.0</v>
      </c>
      <c r="AF90" s="65">
        <v>0.0</v>
      </c>
      <c r="AG90" s="65">
        <v>0.0</v>
      </c>
      <c r="AH90" s="65">
        <v>0.0</v>
      </c>
      <c r="AI90" s="65">
        <v>0.0</v>
      </c>
      <c r="AJ90" s="65">
        <v>0.0</v>
      </c>
      <c r="AK90" s="65">
        <v>0.0</v>
      </c>
      <c r="AL90" s="65">
        <v>0.0</v>
      </c>
      <c r="AM90" s="65">
        <v>0.0</v>
      </c>
      <c r="AN90" s="65">
        <v>0.0</v>
      </c>
      <c r="AO90" s="65">
        <v>0.0</v>
      </c>
      <c r="AP90" s="85">
        <v>0.0</v>
      </c>
      <c r="AQ90" s="85">
        <v>0.0</v>
      </c>
      <c r="AR90" s="85">
        <v>0.0</v>
      </c>
      <c r="AS90" s="85">
        <v>0.0</v>
      </c>
      <c r="AT90" s="85">
        <v>0.0</v>
      </c>
      <c r="AU90" s="85">
        <v>0.0</v>
      </c>
      <c r="AV90" s="85">
        <v>0.0</v>
      </c>
      <c r="AW90" s="85">
        <v>0.0</v>
      </c>
      <c r="AX90" s="85">
        <v>0.0</v>
      </c>
      <c r="AY90" s="85">
        <v>0.0</v>
      </c>
      <c r="AZ90" s="85">
        <v>0.0</v>
      </c>
      <c r="BA90" s="85">
        <v>0.0</v>
      </c>
      <c r="BB90" s="85"/>
      <c r="BC90" s="85"/>
      <c r="BD90" s="85"/>
      <c r="BE90" s="85"/>
      <c r="BF90" s="85"/>
      <c r="BG90" s="85"/>
      <c r="BH90" s="85"/>
      <c r="BI90" s="85"/>
      <c r="BJ90" s="85"/>
      <c r="BK90" s="85"/>
      <c r="BL90" s="85"/>
      <c r="BM90" s="85"/>
      <c r="BN90" s="85"/>
      <c r="BO90" s="85"/>
      <c r="BP90" s="85"/>
      <c r="BQ90" s="85"/>
      <c r="BR90" s="85"/>
      <c r="BS90" s="85"/>
      <c r="BT90" s="85"/>
      <c r="BU90" s="85"/>
      <c r="BV90" s="85"/>
      <c r="BW90" s="85"/>
      <c r="BX90" s="85"/>
      <c r="BY90" s="85"/>
      <c r="BZ90" s="85"/>
      <c r="CA90" s="85"/>
      <c r="CB90" s="85"/>
      <c r="CC90" s="85"/>
      <c r="CD90" s="85"/>
      <c r="CE90" s="85"/>
      <c r="CF90" s="85"/>
      <c r="CG90" s="85"/>
      <c r="CH90" s="85"/>
      <c r="CI90" s="85"/>
      <c r="CJ90" s="85"/>
      <c r="CK90" s="85"/>
      <c r="CL90" s="61"/>
      <c r="CM90" s="38" t="s">
        <v>180</v>
      </c>
      <c r="CN90" s="61"/>
      <c r="CO90" s="61"/>
      <c r="CP90" s="61"/>
    </row>
    <row r="91" ht="15.75" customHeight="1">
      <c r="A91" s="75"/>
      <c r="B91" s="59" t="str">
        <f t="array" ref="B91">XLOOKUP(D91, 'マスタ'!$C$2:$C$1000, 'マスタ'!$D$2:$D$1000, "マスタ未登録")</f>
        <v>租税公課</v>
      </c>
      <c r="C91" s="53" t="str">
        <f>IF(AND(D91&lt;&gt;"", COUNTIF('マスタ'!$C:$C, D91)=0), "マスタ未登録", "")</f>
        <v/>
      </c>
      <c r="D91" s="84" t="str">
        <f t="shared" si="2"/>
        <v>租税公課</v>
      </c>
      <c r="E91" s="65" t="s">
        <v>333</v>
      </c>
      <c r="F91" s="65" t="s">
        <v>91</v>
      </c>
      <c r="G91" s="65"/>
      <c r="H91" s="65"/>
      <c r="I91" s="65" t="s">
        <v>328</v>
      </c>
      <c r="J91" s="65" t="s">
        <v>344</v>
      </c>
      <c r="K91" s="65"/>
      <c r="L91" s="65"/>
      <c r="M91" s="65"/>
      <c r="N91" s="65"/>
      <c r="O91" s="65"/>
      <c r="P91" s="65"/>
      <c r="Q91" s="65"/>
      <c r="R91" s="65"/>
      <c r="S91" s="65"/>
      <c r="T91" s="65"/>
      <c r="U91" s="65"/>
      <c r="V91" s="65"/>
      <c r="W91" s="65"/>
      <c r="X91" s="65"/>
      <c r="Y91" s="65"/>
      <c r="Z91" s="65"/>
      <c r="AA91" s="65"/>
      <c r="AB91" s="65"/>
      <c r="AC91" s="65"/>
      <c r="AD91" s="65">
        <v>-400.0</v>
      </c>
      <c r="AE91" s="65">
        <v>-99500.0</v>
      </c>
      <c r="AF91" s="65">
        <v>-51000.0</v>
      </c>
      <c r="AG91" s="65">
        <v>-11200.0</v>
      </c>
      <c r="AH91" s="65">
        <v>-1880.0</v>
      </c>
      <c r="AI91" s="65">
        <v>-4000.0</v>
      </c>
      <c r="AJ91" s="65">
        <v>0.0</v>
      </c>
      <c r="AK91" s="65">
        <v>-2190.0</v>
      </c>
      <c r="AL91" s="65">
        <v>-400.0</v>
      </c>
      <c r="AM91" s="65">
        <v>-4000.0</v>
      </c>
      <c r="AN91" s="65">
        <v>-600.0</v>
      </c>
      <c r="AO91" s="65">
        <v>-14850.0</v>
      </c>
      <c r="AP91" s="85">
        <v>-20900.0</v>
      </c>
      <c r="AQ91" s="85">
        <v>-14597.0</v>
      </c>
      <c r="AR91" s="85">
        <v>-14597.0</v>
      </c>
      <c r="AS91" s="85">
        <v>-14597.0</v>
      </c>
      <c r="AT91" s="85">
        <v>-14597.0</v>
      </c>
      <c r="AU91" s="85">
        <v>-14597.0</v>
      </c>
      <c r="AV91" s="85">
        <v>-14597.0</v>
      </c>
      <c r="AW91" s="85">
        <v>-14597.0</v>
      </c>
      <c r="AX91" s="85">
        <v>-14597.0</v>
      </c>
      <c r="AY91" s="85">
        <v>-14597.0</v>
      </c>
      <c r="AZ91" s="85">
        <v>-14597.0</v>
      </c>
      <c r="BA91" s="85">
        <v>-14603.0</v>
      </c>
      <c r="BB91" s="85"/>
      <c r="BC91" s="85"/>
      <c r="BD91" s="85"/>
      <c r="BE91" s="85"/>
      <c r="BF91" s="85"/>
      <c r="BG91" s="85"/>
      <c r="BH91" s="85"/>
      <c r="BI91" s="85"/>
      <c r="BJ91" s="85"/>
      <c r="BK91" s="85"/>
      <c r="BL91" s="85"/>
      <c r="BM91" s="85"/>
      <c r="BN91" s="85"/>
      <c r="BO91" s="85"/>
      <c r="BP91" s="85"/>
      <c r="BQ91" s="85"/>
      <c r="BR91" s="85"/>
      <c r="BS91" s="85"/>
      <c r="BT91" s="85"/>
      <c r="BU91" s="85"/>
      <c r="BV91" s="85"/>
      <c r="BW91" s="85"/>
      <c r="BX91" s="85"/>
      <c r="BY91" s="85"/>
      <c r="BZ91" s="85"/>
      <c r="CA91" s="85"/>
      <c r="CB91" s="85"/>
      <c r="CC91" s="85"/>
      <c r="CD91" s="85"/>
      <c r="CE91" s="85"/>
      <c r="CF91" s="85"/>
      <c r="CG91" s="85"/>
      <c r="CH91" s="85"/>
      <c r="CI91" s="85"/>
      <c r="CJ91" s="85"/>
      <c r="CK91" s="85"/>
      <c r="CL91" s="61"/>
      <c r="CM91" s="38" t="s">
        <v>91</v>
      </c>
      <c r="CN91" s="61"/>
      <c r="CO91" s="61"/>
      <c r="CP91" s="61"/>
    </row>
    <row r="92" ht="15.75" customHeight="1">
      <c r="A92" s="75"/>
      <c r="B92" s="59" t="str">
        <f t="array" ref="B92">XLOOKUP(D92, 'マスタ'!$C$2:$C$1000, 'マスタ'!$D$2:$D$1000, "マスタ未登録")</f>
        <v>消耗品費</v>
      </c>
      <c r="C92" s="53" t="str">
        <f>IF(AND(D92&lt;&gt;"", COUNTIF('マスタ'!$C:$C, D92)=0), "マスタ未登録", "")</f>
        <v/>
      </c>
      <c r="D92" s="84" t="str">
        <f t="shared" si="2"/>
        <v>消耗品費</v>
      </c>
      <c r="E92" s="65" t="s">
        <v>333</v>
      </c>
      <c r="F92" s="65" t="s">
        <v>86</v>
      </c>
      <c r="G92" s="65"/>
      <c r="H92" s="65"/>
      <c r="I92" s="65" t="s">
        <v>328</v>
      </c>
      <c r="J92" s="65" t="s">
        <v>344</v>
      </c>
      <c r="K92" s="65"/>
      <c r="L92" s="65"/>
      <c r="M92" s="65"/>
      <c r="N92" s="65"/>
      <c r="O92" s="65"/>
      <c r="P92" s="65"/>
      <c r="Q92" s="65"/>
      <c r="R92" s="65"/>
      <c r="S92" s="65"/>
      <c r="T92" s="65"/>
      <c r="U92" s="65"/>
      <c r="V92" s="65"/>
      <c r="W92" s="65"/>
      <c r="X92" s="65"/>
      <c r="Y92" s="65"/>
      <c r="Z92" s="65"/>
      <c r="AA92" s="65"/>
      <c r="AB92" s="65"/>
      <c r="AC92" s="65"/>
      <c r="AD92" s="65">
        <v>-314344.0</v>
      </c>
      <c r="AE92" s="65">
        <v>-307970.0</v>
      </c>
      <c r="AF92" s="65">
        <v>-314667.0</v>
      </c>
      <c r="AG92" s="65">
        <v>-385233.0</v>
      </c>
      <c r="AH92" s="65">
        <v>-303924.0</v>
      </c>
      <c r="AI92" s="65">
        <v>-480204.0</v>
      </c>
      <c r="AJ92" s="65">
        <v>-646318.0</v>
      </c>
      <c r="AK92" s="65">
        <v>-501272.0</v>
      </c>
      <c r="AL92" s="65">
        <v>-814881.0</v>
      </c>
      <c r="AM92" s="65">
        <v>-261969.0</v>
      </c>
      <c r="AN92" s="65">
        <v>-495818.0</v>
      </c>
      <c r="AO92" s="65">
        <v>-1798609.0</v>
      </c>
      <c r="AP92" s="85">
        <v>-471563.0</v>
      </c>
      <c r="AQ92" s="85">
        <v>-427466.0</v>
      </c>
      <c r="AR92" s="85">
        <v>-427466.0</v>
      </c>
      <c r="AS92" s="85">
        <v>-427466.0</v>
      </c>
      <c r="AT92" s="85">
        <v>-427466.0</v>
      </c>
      <c r="AU92" s="85">
        <v>-427466.0</v>
      </c>
      <c r="AV92" s="85">
        <v>-427466.0</v>
      </c>
      <c r="AW92" s="85">
        <v>-427466.0</v>
      </c>
      <c r="AX92" s="85">
        <v>-427466.0</v>
      </c>
      <c r="AY92" s="85">
        <v>-427466.0</v>
      </c>
      <c r="AZ92" s="85">
        <v>-427466.0</v>
      </c>
      <c r="BA92" s="85">
        <v>-427479.0</v>
      </c>
      <c r="BB92" s="85"/>
      <c r="BC92" s="85"/>
      <c r="BD92" s="85"/>
      <c r="BE92" s="85"/>
      <c r="BF92" s="85"/>
      <c r="BG92" s="85"/>
      <c r="BH92" s="85"/>
      <c r="BI92" s="85"/>
      <c r="BJ92" s="85"/>
      <c r="BK92" s="85"/>
      <c r="BL92" s="85"/>
      <c r="BM92" s="85"/>
      <c r="BN92" s="85"/>
      <c r="BO92" s="85"/>
      <c r="BP92" s="85"/>
      <c r="BQ92" s="85"/>
      <c r="BR92" s="85"/>
      <c r="BS92" s="85"/>
      <c r="BT92" s="85"/>
      <c r="BU92" s="85"/>
      <c r="BV92" s="85"/>
      <c r="BW92" s="85"/>
      <c r="BX92" s="85"/>
      <c r="BY92" s="85"/>
      <c r="BZ92" s="85"/>
      <c r="CA92" s="85"/>
      <c r="CB92" s="85"/>
      <c r="CC92" s="85"/>
      <c r="CD92" s="85"/>
      <c r="CE92" s="85"/>
      <c r="CF92" s="85"/>
      <c r="CG92" s="85"/>
      <c r="CH92" s="85"/>
      <c r="CI92" s="85"/>
      <c r="CJ92" s="85"/>
      <c r="CK92" s="85"/>
      <c r="CL92" s="61"/>
      <c r="CM92" s="38" t="s">
        <v>86</v>
      </c>
      <c r="CN92" s="61"/>
      <c r="CO92" s="61"/>
      <c r="CP92" s="61"/>
    </row>
    <row r="93" ht="15.75" customHeight="1">
      <c r="A93" s="75"/>
      <c r="B93" s="59" t="str">
        <f t="array" ref="B93">XLOOKUP(D93, 'マスタ'!$C$2:$C$1000, 'マスタ'!$D$2:$D$1000, "マスタ未登録")</f>
        <v>通信費</v>
      </c>
      <c r="C93" s="53" t="str">
        <f>IF(AND(D93&lt;&gt;"", COUNTIF('マスタ'!$C:$C, D93)=0), "マスタ未登録", "")</f>
        <v/>
      </c>
      <c r="D93" s="84" t="str">
        <f t="shared" si="2"/>
        <v>通信費</v>
      </c>
      <c r="E93" s="65" t="s">
        <v>333</v>
      </c>
      <c r="F93" s="65" t="s">
        <v>84</v>
      </c>
      <c r="G93" s="65"/>
      <c r="H93" s="65"/>
      <c r="I93" s="65" t="s">
        <v>328</v>
      </c>
      <c r="J93" s="65" t="s">
        <v>344</v>
      </c>
      <c r="K93" s="65"/>
      <c r="L93" s="65"/>
      <c r="M93" s="65"/>
      <c r="N93" s="65"/>
      <c r="O93" s="65"/>
      <c r="P93" s="65"/>
      <c r="Q93" s="65"/>
      <c r="R93" s="65"/>
      <c r="S93" s="65"/>
      <c r="T93" s="65"/>
      <c r="U93" s="65"/>
      <c r="V93" s="65"/>
      <c r="W93" s="65"/>
      <c r="X93" s="65"/>
      <c r="Y93" s="65"/>
      <c r="Z93" s="65"/>
      <c r="AA93" s="65"/>
      <c r="AB93" s="65"/>
      <c r="AC93" s="65"/>
      <c r="AD93" s="65">
        <v>-859646.0</v>
      </c>
      <c r="AE93" s="65">
        <v>-874916.0</v>
      </c>
      <c r="AF93" s="65">
        <v>-903918.0</v>
      </c>
      <c r="AG93" s="65">
        <v>-385115.0</v>
      </c>
      <c r="AH93" s="65">
        <v>-495419.0</v>
      </c>
      <c r="AI93" s="65">
        <v>-364231.0</v>
      </c>
      <c r="AJ93" s="65">
        <v>-509721.0</v>
      </c>
      <c r="AK93" s="65">
        <v>-322284.0</v>
      </c>
      <c r="AL93" s="65">
        <v>-343966.0</v>
      </c>
      <c r="AM93" s="65">
        <v>-309222.0</v>
      </c>
      <c r="AN93" s="65">
        <v>-418581.0</v>
      </c>
      <c r="AO93" s="65">
        <v>-256839.0</v>
      </c>
      <c r="AP93" s="85">
        <v>-328955.0</v>
      </c>
      <c r="AQ93" s="85">
        <v>-495090.0</v>
      </c>
      <c r="AR93" s="85">
        <v>-495090.0</v>
      </c>
      <c r="AS93" s="85">
        <v>-495090.0</v>
      </c>
      <c r="AT93" s="85">
        <v>-495090.0</v>
      </c>
      <c r="AU93" s="85">
        <v>-495090.0</v>
      </c>
      <c r="AV93" s="85">
        <v>-495090.0</v>
      </c>
      <c r="AW93" s="85">
        <v>-495090.0</v>
      </c>
      <c r="AX93" s="85">
        <v>-495090.0</v>
      </c>
      <c r="AY93" s="85">
        <v>-495090.0</v>
      </c>
      <c r="AZ93" s="85">
        <v>-495090.0</v>
      </c>
      <c r="BA93" s="85">
        <v>-495119.0</v>
      </c>
      <c r="BB93" s="85"/>
      <c r="BC93" s="85"/>
      <c r="BD93" s="85"/>
      <c r="BE93" s="85"/>
      <c r="BF93" s="85"/>
      <c r="BG93" s="85"/>
      <c r="BH93" s="85"/>
      <c r="BI93" s="85"/>
      <c r="BJ93" s="85"/>
      <c r="BK93" s="85"/>
      <c r="BL93" s="85"/>
      <c r="BM93" s="85"/>
      <c r="BN93" s="85"/>
      <c r="BO93" s="85"/>
      <c r="BP93" s="85"/>
      <c r="BQ93" s="85"/>
      <c r="BR93" s="85"/>
      <c r="BS93" s="85"/>
      <c r="BT93" s="85"/>
      <c r="BU93" s="85"/>
      <c r="BV93" s="85"/>
      <c r="BW93" s="85"/>
      <c r="BX93" s="85"/>
      <c r="BY93" s="85"/>
      <c r="BZ93" s="85"/>
      <c r="CA93" s="85"/>
      <c r="CB93" s="85"/>
      <c r="CC93" s="85"/>
      <c r="CD93" s="85"/>
      <c r="CE93" s="85"/>
      <c r="CF93" s="85"/>
      <c r="CG93" s="85"/>
      <c r="CH93" s="85"/>
      <c r="CI93" s="85"/>
      <c r="CJ93" s="85"/>
      <c r="CK93" s="85"/>
      <c r="CL93" s="61"/>
      <c r="CM93" s="38" t="s">
        <v>84</v>
      </c>
      <c r="CN93" s="61"/>
      <c r="CO93" s="61"/>
      <c r="CP93" s="61"/>
    </row>
    <row r="94" ht="15.75" customHeight="1">
      <c r="A94" s="75"/>
      <c r="B94" s="59" t="str">
        <f t="array" ref="B94">XLOOKUP(D94, 'マスタ'!$C$2:$C$1000, 'マスタ'!$D$2:$D$1000, "マスタ未登録")</f>
        <v>旅費交通費</v>
      </c>
      <c r="C94" s="53" t="str">
        <f>IF(AND(D94&lt;&gt;"", COUNTIF('マスタ'!$C:$C, D94)=0), "マスタ未登録", "")</f>
        <v/>
      </c>
      <c r="D94" s="84" t="str">
        <f t="shared" si="2"/>
        <v>旅費交通費</v>
      </c>
      <c r="E94" s="65" t="s">
        <v>333</v>
      </c>
      <c r="F94" s="65" t="s">
        <v>83</v>
      </c>
      <c r="G94" s="65"/>
      <c r="H94" s="65"/>
      <c r="I94" s="65" t="s">
        <v>328</v>
      </c>
      <c r="J94" s="65" t="s">
        <v>344</v>
      </c>
      <c r="K94" s="65"/>
      <c r="L94" s="65"/>
      <c r="M94" s="65"/>
      <c r="N94" s="65"/>
      <c r="O94" s="65"/>
      <c r="P94" s="65"/>
      <c r="Q94" s="65"/>
      <c r="R94" s="65"/>
      <c r="S94" s="65"/>
      <c r="T94" s="65"/>
      <c r="U94" s="65"/>
      <c r="V94" s="65"/>
      <c r="W94" s="65"/>
      <c r="X94" s="65"/>
      <c r="Y94" s="65"/>
      <c r="Z94" s="65"/>
      <c r="AA94" s="65"/>
      <c r="AB94" s="65"/>
      <c r="AC94" s="65"/>
      <c r="AD94" s="65">
        <v>-773629.0</v>
      </c>
      <c r="AE94" s="65">
        <v>-938854.0</v>
      </c>
      <c r="AF94" s="65">
        <v>-942432.0</v>
      </c>
      <c r="AG94" s="65">
        <v>-1504558.0</v>
      </c>
      <c r="AH94" s="65">
        <v>-890529.0</v>
      </c>
      <c r="AI94" s="65">
        <v>-1603891.0</v>
      </c>
      <c r="AJ94" s="65">
        <v>-1767005.0</v>
      </c>
      <c r="AK94" s="65">
        <v>-1079541.0</v>
      </c>
      <c r="AL94" s="65">
        <v>-1143654.0</v>
      </c>
      <c r="AM94" s="65">
        <v>-626013.0</v>
      </c>
      <c r="AN94" s="65">
        <v>-1017917.0</v>
      </c>
      <c r="AO94" s="65">
        <v>-3929222.0</v>
      </c>
      <c r="AP94" s="85">
        <v>-1237050.0</v>
      </c>
      <c r="AQ94" s="85">
        <v>-1142006.0</v>
      </c>
      <c r="AR94" s="85">
        <v>-1142006.0</v>
      </c>
      <c r="AS94" s="85">
        <v>-1142006.0</v>
      </c>
      <c r="AT94" s="85">
        <v>-1142006.0</v>
      </c>
      <c r="AU94" s="85">
        <v>-1142006.0</v>
      </c>
      <c r="AV94" s="85">
        <v>-1142006.0</v>
      </c>
      <c r="AW94" s="85">
        <v>-1142006.0</v>
      </c>
      <c r="AX94" s="85">
        <v>-1142006.0</v>
      </c>
      <c r="AY94" s="85">
        <v>-1142006.0</v>
      </c>
      <c r="AZ94" s="85">
        <v>-1142006.0</v>
      </c>
      <c r="BA94" s="85">
        <v>-1142053.0</v>
      </c>
      <c r="BB94" s="85"/>
      <c r="BC94" s="85"/>
      <c r="BD94" s="85"/>
      <c r="BE94" s="85"/>
      <c r="BF94" s="85"/>
      <c r="BG94" s="85"/>
      <c r="BH94" s="85"/>
      <c r="BI94" s="85"/>
      <c r="BJ94" s="85"/>
      <c r="BK94" s="85"/>
      <c r="BL94" s="85"/>
      <c r="BM94" s="85"/>
      <c r="BN94" s="85"/>
      <c r="BO94" s="85"/>
      <c r="BP94" s="85"/>
      <c r="BQ94" s="85"/>
      <c r="BR94" s="85"/>
      <c r="BS94" s="85"/>
      <c r="BT94" s="85"/>
      <c r="BU94" s="85"/>
      <c r="BV94" s="85"/>
      <c r="BW94" s="85"/>
      <c r="BX94" s="85"/>
      <c r="BY94" s="85"/>
      <c r="BZ94" s="85"/>
      <c r="CA94" s="85"/>
      <c r="CB94" s="85"/>
      <c r="CC94" s="85"/>
      <c r="CD94" s="85"/>
      <c r="CE94" s="85"/>
      <c r="CF94" s="85"/>
      <c r="CG94" s="85"/>
      <c r="CH94" s="85"/>
      <c r="CI94" s="85"/>
      <c r="CJ94" s="85"/>
      <c r="CK94" s="85"/>
      <c r="CL94" s="61"/>
      <c r="CM94" s="38" t="s">
        <v>83</v>
      </c>
      <c r="CN94" s="61"/>
      <c r="CO94" s="61"/>
      <c r="CP94" s="61"/>
    </row>
    <row r="95" ht="15.75" customHeight="1">
      <c r="A95" s="75"/>
      <c r="B95" s="59" t="str">
        <f t="array" ref="B95">XLOOKUP(D95, 'マスタ'!$C$2:$C$1000, 'マスタ'!$D$2:$D$1000, "マスタ未登録")</f>
        <v>支払報酬</v>
      </c>
      <c r="C95" s="53" t="str">
        <f>IF(AND(D95&lt;&gt;"", COUNTIF('マスタ'!$C:$C, D95)=0), "マスタ未登録", "")</f>
        <v/>
      </c>
      <c r="D95" s="84" t="str">
        <f t="shared" si="2"/>
        <v>支払報酬料</v>
      </c>
      <c r="E95" s="65" t="s">
        <v>333</v>
      </c>
      <c r="F95" s="65" t="s">
        <v>239</v>
      </c>
      <c r="G95" s="65"/>
      <c r="H95" s="65"/>
      <c r="I95" s="65" t="s">
        <v>328</v>
      </c>
      <c r="J95" s="65" t="s">
        <v>344</v>
      </c>
      <c r="K95" s="65"/>
      <c r="L95" s="65"/>
      <c r="M95" s="65"/>
      <c r="N95" s="65"/>
      <c r="O95" s="65"/>
      <c r="P95" s="65"/>
      <c r="Q95" s="65"/>
      <c r="R95" s="65"/>
      <c r="S95" s="65"/>
      <c r="T95" s="65"/>
      <c r="U95" s="65"/>
      <c r="V95" s="65"/>
      <c r="W95" s="65"/>
      <c r="X95" s="65"/>
      <c r="Y95" s="65"/>
      <c r="Z95" s="65"/>
      <c r="AA95" s="65"/>
      <c r="AB95" s="65"/>
      <c r="AC95" s="65"/>
      <c r="AD95" s="65">
        <v>0.0</v>
      </c>
      <c r="AE95" s="65">
        <v>0.0</v>
      </c>
      <c r="AF95" s="65">
        <v>0.0</v>
      </c>
      <c r="AG95" s="65">
        <v>0.0</v>
      </c>
      <c r="AH95" s="65">
        <v>0.0</v>
      </c>
      <c r="AI95" s="65">
        <v>0.0</v>
      </c>
      <c r="AJ95" s="65">
        <v>0.0</v>
      </c>
      <c r="AK95" s="65">
        <v>0.0</v>
      </c>
      <c r="AL95" s="65">
        <v>0.0</v>
      </c>
      <c r="AM95" s="65">
        <v>0.0</v>
      </c>
      <c r="AN95" s="65">
        <v>0.0</v>
      </c>
      <c r="AO95" s="65">
        <v>-100000.0</v>
      </c>
      <c r="AP95" s="85">
        <v>-100000.0</v>
      </c>
      <c r="AQ95" s="85">
        <v>0.0</v>
      </c>
      <c r="AR95" s="85">
        <v>0.0</v>
      </c>
      <c r="AS95" s="85">
        <v>0.0</v>
      </c>
      <c r="AT95" s="85">
        <v>0.0</v>
      </c>
      <c r="AU95" s="85">
        <v>0.0</v>
      </c>
      <c r="AV95" s="85">
        <v>0.0</v>
      </c>
      <c r="AW95" s="85">
        <v>0.0</v>
      </c>
      <c r="AX95" s="85">
        <v>0.0</v>
      </c>
      <c r="AY95" s="85">
        <v>0.0</v>
      </c>
      <c r="AZ95" s="85">
        <v>0.0</v>
      </c>
      <c r="BA95" s="85">
        <v>0.0</v>
      </c>
      <c r="BB95" s="85"/>
      <c r="BC95" s="85"/>
      <c r="BD95" s="85"/>
      <c r="BE95" s="85"/>
      <c r="BF95" s="85"/>
      <c r="BG95" s="85"/>
      <c r="BH95" s="85"/>
      <c r="BI95" s="85"/>
      <c r="BJ95" s="85"/>
      <c r="BK95" s="85"/>
      <c r="BL95" s="85"/>
      <c r="BM95" s="85"/>
      <c r="BN95" s="85"/>
      <c r="BO95" s="85"/>
      <c r="BP95" s="85"/>
      <c r="BQ95" s="85"/>
      <c r="BR95" s="85"/>
      <c r="BS95" s="85"/>
      <c r="BT95" s="85"/>
      <c r="BU95" s="85"/>
      <c r="BV95" s="85"/>
      <c r="BW95" s="85"/>
      <c r="BX95" s="85"/>
      <c r="BY95" s="85"/>
      <c r="BZ95" s="85"/>
      <c r="CA95" s="85"/>
      <c r="CB95" s="85"/>
      <c r="CC95" s="85"/>
      <c r="CD95" s="85"/>
      <c r="CE95" s="85"/>
      <c r="CF95" s="85"/>
      <c r="CG95" s="85"/>
      <c r="CH95" s="85"/>
      <c r="CI95" s="85"/>
      <c r="CJ95" s="85"/>
      <c r="CK95" s="85"/>
      <c r="CL95" s="61"/>
      <c r="CM95" s="38" t="s">
        <v>239</v>
      </c>
      <c r="CN95" s="61"/>
      <c r="CO95" s="61"/>
      <c r="CP95" s="61"/>
    </row>
    <row r="96" ht="15.75" customHeight="1">
      <c r="A96" s="75"/>
      <c r="B96" s="59" t="str">
        <f t="array" ref="B96">XLOOKUP(D96, 'マスタ'!$C$2:$C$1000, 'マスタ'!$D$2:$D$1000, "マスタ未登録")</f>
        <v>接待交際費</v>
      </c>
      <c r="C96" s="53" t="str">
        <f>IF(AND(D96&lt;&gt;"", COUNTIF('マスタ'!$C:$C, D96)=0), "マスタ未登録", "")</f>
        <v/>
      </c>
      <c r="D96" s="84" t="str">
        <f t="shared" si="2"/>
        <v>会議・交際費</v>
      </c>
      <c r="E96" s="65" t="s">
        <v>333</v>
      </c>
      <c r="F96" s="65" t="s">
        <v>335</v>
      </c>
      <c r="G96" s="65"/>
      <c r="H96" s="65"/>
      <c r="I96" s="65" t="s">
        <v>328</v>
      </c>
      <c r="J96" s="65" t="s">
        <v>344</v>
      </c>
      <c r="K96" s="65"/>
      <c r="L96" s="65"/>
      <c r="M96" s="65"/>
      <c r="N96" s="65"/>
      <c r="O96" s="65"/>
      <c r="P96" s="65"/>
      <c r="Q96" s="65"/>
      <c r="R96" s="65"/>
      <c r="S96" s="65"/>
      <c r="T96" s="65"/>
      <c r="U96" s="65"/>
      <c r="V96" s="65"/>
      <c r="W96" s="65"/>
      <c r="X96" s="65"/>
      <c r="Y96" s="65"/>
      <c r="Z96" s="65"/>
      <c r="AA96" s="65"/>
      <c r="AB96" s="65"/>
      <c r="AC96" s="65"/>
      <c r="AD96" s="65">
        <v>-806967.0</v>
      </c>
      <c r="AE96" s="65">
        <v>-1014732.0</v>
      </c>
      <c r="AF96" s="65">
        <v>-816117.0</v>
      </c>
      <c r="AG96" s="65">
        <v>-1129605.0</v>
      </c>
      <c r="AH96" s="65">
        <v>-908896.0</v>
      </c>
      <c r="AI96" s="65">
        <v>-1010519.0</v>
      </c>
      <c r="AJ96" s="65">
        <v>-1197928.0</v>
      </c>
      <c r="AK96" s="65">
        <v>-966321.0</v>
      </c>
      <c r="AL96" s="65">
        <v>-1607293.0</v>
      </c>
      <c r="AM96" s="65">
        <v>-951529.0</v>
      </c>
      <c r="AN96" s="65">
        <v>-484017.0</v>
      </c>
      <c r="AO96" s="65">
        <v>-947195.0</v>
      </c>
      <c r="AP96" s="85">
        <v>-1226028.0</v>
      </c>
      <c r="AQ96" s="85">
        <v>-954331.0</v>
      </c>
      <c r="AR96" s="85">
        <v>-954331.0</v>
      </c>
      <c r="AS96" s="85">
        <v>-954331.0</v>
      </c>
      <c r="AT96" s="85">
        <v>-954331.0</v>
      </c>
      <c r="AU96" s="85">
        <v>-954331.0</v>
      </c>
      <c r="AV96" s="85">
        <v>-954331.0</v>
      </c>
      <c r="AW96" s="85">
        <v>-954331.0</v>
      </c>
      <c r="AX96" s="85">
        <v>-954331.0</v>
      </c>
      <c r="AY96" s="85">
        <v>-954331.0</v>
      </c>
      <c r="AZ96" s="85">
        <v>-954331.0</v>
      </c>
      <c r="BA96" s="85">
        <v>-954418.0</v>
      </c>
      <c r="BB96" s="85"/>
      <c r="BC96" s="85"/>
      <c r="BD96" s="85"/>
      <c r="BE96" s="85"/>
      <c r="BF96" s="85"/>
      <c r="BG96" s="85"/>
      <c r="BH96" s="85"/>
      <c r="BI96" s="85"/>
      <c r="BJ96" s="85"/>
      <c r="BK96" s="85"/>
      <c r="BL96" s="85"/>
      <c r="BM96" s="85"/>
      <c r="BN96" s="85"/>
      <c r="BO96" s="85"/>
      <c r="BP96" s="85"/>
      <c r="BQ96" s="85"/>
      <c r="BR96" s="85"/>
      <c r="BS96" s="85"/>
      <c r="BT96" s="85"/>
      <c r="BU96" s="85"/>
      <c r="BV96" s="85"/>
      <c r="BW96" s="85"/>
      <c r="BX96" s="85"/>
      <c r="BY96" s="85"/>
      <c r="BZ96" s="85"/>
      <c r="CA96" s="85"/>
      <c r="CB96" s="85"/>
      <c r="CC96" s="85"/>
      <c r="CD96" s="85"/>
      <c r="CE96" s="85"/>
      <c r="CF96" s="85"/>
      <c r="CG96" s="85"/>
      <c r="CH96" s="85"/>
      <c r="CI96" s="85"/>
      <c r="CJ96" s="85"/>
      <c r="CK96" s="85"/>
      <c r="CL96" s="61"/>
      <c r="CM96" s="38" t="s">
        <v>335</v>
      </c>
      <c r="CN96" s="61"/>
      <c r="CO96" s="61"/>
      <c r="CP96" s="61"/>
    </row>
    <row r="97" ht="15.75" customHeight="1">
      <c r="A97" s="75"/>
      <c r="B97" s="59" t="str">
        <f t="array" ref="B97">XLOOKUP(D97, 'マスタ'!$C$2:$C$1000, 'マスタ'!$D$2:$D$1000, "マスタ未登録")</f>
        <v>採用教育費</v>
      </c>
      <c r="C97" s="53" t="str">
        <f>IF(AND(D97&lt;&gt;"", COUNTIF('マスタ'!$C:$C, D97)=0), "マスタ未登録", "")</f>
        <v/>
      </c>
      <c r="D97" s="84" t="str">
        <f t="shared" si="2"/>
        <v>採用教育費</v>
      </c>
      <c r="E97" s="65" t="s">
        <v>333</v>
      </c>
      <c r="F97" s="65" t="s">
        <v>77</v>
      </c>
      <c r="G97" s="65"/>
      <c r="H97" s="65"/>
      <c r="I97" s="65" t="s">
        <v>328</v>
      </c>
      <c r="J97" s="65" t="s">
        <v>344</v>
      </c>
      <c r="K97" s="65"/>
      <c r="L97" s="65"/>
      <c r="M97" s="65"/>
      <c r="N97" s="65"/>
      <c r="O97" s="65"/>
      <c r="P97" s="65"/>
      <c r="Q97" s="65"/>
      <c r="R97" s="65"/>
      <c r="S97" s="65"/>
      <c r="T97" s="65"/>
      <c r="U97" s="65"/>
      <c r="V97" s="65"/>
      <c r="W97" s="65"/>
      <c r="X97" s="65"/>
      <c r="Y97" s="65"/>
      <c r="Z97" s="65"/>
      <c r="AA97" s="65"/>
      <c r="AB97" s="65"/>
      <c r="AC97" s="65"/>
      <c r="AD97" s="65">
        <v>0.0</v>
      </c>
      <c r="AE97" s="65">
        <v>0.0</v>
      </c>
      <c r="AF97" s="65">
        <v>0.0</v>
      </c>
      <c r="AG97" s="65">
        <v>0.0</v>
      </c>
      <c r="AH97" s="65">
        <v>0.0</v>
      </c>
      <c r="AI97" s="65">
        <v>0.0</v>
      </c>
      <c r="AJ97" s="65">
        <v>0.0</v>
      </c>
      <c r="AK97" s="65">
        <v>0.0</v>
      </c>
      <c r="AL97" s="65">
        <v>0.0</v>
      </c>
      <c r="AM97" s="65">
        <v>0.0</v>
      </c>
      <c r="AN97" s="65">
        <v>0.0</v>
      </c>
      <c r="AO97" s="65">
        <v>0.0</v>
      </c>
      <c r="AP97" s="85">
        <v>0.0</v>
      </c>
      <c r="AQ97" s="85">
        <v>0.0</v>
      </c>
      <c r="AR97" s="85">
        <v>0.0</v>
      </c>
      <c r="AS97" s="85">
        <v>0.0</v>
      </c>
      <c r="AT97" s="85">
        <v>0.0</v>
      </c>
      <c r="AU97" s="85">
        <v>0.0</v>
      </c>
      <c r="AV97" s="85">
        <v>0.0</v>
      </c>
      <c r="AW97" s="85">
        <v>0.0</v>
      </c>
      <c r="AX97" s="85">
        <v>0.0</v>
      </c>
      <c r="AY97" s="85">
        <v>0.0</v>
      </c>
      <c r="AZ97" s="85">
        <v>0.0</v>
      </c>
      <c r="BA97" s="85">
        <v>0.0</v>
      </c>
      <c r="BB97" s="85"/>
      <c r="BC97" s="85"/>
      <c r="BD97" s="85"/>
      <c r="BE97" s="85"/>
      <c r="BF97" s="85"/>
      <c r="BG97" s="85"/>
      <c r="BH97" s="85"/>
      <c r="BI97" s="85"/>
      <c r="BJ97" s="85"/>
      <c r="BK97" s="85"/>
      <c r="BL97" s="85"/>
      <c r="BM97" s="85"/>
      <c r="BN97" s="85"/>
      <c r="BO97" s="85"/>
      <c r="BP97" s="85"/>
      <c r="BQ97" s="85"/>
      <c r="BR97" s="85"/>
      <c r="BS97" s="85"/>
      <c r="BT97" s="85"/>
      <c r="BU97" s="85"/>
      <c r="BV97" s="85"/>
      <c r="BW97" s="85"/>
      <c r="BX97" s="85"/>
      <c r="BY97" s="85"/>
      <c r="BZ97" s="85"/>
      <c r="CA97" s="85"/>
      <c r="CB97" s="85"/>
      <c r="CC97" s="85"/>
      <c r="CD97" s="85"/>
      <c r="CE97" s="85"/>
      <c r="CF97" s="85"/>
      <c r="CG97" s="85"/>
      <c r="CH97" s="85"/>
      <c r="CI97" s="85"/>
      <c r="CJ97" s="85"/>
      <c r="CK97" s="85"/>
      <c r="CL97" s="61"/>
      <c r="CM97" s="61" t="s">
        <v>336</v>
      </c>
      <c r="CN97" s="61"/>
      <c r="CO97" s="61"/>
      <c r="CP97" s="61"/>
    </row>
    <row r="98" ht="15.75" customHeight="1">
      <c r="A98" s="75"/>
      <c r="B98" s="59" t="str">
        <f t="array" ref="B98">XLOOKUP(D98, 'マスタ'!$C$2:$C$1000, 'マスタ'!$D$2:$D$1000, "マスタ未登録")</f>
        <v>水道光熱費</v>
      </c>
      <c r="C98" s="53" t="str">
        <f>IF(AND(D98&lt;&gt;"", COUNTIF('マスタ'!$C:$C, D98)=0), "マスタ未登録", "")</f>
        <v/>
      </c>
      <c r="D98" s="84" t="str">
        <f t="shared" si="2"/>
        <v>水道光熱費</v>
      </c>
      <c r="E98" s="65" t="s">
        <v>333</v>
      </c>
      <c r="F98" s="65" t="s">
        <v>178</v>
      </c>
      <c r="G98" s="65"/>
      <c r="H98" s="65"/>
      <c r="I98" s="65" t="s">
        <v>328</v>
      </c>
      <c r="J98" s="65" t="s">
        <v>344</v>
      </c>
      <c r="K98" s="65"/>
      <c r="L98" s="65"/>
      <c r="M98" s="65"/>
      <c r="N98" s="65"/>
      <c r="O98" s="65"/>
      <c r="P98" s="65"/>
      <c r="Q98" s="65"/>
      <c r="R98" s="65"/>
      <c r="S98" s="65"/>
      <c r="T98" s="65"/>
      <c r="U98" s="65"/>
      <c r="V98" s="65"/>
      <c r="W98" s="65"/>
      <c r="X98" s="65"/>
      <c r="Y98" s="65"/>
      <c r="Z98" s="65"/>
      <c r="AA98" s="65"/>
      <c r="AB98" s="65"/>
      <c r="AC98" s="65"/>
      <c r="AD98" s="65">
        <v>-58821.0</v>
      </c>
      <c r="AE98" s="65">
        <v>-39232.0</v>
      </c>
      <c r="AF98" s="65">
        <v>-37245.0</v>
      </c>
      <c r="AG98" s="65">
        <v>-30407.0</v>
      </c>
      <c r="AH98" s="65">
        <v>-46145.0</v>
      </c>
      <c r="AI98" s="65">
        <v>-53148.0</v>
      </c>
      <c r="AJ98" s="65">
        <v>-54038.0</v>
      </c>
      <c r="AK98" s="65">
        <v>-38201.0</v>
      </c>
      <c r="AL98" s="65">
        <v>-59663.0</v>
      </c>
      <c r="AM98" s="65">
        <v>-55511.0</v>
      </c>
      <c r="AN98" s="65">
        <v>-80134.0</v>
      </c>
      <c r="AO98" s="65">
        <v>-56423.0</v>
      </c>
      <c r="AP98" s="85">
        <v>-38029.0</v>
      </c>
      <c r="AQ98" s="85">
        <v>0.0</v>
      </c>
      <c r="AR98" s="85">
        <v>0.0</v>
      </c>
      <c r="AS98" s="85">
        <v>0.0</v>
      </c>
      <c r="AT98" s="85">
        <v>0.0</v>
      </c>
      <c r="AU98" s="85">
        <v>0.0</v>
      </c>
      <c r="AV98" s="85">
        <v>0.0</v>
      </c>
      <c r="AW98" s="85">
        <v>0.0</v>
      </c>
      <c r="AX98" s="85">
        <v>0.0</v>
      </c>
      <c r="AY98" s="85">
        <v>0.0</v>
      </c>
      <c r="AZ98" s="85">
        <v>0.0</v>
      </c>
      <c r="BA98" s="85">
        <v>0.0</v>
      </c>
      <c r="BB98" s="85"/>
      <c r="BC98" s="85"/>
      <c r="BD98" s="85"/>
      <c r="BE98" s="85"/>
      <c r="BF98" s="85"/>
      <c r="BG98" s="85"/>
      <c r="BH98" s="85"/>
      <c r="BI98" s="85"/>
      <c r="BJ98" s="85"/>
      <c r="BK98" s="85"/>
      <c r="BL98" s="85"/>
      <c r="BM98" s="85"/>
      <c r="BN98" s="85"/>
      <c r="BO98" s="85"/>
      <c r="BP98" s="85"/>
      <c r="BQ98" s="85"/>
      <c r="BR98" s="85"/>
      <c r="BS98" s="85"/>
      <c r="BT98" s="85"/>
      <c r="BU98" s="85"/>
      <c r="BV98" s="85"/>
      <c r="BW98" s="85"/>
      <c r="BX98" s="85"/>
      <c r="BY98" s="85"/>
      <c r="BZ98" s="85"/>
      <c r="CA98" s="85"/>
      <c r="CB98" s="85"/>
      <c r="CC98" s="85"/>
      <c r="CD98" s="85"/>
      <c r="CE98" s="85"/>
      <c r="CF98" s="85"/>
      <c r="CG98" s="85"/>
      <c r="CH98" s="85"/>
      <c r="CI98" s="85"/>
      <c r="CJ98" s="85"/>
      <c r="CK98" s="85"/>
      <c r="CL98" s="61"/>
      <c r="CM98" s="38" t="s">
        <v>178</v>
      </c>
      <c r="CN98" s="61"/>
      <c r="CO98" s="61"/>
      <c r="CP98" s="61"/>
    </row>
    <row r="99" ht="15.75" customHeight="1">
      <c r="A99" s="75"/>
      <c r="B99" s="59" t="str">
        <f t="array" ref="B99">XLOOKUP(D99, 'マスタ'!$C$2:$C$1000, 'マスタ'!$D$2:$D$1000, "マスタ未登録")</f>
        <v>のれん償却費</v>
      </c>
      <c r="C99" s="53" t="str">
        <f>IF(AND(D99&lt;&gt;"", COUNTIF('マスタ'!$C:$C, D99)=0), "マスタ未登録", "")</f>
        <v/>
      </c>
      <c r="D99" s="84" t="str">
        <f t="shared" si="2"/>
        <v>のれん償却費</v>
      </c>
      <c r="E99" s="65" t="s">
        <v>333</v>
      </c>
      <c r="F99" s="65" t="s">
        <v>337</v>
      </c>
      <c r="G99" s="65"/>
      <c r="H99" s="65"/>
      <c r="I99" s="65" t="s">
        <v>328</v>
      </c>
      <c r="J99" s="65" t="s">
        <v>344</v>
      </c>
      <c r="K99" s="65"/>
      <c r="L99" s="65"/>
      <c r="M99" s="65"/>
      <c r="N99" s="65"/>
      <c r="O99" s="65"/>
      <c r="P99" s="65"/>
      <c r="Q99" s="65"/>
      <c r="R99" s="65"/>
      <c r="S99" s="65"/>
      <c r="T99" s="65"/>
      <c r="U99" s="65"/>
      <c r="V99" s="65"/>
      <c r="W99" s="65"/>
      <c r="X99" s="65"/>
      <c r="Y99" s="65"/>
      <c r="Z99" s="65"/>
      <c r="AA99" s="65"/>
      <c r="AB99" s="65"/>
      <c r="AC99" s="65"/>
      <c r="AD99" s="65">
        <v>0.0</v>
      </c>
      <c r="AE99" s="65">
        <v>0.0</v>
      </c>
      <c r="AF99" s="65">
        <v>0.0</v>
      </c>
      <c r="AG99" s="65">
        <v>0.0</v>
      </c>
      <c r="AH99" s="65">
        <v>0.0</v>
      </c>
      <c r="AI99" s="65">
        <v>0.0</v>
      </c>
      <c r="AJ99" s="65">
        <v>0.0</v>
      </c>
      <c r="AK99" s="65">
        <v>0.0</v>
      </c>
      <c r="AL99" s="65">
        <v>0.0</v>
      </c>
      <c r="AM99" s="65">
        <v>0.0</v>
      </c>
      <c r="AN99" s="65">
        <v>0.0</v>
      </c>
      <c r="AO99" s="65">
        <v>0.0</v>
      </c>
      <c r="AP99" s="85">
        <v>0.0</v>
      </c>
      <c r="AQ99" s="85">
        <v>0.0</v>
      </c>
      <c r="AR99" s="85">
        <v>0.0</v>
      </c>
      <c r="AS99" s="85">
        <v>0.0</v>
      </c>
      <c r="AT99" s="85">
        <v>0.0</v>
      </c>
      <c r="AU99" s="85">
        <v>0.0</v>
      </c>
      <c r="AV99" s="85">
        <v>0.0</v>
      </c>
      <c r="AW99" s="85">
        <v>0.0</v>
      </c>
      <c r="AX99" s="85">
        <v>0.0</v>
      </c>
      <c r="AY99" s="85">
        <v>0.0</v>
      </c>
      <c r="AZ99" s="85">
        <v>0.0</v>
      </c>
      <c r="BA99" s="85">
        <v>0.0</v>
      </c>
      <c r="BB99" s="85"/>
      <c r="BC99" s="85"/>
      <c r="BD99" s="85"/>
      <c r="BE99" s="85"/>
      <c r="BF99" s="85"/>
      <c r="BG99" s="85"/>
      <c r="BH99" s="85"/>
      <c r="BI99" s="85"/>
      <c r="BJ99" s="85"/>
      <c r="BK99" s="85"/>
      <c r="BL99" s="85"/>
      <c r="BM99" s="85"/>
      <c r="BN99" s="85"/>
      <c r="BO99" s="85"/>
      <c r="BP99" s="85"/>
      <c r="BQ99" s="85"/>
      <c r="BR99" s="85"/>
      <c r="BS99" s="85"/>
      <c r="BT99" s="85"/>
      <c r="BU99" s="85"/>
      <c r="BV99" s="85"/>
      <c r="BW99" s="85"/>
      <c r="BX99" s="85"/>
      <c r="BY99" s="85"/>
      <c r="BZ99" s="85"/>
      <c r="CA99" s="85"/>
      <c r="CB99" s="85"/>
      <c r="CC99" s="85"/>
      <c r="CD99" s="85"/>
      <c r="CE99" s="85"/>
      <c r="CF99" s="85"/>
      <c r="CG99" s="85"/>
      <c r="CH99" s="85"/>
      <c r="CI99" s="85"/>
      <c r="CJ99" s="85"/>
      <c r="CK99" s="85"/>
      <c r="CL99" s="61"/>
      <c r="CM99" s="38" t="s">
        <v>337</v>
      </c>
      <c r="CN99" s="61"/>
      <c r="CO99" s="61"/>
      <c r="CP99" s="61"/>
    </row>
    <row r="100" ht="15.75" customHeight="1">
      <c r="A100" s="75"/>
      <c r="B100" s="59" t="str">
        <f t="array" ref="B100">XLOOKUP(D100, 'マスタ'!$C$2:$C$1000, 'マスタ'!$D$2:$D$1000, "マスタ未登録")</f>
        <v>雑費</v>
      </c>
      <c r="C100" s="53" t="str">
        <f>IF(AND(D100&lt;&gt;"", COUNTIF('マスタ'!$C:$C, D100)=0), "マスタ未登録", "")</f>
        <v/>
      </c>
      <c r="D100" s="84" t="str">
        <f t="shared" si="2"/>
        <v>その他(固)</v>
      </c>
      <c r="E100" s="65" t="s">
        <v>333</v>
      </c>
      <c r="F100" s="65" t="s">
        <v>346</v>
      </c>
      <c r="G100" s="65"/>
      <c r="H100" s="65"/>
      <c r="I100" s="65" t="s">
        <v>328</v>
      </c>
      <c r="J100" s="65" t="s">
        <v>344</v>
      </c>
      <c r="K100" s="65"/>
      <c r="L100" s="65"/>
      <c r="M100" s="65"/>
      <c r="N100" s="65"/>
      <c r="O100" s="65"/>
      <c r="P100" s="65"/>
      <c r="Q100" s="65"/>
      <c r="R100" s="65"/>
      <c r="S100" s="65"/>
      <c r="T100" s="65"/>
      <c r="U100" s="65"/>
      <c r="V100" s="65"/>
      <c r="W100" s="65"/>
      <c r="X100" s="65"/>
      <c r="Y100" s="65"/>
      <c r="Z100" s="65"/>
      <c r="AA100" s="65"/>
      <c r="AB100" s="65"/>
      <c r="AC100" s="65"/>
      <c r="AD100" s="65">
        <v>-3066057.0</v>
      </c>
      <c r="AE100" s="65">
        <v>-2973598.0</v>
      </c>
      <c r="AF100" s="65">
        <v>-3054638.0</v>
      </c>
      <c r="AG100" s="65">
        <v>-3071388.0</v>
      </c>
      <c r="AH100" s="65">
        <v>-3235617.0</v>
      </c>
      <c r="AI100" s="65">
        <v>-3133277.0</v>
      </c>
      <c r="AJ100" s="65">
        <v>-3355714.0</v>
      </c>
      <c r="AK100" s="65">
        <v>-2809168.0</v>
      </c>
      <c r="AL100" s="65">
        <v>-3101588.0</v>
      </c>
      <c r="AM100" s="65">
        <v>-3653144.0</v>
      </c>
      <c r="AN100" s="65">
        <v>-3315414.0</v>
      </c>
      <c r="AO100" s="65">
        <v>-3189618.0</v>
      </c>
      <c r="AP100" s="85">
        <v>-3588699.0</v>
      </c>
      <c r="AQ100" s="85">
        <v>-7289766.0</v>
      </c>
      <c r="AR100" s="85">
        <v>-7289766.0</v>
      </c>
      <c r="AS100" s="85">
        <v>-7289766.0</v>
      </c>
      <c r="AT100" s="85">
        <v>-7289766.0</v>
      </c>
      <c r="AU100" s="85">
        <v>-7289766.0</v>
      </c>
      <c r="AV100" s="85">
        <v>-7289766.0</v>
      </c>
      <c r="AW100" s="85">
        <v>-7289766.0</v>
      </c>
      <c r="AX100" s="85">
        <v>-7289766.0</v>
      </c>
      <c r="AY100" s="85">
        <v>-7289766.0</v>
      </c>
      <c r="AZ100" s="85">
        <v>-7289766.0</v>
      </c>
      <c r="BA100" s="85">
        <v>-7289810.0</v>
      </c>
      <c r="BB100" s="85"/>
      <c r="BC100" s="85"/>
      <c r="BD100" s="85"/>
      <c r="BE100" s="85"/>
      <c r="BF100" s="85"/>
      <c r="BG100" s="85"/>
      <c r="BH100" s="85"/>
      <c r="BI100" s="85"/>
      <c r="BJ100" s="85"/>
      <c r="BK100" s="85"/>
      <c r="BL100" s="85"/>
      <c r="BM100" s="85"/>
      <c r="BN100" s="85"/>
      <c r="BO100" s="85"/>
      <c r="BP100" s="85"/>
      <c r="BQ100" s="85"/>
      <c r="BR100" s="85"/>
      <c r="BS100" s="85"/>
      <c r="BT100" s="85"/>
      <c r="BU100" s="85"/>
      <c r="BV100" s="85"/>
      <c r="BW100" s="85"/>
      <c r="BX100" s="85"/>
      <c r="BY100" s="85"/>
      <c r="BZ100" s="85"/>
      <c r="CA100" s="85"/>
      <c r="CB100" s="85"/>
      <c r="CC100" s="85"/>
      <c r="CD100" s="85"/>
      <c r="CE100" s="85"/>
      <c r="CF100" s="85"/>
      <c r="CG100" s="85"/>
      <c r="CH100" s="85"/>
      <c r="CI100" s="85"/>
      <c r="CJ100" s="85"/>
      <c r="CK100" s="85"/>
      <c r="CL100" s="61"/>
      <c r="CM100" s="38" t="s">
        <v>343</v>
      </c>
      <c r="CN100" s="61"/>
      <c r="CO100" s="61"/>
      <c r="CP100" s="61"/>
    </row>
    <row r="101" ht="15.75" customHeight="1">
      <c r="A101" s="75"/>
      <c r="B101" s="59" t="str">
        <f t="array" ref="B101">XLOOKUP(D101, 'マスタ'!$C$2:$C$1000, 'マスタ'!$D$2:$D$1000, "マスタ未登録")</f>
        <v>マスタ未登録</v>
      </c>
      <c r="C101" s="53" t="str">
        <f>IF(AND(D101&lt;&gt;"", COUNTIF('マスタ'!$C:$C, D101)=0), "マスタ未登録", "")</f>
        <v>マスタ未登録</v>
      </c>
      <c r="D101" s="84" t="str">
        <f t="shared" si="2"/>
        <v>ウタイテ配賦額</v>
      </c>
      <c r="E101" s="65" t="s">
        <v>333</v>
      </c>
      <c r="F101" s="65" t="s">
        <v>213</v>
      </c>
      <c r="G101" s="65"/>
      <c r="H101" s="65"/>
      <c r="I101" s="65" t="s">
        <v>328</v>
      </c>
      <c r="J101" s="65" t="s">
        <v>344</v>
      </c>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5"/>
      <c r="BZ101" s="65"/>
      <c r="CA101" s="65"/>
      <c r="CB101" s="65"/>
      <c r="CC101" s="65"/>
      <c r="CD101" s="65"/>
      <c r="CE101" s="65"/>
      <c r="CF101" s="65"/>
      <c r="CG101" s="65"/>
      <c r="CH101" s="65"/>
      <c r="CI101" s="65"/>
      <c r="CJ101" s="65"/>
      <c r="CK101" s="65"/>
      <c r="CL101" s="61"/>
      <c r="CM101" s="38" t="s">
        <v>213</v>
      </c>
      <c r="CN101" s="61"/>
      <c r="CO101" s="61"/>
      <c r="CP101" s="61"/>
    </row>
    <row r="102" ht="15.75" customHeight="1">
      <c r="A102" s="75"/>
      <c r="B102" s="59" t="str">
        <f t="array" ref="B102">XLOOKUP(D102, 'マスタ'!$C$2:$C$1000, 'マスタ'!$D$2:$D$1000, "マスタ未登録")</f>
        <v>マスタ未登録</v>
      </c>
      <c r="C102" s="53" t="str">
        <f>IF(AND(D102&lt;&gt;"", COUNTIF('マスタ'!$C:$C, D102)=0), "マスタ未登録", "")</f>
        <v/>
      </c>
      <c r="D102" s="53" t="str">
        <f t="shared" si="2"/>
        <v/>
      </c>
      <c r="E102" s="61"/>
      <c r="F102" s="61"/>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85"/>
      <c r="AQ102" s="85"/>
      <c r="AR102" s="85"/>
      <c r="AS102" s="85"/>
      <c r="AT102" s="85"/>
      <c r="AU102" s="85"/>
      <c r="AV102" s="85"/>
      <c r="AW102" s="85"/>
      <c r="AX102" s="85"/>
      <c r="AY102" s="85"/>
      <c r="AZ102" s="85"/>
      <c r="BA102" s="85"/>
      <c r="BB102" s="85"/>
      <c r="BC102" s="85"/>
      <c r="BD102" s="85"/>
      <c r="BE102" s="85"/>
      <c r="BF102" s="85"/>
      <c r="BG102" s="85"/>
      <c r="BH102" s="85"/>
      <c r="BI102" s="85"/>
      <c r="BJ102" s="85"/>
      <c r="BK102" s="85"/>
      <c r="BL102" s="85"/>
      <c r="BM102" s="85"/>
      <c r="BN102" s="85"/>
      <c r="BO102" s="85"/>
      <c r="BP102" s="85"/>
      <c r="BQ102" s="85"/>
      <c r="BR102" s="85"/>
      <c r="BS102" s="85"/>
      <c r="BT102" s="85"/>
      <c r="BU102" s="85"/>
      <c r="BV102" s="85"/>
      <c r="BW102" s="85"/>
      <c r="BX102" s="85"/>
      <c r="BY102" s="85"/>
      <c r="BZ102" s="85"/>
      <c r="CA102" s="85"/>
      <c r="CB102" s="85"/>
      <c r="CC102" s="85"/>
      <c r="CD102" s="85"/>
      <c r="CE102" s="85"/>
      <c r="CF102" s="85"/>
      <c r="CG102" s="85"/>
      <c r="CH102" s="85"/>
      <c r="CI102" s="85"/>
      <c r="CJ102" s="85"/>
      <c r="CK102" s="85"/>
      <c r="CL102" s="61"/>
      <c r="CM102" s="61"/>
      <c r="CN102" s="61"/>
      <c r="CO102" s="61"/>
      <c r="CP102" s="61"/>
    </row>
    <row r="103" ht="15.75" customHeight="1">
      <c r="A103" s="75"/>
      <c r="B103" s="59" t="str">
        <f t="array" ref="B103">XLOOKUP(D103, 'マスタ'!$C$2:$C$1000, 'マスタ'!$D$2:$D$1000, "マスタ未登録")</f>
        <v>マスタ未登録</v>
      </c>
      <c r="C103" s="53" t="str">
        <f>IF(AND(D103&lt;&gt;"", COUNTIF('マスタ'!$C:$C, D103)=0), "マスタ未登録", "")</f>
        <v/>
      </c>
      <c r="D103" s="53" t="str">
        <f t="shared" si="2"/>
        <v/>
      </c>
      <c r="E103" s="76" t="s">
        <v>31</v>
      </c>
      <c r="F103" s="76"/>
      <c r="G103" s="77"/>
      <c r="H103" s="77">
        <v>1.0</v>
      </c>
      <c r="I103" s="77" t="s">
        <v>328</v>
      </c>
      <c r="J103" s="77" t="s">
        <v>344</v>
      </c>
      <c r="K103" s="77"/>
      <c r="L103" s="77"/>
      <c r="M103" s="77"/>
      <c r="N103" s="77"/>
      <c r="O103" s="77"/>
      <c r="P103" s="77"/>
      <c r="Q103" s="77"/>
      <c r="R103" s="77"/>
      <c r="S103" s="77"/>
      <c r="T103" s="77"/>
      <c r="U103" s="77"/>
      <c r="V103" s="77"/>
      <c r="W103" s="77"/>
      <c r="X103" s="77"/>
      <c r="Y103" s="77"/>
      <c r="Z103" s="77"/>
      <c r="AA103" s="77"/>
      <c r="AB103" s="77"/>
      <c r="AC103" s="77"/>
      <c r="AD103" s="77">
        <v>3.2205853E7</v>
      </c>
      <c r="AE103" s="77">
        <v>1.45447892E8</v>
      </c>
      <c r="AF103" s="77">
        <v>1.20590929E8</v>
      </c>
      <c r="AG103" s="77">
        <v>2.48066827E8</v>
      </c>
      <c r="AH103" s="77">
        <v>8.9634744E7</v>
      </c>
      <c r="AI103" s="77">
        <v>2.27013127E8</v>
      </c>
      <c r="AJ103" s="77">
        <v>3.2888174E7</v>
      </c>
      <c r="AK103" s="77">
        <v>2.51270853E8</v>
      </c>
      <c r="AL103" s="77">
        <v>1.13298706E8</v>
      </c>
      <c r="AM103" s="77">
        <v>5.3986736E7</v>
      </c>
      <c r="AN103" s="77">
        <v>1.60170453E8</v>
      </c>
      <c r="AO103" s="77">
        <v>1.09128847E8</v>
      </c>
      <c r="AP103" s="87">
        <v>6.23715438E8</v>
      </c>
      <c r="AQ103" s="87">
        <v>1.63263328E8</v>
      </c>
      <c r="AR103" s="87">
        <v>7.2478899E8</v>
      </c>
      <c r="AS103" s="87">
        <v>7.3469734E7</v>
      </c>
      <c r="AT103" s="87">
        <v>1.7010204E7</v>
      </c>
      <c r="AU103" s="87">
        <v>1.28734014E8</v>
      </c>
      <c r="AV103" s="87">
        <v>-2.6618433E7</v>
      </c>
      <c r="AW103" s="87">
        <v>-3974249.0</v>
      </c>
      <c r="AX103" s="87">
        <v>3.5295046E7</v>
      </c>
      <c r="AY103" s="87">
        <v>3.65837692E8</v>
      </c>
      <c r="AZ103" s="87">
        <v>1.2041922E8</v>
      </c>
      <c r="BA103" s="87">
        <v>6.5803422E7</v>
      </c>
      <c r="BB103" s="87">
        <v>0.0</v>
      </c>
      <c r="BC103" s="87">
        <v>0.0</v>
      </c>
      <c r="BD103" s="87">
        <v>0.0</v>
      </c>
      <c r="BE103" s="87">
        <v>0.0</v>
      </c>
      <c r="BF103" s="87">
        <v>0.0</v>
      </c>
      <c r="BG103" s="87">
        <v>0.0</v>
      </c>
      <c r="BH103" s="87">
        <v>0.0</v>
      </c>
      <c r="BI103" s="87">
        <v>0.0</v>
      </c>
      <c r="BJ103" s="87">
        <v>0.0</v>
      </c>
      <c r="BK103" s="87">
        <v>0.0</v>
      </c>
      <c r="BL103" s="87">
        <v>0.0</v>
      </c>
      <c r="BM103" s="87">
        <v>0.0</v>
      </c>
      <c r="BN103" s="87">
        <v>0.0</v>
      </c>
      <c r="BO103" s="87">
        <v>0.0</v>
      </c>
      <c r="BP103" s="87">
        <v>0.0</v>
      </c>
      <c r="BQ103" s="87">
        <v>0.0</v>
      </c>
      <c r="BR103" s="87">
        <v>0.0</v>
      </c>
      <c r="BS103" s="87">
        <v>0.0</v>
      </c>
      <c r="BT103" s="87">
        <v>0.0</v>
      </c>
      <c r="BU103" s="87">
        <v>0.0</v>
      </c>
      <c r="BV103" s="87">
        <v>0.0</v>
      </c>
      <c r="BW103" s="87">
        <v>0.0</v>
      </c>
      <c r="BX103" s="87">
        <v>0.0</v>
      </c>
      <c r="BY103" s="87">
        <v>0.0</v>
      </c>
      <c r="BZ103" s="87">
        <v>0.0</v>
      </c>
      <c r="CA103" s="87">
        <v>0.0</v>
      </c>
      <c r="CB103" s="87">
        <v>0.0</v>
      </c>
      <c r="CC103" s="87">
        <v>0.0</v>
      </c>
      <c r="CD103" s="87">
        <v>0.0</v>
      </c>
      <c r="CE103" s="87">
        <v>0.0</v>
      </c>
      <c r="CF103" s="87">
        <v>0.0</v>
      </c>
      <c r="CG103" s="87">
        <v>0.0</v>
      </c>
      <c r="CH103" s="87">
        <v>0.0</v>
      </c>
      <c r="CI103" s="87">
        <v>0.0</v>
      </c>
      <c r="CJ103" s="87">
        <v>0.0</v>
      </c>
      <c r="CK103" s="87">
        <v>0.0</v>
      </c>
      <c r="CL103" s="61"/>
      <c r="CM103" s="60">
        <v>2.287744406E9</v>
      </c>
      <c r="CN103" s="88">
        <v>1.583703141E9</v>
      </c>
      <c r="CO103" s="61"/>
      <c r="CP103" s="61"/>
    </row>
    <row r="104" ht="15.75" customHeight="1">
      <c r="A104" s="75"/>
      <c r="B104" s="59" t="str">
        <f t="array" ref="B104">XLOOKUP(D104, 'マスタ'!$C$2:$C$1000, 'マスタ'!$D$2:$D$1000, "マスタ未登録")</f>
        <v>マスタ未登録</v>
      </c>
      <c r="C104" s="53" t="str">
        <f>IF(AND(D104&lt;&gt;"", COUNTIF('マスタ'!$C:$C, D104)=0), "マスタ未登録", "")</f>
        <v/>
      </c>
      <c r="D104" s="53" t="str">
        <f t="shared" si="2"/>
        <v/>
      </c>
      <c r="E104" s="69"/>
      <c r="F104" s="69"/>
      <c r="G104" s="82"/>
      <c r="H104" s="82">
        <v>1.0</v>
      </c>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82"/>
      <c r="AL104" s="82"/>
      <c r="AM104" s="82"/>
      <c r="AN104" s="82"/>
      <c r="AO104" s="82"/>
      <c r="AP104" s="89"/>
      <c r="AQ104" s="89"/>
      <c r="AR104" s="89"/>
      <c r="AS104" s="89"/>
      <c r="AT104" s="89"/>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c r="BQ104" s="89"/>
      <c r="BR104" s="89"/>
      <c r="BS104" s="89"/>
      <c r="BT104" s="89"/>
      <c r="BU104" s="89"/>
      <c r="BV104" s="89"/>
      <c r="BW104" s="89"/>
      <c r="BX104" s="89"/>
      <c r="BY104" s="89"/>
      <c r="BZ104" s="89"/>
      <c r="CA104" s="89"/>
      <c r="CB104" s="89"/>
      <c r="CC104" s="89"/>
      <c r="CD104" s="89"/>
      <c r="CE104" s="89"/>
      <c r="CF104" s="89"/>
      <c r="CG104" s="89"/>
      <c r="CH104" s="89"/>
      <c r="CI104" s="89"/>
      <c r="CJ104" s="89"/>
      <c r="CK104" s="89"/>
      <c r="CL104" s="61"/>
      <c r="CM104" s="61"/>
      <c r="CN104" s="61"/>
      <c r="CO104" s="61"/>
      <c r="CP104" s="61"/>
    </row>
    <row r="105" ht="15.75" customHeight="1">
      <c r="A105" s="75"/>
      <c r="B105" s="59" t="str">
        <f t="array" ref="B105">XLOOKUP(D105, 'マスタ'!$C$2:$C$1000, 'マスタ'!$D$2:$D$1000, "マスタ未登録")</f>
        <v>売上高</v>
      </c>
      <c r="C105" s="53" t="str">
        <f>IF(AND(D105&lt;&gt;"", COUNTIF('マスタ'!$C:$C, D105)=0), "マスタ未登録", "")</f>
        <v/>
      </c>
      <c r="D105" s="53" t="str">
        <f>E105</f>
        <v>売上高</v>
      </c>
      <c r="E105" s="63" t="s">
        <v>1</v>
      </c>
      <c r="F105" s="65" t="s">
        <v>327</v>
      </c>
      <c r="G105" s="65"/>
      <c r="H105" s="65">
        <v>1.0</v>
      </c>
      <c r="I105" s="65" t="s">
        <v>328</v>
      </c>
      <c r="J105" s="65" t="s">
        <v>347</v>
      </c>
      <c r="K105" s="65"/>
      <c r="L105" s="65"/>
      <c r="M105" s="65"/>
      <c r="N105" s="65"/>
      <c r="O105" s="65"/>
      <c r="P105" s="65"/>
      <c r="Q105" s="65"/>
      <c r="R105" s="65"/>
      <c r="S105" s="65"/>
      <c r="T105" s="65"/>
      <c r="U105" s="65"/>
      <c r="V105" s="65"/>
      <c r="W105" s="65"/>
      <c r="X105" s="65"/>
      <c r="Y105" s="65"/>
      <c r="Z105" s="65"/>
      <c r="AA105" s="65"/>
      <c r="AB105" s="65"/>
      <c r="AC105" s="65"/>
      <c r="AD105" s="65">
        <v>3.9546912E7</v>
      </c>
      <c r="AE105" s="65">
        <v>3.5889928E7</v>
      </c>
      <c r="AF105" s="65">
        <v>3.0025299E7</v>
      </c>
      <c r="AG105" s="65">
        <v>1.8770312E7</v>
      </c>
      <c r="AH105" s="65">
        <v>3.1766061E7</v>
      </c>
      <c r="AI105" s="65">
        <v>3.9068827E7</v>
      </c>
      <c r="AJ105" s="65">
        <v>3.7347252E7</v>
      </c>
      <c r="AK105" s="65">
        <v>3.4176254E7</v>
      </c>
      <c r="AL105" s="65">
        <v>1.0222254E7</v>
      </c>
      <c r="AM105" s="65">
        <v>7148463.0</v>
      </c>
      <c r="AN105" s="65">
        <v>4966007.0</v>
      </c>
      <c r="AO105" s="65">
        <v>6759102.0</v>
      </c>
      <c r="AP105" s="85">
        <v>7842190.0</v>
      </c>
      <c r="AQ105" s="85">
        <v>6057091.0</v>
      </c>
      <c r="AR105" s="85">
        <v>4991909.0</v>
      </c>
      <c r="AS105" s="85">
        <v>7381364.0</v>
      </c>
      <c r="AT105" s="85">
        <v>7840545.0</v>
      </c>
      <c r="AU105" s="85">
        <v>7374636.0</v>
      </c>
      <c r="AV105" s="85">
        <v>7595000.0</v>
      </c>
      <c r="AW105" s="85">
        <v>8496636.0</v>
      </c>
      <c r="AX105" s="85">
        <v>9519636.0</v>
      </c>
      <c r="AY105" s="85">
        <v>7640273.0</v>
      </c>
      <c r="AZ105" s="85">
        <v>4956000.0</v>
      </c>
      <c r="BA105" s="85">
        <v>6002591.0</v>
      </c>
      <c r="BB105" s="85"/>
      <c r="BC105" s="85"/>
      <c r="BD105" s="85"/>
      <c r="BE105" s="85"/>
      <c r="BF105" s="85"/>
      <c r="BG105" s="85"/>
      <c r="BH105" s="85"/>
      <c r="BI105" s="85"/>
      <c r="BJ105" s="85"/>
      <c r="BK105" s="85"/>
      <c r="BL105" s="85"/>
      <c r="BM105" s="85"/>
      <c r="BN105" s="85"/>
      <c r="BO105" s="85"/>
      <c r="BP105" s="85"/>
      <c r="BQ105" s="85"/>
      <c r="BR105" s="85"/>
      <c r="BS105" s="85"/>
      <c r="BT105" s="85"/>
      <c r="BU105" s="85"/>
      <c r="BV105" s="85"/>
      <c r="BW105" s="85"/>
      <c r="BX105" s="85"/>
      <c r="BY105" s="85"/>
      <c r="BZ105" s="85"/>
      <c r="CA105" s="85"/>
      <c r="CB105" s="85"/>
      <c r="CC105" s="85"/>
      <c r="CD105" s="85"/>
      <c r="CE105" s="85"/>
      <c r="CF105" s="85"/>
      <c r="CG105" s="85"/>
      <c r="CH105" s="85"/>
      <c r="CI105" s="85"/>
      <c r="CJ105" s="85"/>
      <c r="CK105" s="85"/>
      <c r="CL105" s="61"/>
      <c r="CM105" s="38" t="s">
        <v>1</v>
      </c>
      <c r="CN105" s="90"/>
      <c r="CO105" s="61"/>
      <c r="CP105" s="61"/>
    </row>
    <row r="106" ht="15.75" customHeight="1">
      <c r="A106" s="75"/>
      <c r="B106" s="59" t="str">
        <f t="array" ref="B106">XLOOKUP(D106, 'マスタ'!$C$2:$C$1000, 'マスタ'!$D$2:$D$1000, "マスタ未登録")</f>
        <v>当期商品仕入高</v>
      </c>
      <c r="C106" s="53" t="str">
        <f>IF(AND(D106&lt;&gt;"", COUNTIF('マスタ'!$C:$C, D106)=0), "マスタ未登録", "")</f>
        <v/>
      </c>
      <c r="D106" s="84" t="str">
        <f t="shared" ref="D106:D133" si="3">F106</f>
        <v>仕入高</v>
      </c>
      <c r="E106" s="63" t="s">
        <v>330</v>
      </c>
      <c r="F106" s="65" t="s">
        <v>138</v>
      </c>
      <c r="G106" s="65"/>
      <c r="H106" s="65"/>
      <c r="I106" s="65" t="s">
        <v>328</v>
      </c>
      <c r="J106" s="65" t="s">
        <v>347</v>
      </c>
      <c r="K106" s="65"/>
      <c r="L106" s="65"/>
      <c r="M106" s="65"/>
      <c r="N106" s="65"/>
      <c r="O106" s="65"/>
      <c r="P106" s="65"/>
      <c r="Q106" s="65"/>
      <c r="R106" s="65"/>
      <c r="S106" s="65"/>
      <c r="T106" s="65"/>
      <c r="U106" s="65"/>
      <c r="V106" s="65"/>
      <c r="W106" s="65"/>
      <c r="X106" s="65"/>
      <c r="Y106" s="65"/>
      <c r="Z106" s="65"/>
      <c r="AA106" s="65"/>
      <c r="AB106" s="65"/>
      <c r="AC106" s="65"/>
      <c r="AD106" s="65">
        <v>-216553.0</v>
      </c>
      <c r="AE106" s="65">
        <v>-203035.0</v>
      </c>
      <c r="AF106" s="65">
        <v>-179634.0</v>
      </c>
      <c r="AG106" s="65">
        <v>-291330.0</v>
      </c>
      <c r="AH106" s="65">
        <v>-289673.0</v>
      </c>
      <c r="AI106" s="65">
        <v>-282488.0</v>
      </c>
      <c r="AJ106" s="65">
        <v>-232868.0</v>
      </c>
      <c r="AK106" s="65">
        <v>-247896.0</v>
      </c>
      <c r="AL106" s="65">
        <v>-346901.0</v>
      </c>
      <c r="AM106" s="65">
        <v>-219687.0</v>
      </c>
      <c r="AN106" s="65">
        <v>-142911.0</v>
      </c>
      <c r="AO106" s="65">
        <v>-301888.0</v>
      </c>
      <c r="AP106" s="85">
        <v>-229287.0</v>
      </c>
      <c r="AQ106" s="85">
        <v>-222902.0</v>
      </c>
      <c r="AR106" s="85">
        <v>-165139.0</v>
      </c>
      <c r="AS106" s="85">
        <v>-287568.0</v>
      </c>
      <c r="AT106" s="85">
        <v>-277923.0</v>
      </c>
      <c r="AU106" s="85">
        <v>-269018.0</v>
      </c>
      <c r="AV106" s="85">
        <v>-245125.0</v>
      </c>
      <c r="AW106" s="85">
        <v>-246027.0</v>
      </c>
      <c r="AX106" s="85">
        <v>-319290.0</v>
      </c>
      <c r="AY106" s="85">
        <v>-246127.0</v>
      </c>
      <c r="AZ106" s="85">
        <v>-194521.0</v>
      </c>
      <c r="BA106" s="85">
        <v>-173497.0</v>
      </c>
      <c r="BB106" s="85"/>
      <c r="BC106" s="85"/>
      <c r="BD106" s="85"/>
      <c r="BE106" s="85"/>
      <c r="BF106" s="85"/>
      <c r="BG106" s="85"/>
      <c r="BH106" s="85"/>
      <c r="BI106" s="85"/>
      <c r="BJ106" s="85"/>
      <c r="BK106" s="85"/>
      <c r="BL106" s="85"/>
      <c r="BM106" s="85"/>
      <c r="BN106" s="85"/>
      <c r="BO106" s="85"/>
      <c r="BP106" s="85"/>
      <c r="BQ106" s="85"/>
      <c r="BR106" s="85"/>
      <c r="BS106" s="85"/>
      <c r="BT106" s="85"/>
      <c r="BU106" s="85"/>
      <c r="BV106" s="85"/>
      <c r="BW106" s="85"/>
      <c r="BX106" s="85"/>
      <c r="BY106" s="85"/>
      <c r="BZ106" s="85"/>
      <c r="CA106" s="85"/>
      <c r="CB106" s="85"/>
      <c r="CC106" s="85"/>
      <c r="CD106" s="85"/>
      <c r="CE106" s="85"/>
      <c r="CF106" s="85"/>
      <c r="CG106" s="85"/>
      <c r="CH106" s="85"/>
      <c r="CI106" s="85"/>
      <c r="CJ106" s="85"/>
      <c r="CK106" s="85"/>
      <c r="CL106" s="61"/>
      <c r="CM106" s="38" t="s">
        <v>138</v>
      </c>
      <c r="CN106" s="90"/>
      <c r="CO106" s="90"/>
      <c r="CP106" s="90"/>
    </row>
    <row r="107" ht="15.75" customHeight="1">
      <c r="A107" s="75"/>
      <c r="B107" s="59" t="str">
        <f t="array" ref="B107">XLOOKUP(D107, 'マスタ'!$C$2:$C$1000, 'マスタ'!$D$2:$D$1000, "マスタ未登録")</f>
        <v>外注費</v>
      </c>
      <c r="C107" s="53" t="str">
        <f>IF(AND(D107&lt;&gt;"", COUNTIF('マスタ'!$C:$C, D107)=0), "マスタ未登録", "")</f>
        <v/>
      </c>
      <c r="D107" s="84" t="str">
        <f t="shared" si="3"/>
        <v>外注費</v>
      </c>
      <c r="E107" s="63" t="s">
        <v>330</v>
      </c>
      <c r="F107" s="65" t="s">
        <v>79</v>
      </c>
      <c r="G107" s="65"/>
      <c r="H107" s="65"/>
      <c r="I107" s="65" t="s">
        <v>328</v>
      </c>
      <c r="J107" s="65" t="s">
        <v>347</v>
      </c>
      <c r="K107" s="65"/>
      <c r="L107" s="65"/>
      <c r="M107" s="65"/>
      <c r="N107" s="65"/>
      <c r="O107" s="65"/>
      <c r="P107" s="65"/>
      <c r="Q107" s="65"/>
      <c r="R107" s="65"/>
      <c r="S107" s="65"/>
      <c r="T107" s="65"/>
      <c r="U107" s="65"/>
      <c r="V107" s="65"/>
      <c r="W107" s="65"/>
      <c r="X107" s="65"/>
      <c r="Y107" s="65"/>
      <c r="Z107" s="65"/>
      <c r="AA107" s="65"/>
      <c r="AB107" s="65"/>
      <c r="AC107" s="65"/>
      <c r="AD107" s="65">
        <v>-5674835.0</v>
      </c>
      <c r="AE107" s="65">
        <v>-5609695.0</v>
      </c>
      <c r="AF107" s="65">
        <v>-7864003.0</v>
      </c>
      <c r="AG107" s="65">
        <v>-4022520.0</v>
      </c>
      <c r="AH107" s="65">
        <v>-5272728.0</v>
      </c>
      <c r="AI107" s="65">
        <v>-6086180.0</v>
      </c>
      <c r="AJ107" s="65">
        <v>-5559630.0</v>
      </c>
      <c r="AK107" s="65">
        <v>-7136802.0</v>
      </c>
      <c r="AL107" s="65">
        <v>-554254.0</v>
      </c>
      <c r="AM107" s="65">
        <v>-612878.0</v>
      </c>
      <c r="AN107" s="65">
        <v>-332467.0</v>
      </c>
      <c r="AO107" s="65">
        <v>-737688.0</v>
      </c>
      <c r="AP107" s="85">
        <v>-254708.0</v>
      </c>
      <c r="AQ107" s="85">
        <v>-370000.0</v>
      </c>
      <c r="AR107" s="85">
        <v>-370000.0</v>
      </c>
      <c r="AS107" s="85">
        <v>-370000.0</v>
      </c>
      <c r="AT107" s="85">
        <v>-370000.0</v>
      </c>
      <c r="AU107" s="85">
        <v>-370000.0</v>
      </c>
      <c r="AV107" s="85">
        <v>-370000.0</v>
      </c>
      <c r="AW107" s="85">
        <v>-370000.0</v>
      </c>
      <c r="AX107" s="85">
        <v>-370000.0</v>
      </c>
      <c r="AY107" s="85">
        <v>-370000.0</v>
      </c>
      <c r="AZ107" s="85">
        <v>-370000.0</v>
      </c>
      <c r="BA107" s="85">
        <v>-370000.0</v>
      </c>
      <c r="BB107" s="85"/>
      <c r="BC107" s="85"/>
      <c r="BD107" s="85"/>
      <c r="BE107" s="85"/>
      <c r="BF107" s="85"/>
      <c r="BG107" s="85"/>
      <c r="BH107" s="85"/>
      <c r="BI107" s="85"/>
      <c r="BJ107" s="85"/>
      <c r="BK107" s="85"/>
      <c r="BL107" s="85"/>
      <c r="BM107" s="85"/>
      <c r="BN107" s="85"/>
      <c r="BO107" s="85"/>
      <c r="BP107" s="85"/>
      <c r="BQ107" s="85"/>
      <c r="BR107" s="85"/>
      <c r="BS107" s="85"/>
      <c r="BT107" s="85"/>
      <c r="BU107" s="85"/>
      <c r="BV107" s="85"/>
      <c r="BW107" s="85"/>
      <c r="BX107" s="85"/>
      <c r="BY107" s="85"/>
      <c r="BZ107" s="85"/>
      <c r="CA107" s="85"/>
      <c r="CB107" s="85"/>
      <c r="CC107" s="85"/>
      <c r="CD107" s="85"/>
      <c r="CE107" s="85"/>
      <c r="CF107" s="85"/>
      <c r="CG107" s="85"/>
      <c r="CH107" s="85"/>
      <c r="CI107" s="85"/>
      <c r="CJ107" s="85"/>
      <c r="CK107" s="85"/>
      <c r="CL107" s="61"/>
      <c r="CM107" s="38" t="s">
        <v>79</v>
      </c>
      <c r="CN107" s="90"/>
      <c r="CO107" s="61"/>
      <c r="CP107" s="61"/>
    </row>
    <row r="108" ht="15.75" customHeight="1">
      <c r="A108" s="75"/>
      <c r="B108" s="59" t="str">
        <f t="array" ref="B108">XLOOKUP(D108, 'マスタ'!$C$2:$C$1000, 'マスタ'!$D$2:$D$1000, "マスタ未登録")</f>
        <v>荷造運賃</v>
      </c>
      <c r="C108" s="53" t="str">
        <f>IF(AND(D108&lt;&gt;"", COUNTIF('マスタ'!$C:$C, D108)=0), "マスタ未登録", "")</f>
        <v/>
      </c>
      <c r="D108" s="84" t="str">
        <f t="shared" si="3"/>
        <v>荷造運賃</v>
      </c>
      <c r="E108" s="63" t="s">
        <v>330</v>
      </c>
      <c r="F108" s="65" t="s">
        <v>80</v>
      </c>
      <c r="G108" s="65"/>
      <c r="H108" s="65"/>
      <c r="I108" s="65" t="s">
        <v>328</v>
      </c>
      <c r="J108" s="65" t="s">
        <v>347</v>
      </c>
      <c r="K108" s="65"/>
      <c r="L108" s="65"/>
      <c r="M108" s="65"/>
      <c r="N108" s="65"/>
      <c r="O108" s="65"/>
      <c r="P108" s="65"/>
      <c r="Q108" s="65"/>
      <c r="R108" s="65"/>
      <c r="S108" s="65"/>
      <c r="T108" s="65"/>
      <c r="U108" s="65"/>
      <c r="V108" s="65"/>
      <c r="W108" s="65"/>
      <c r="X108" s="65"/>
      <c r="Y108" s="65"/>
      <c r="Z108" s="65"/>
      <c r="AA108" s="65"/>
      <c r="AB108" s="65"/>
      <c r="AC108" s="65"/>
      <c r="AD108" s="65">
        <v>0.0</v>
      </c>
      <c r="AE108" s="65">
        <v>-1682.0</v>
      </c>
      <c r="AF108" s="65">
        <v>-6400.0</v>
      </c>
      <c r="AG108" s="65">
        <v>-13350.0</v>
      </c>
      <c r="AH108" s="65">
        <v>-43155.0</v>
      </c>
      <c r="AI108" s="65">
        <v>-8433.0</v>
      </c>
      <c r="AJ108" s="65">
        <v>-39220.0</v>
      </c>
      <c r="AK108" s="65">
        <v>-2010.0</v>
      </c>
      <c r="AL108" s="65">
        <v>0.0</v>
      </c>
      <c r="AM108" s="65">
        <v>-391.0</v>
      </c>
      <c r="AN108" s="65">
        <v>0.0</v>
      </c>
      <c r="AO108" s="65">
        <v>-1173.0</v>
      </c>
      <c r="AP108" s="85">
        <v>-4000.0</v>
      </c>
      <c r="AQ108" s="85">
        <v>0.0</v>
      </c>
      <c r="AR108" s="85">
        <v>0.0</v>
      </c>
      <c r="AS108" s="85">
        <v>0.0</v>
      </c>
      <c r="AT108" s="85">
        <v>0.0</v>
      </c>
      <c r="AU108" s="85">
        <v>0.0</v>
      </c>
      <c r="AV108" s="85">
        <v>0.0</v>
      </c>
      <c r="AW108" s="85">
        <v>0.0</v>
      </c>
      <c r="AX108" s="85">
        <v>0.0</v>
      </c>
      <c r="AY108" s="85">
        <v>0.0</v>
      </c>
      <c r="AZ108" s="85">
        <v>0.0</v>
      </c>
      <c r="BA108" s="85">
        <v>0.0</v>
      </c>
      <c r="BB108" s="85"/>
      <c r="BC108" s="85"/>
      <c r="BD108" s="85"/>
      <c r="BE108" s="85"/>
      <c r="BF108" s="85"/>
      <c r="BG108" s="85"/>
      <c r="BH108" s="85"/>
      <c r="BI108" s="85"/>
      <c r="BJ108" s="85"/>
      <c r="BK108" s="85"/>
      <c r="BL108" s="85"/>
      <c r="BM108" s="85"/>
      <c r="BN108" s="85"/>
      <c r="BO108" s="85"/>
      <c r="BP108" s="85"/>
      <c r="BQ108" s="85"/>
      <c r="BR108" s="85"/>
      <c r="BS108" s="85"/>
      <c r="BT108" s="85"/>
      <c r="BU108" s="85"/>
      <c r="BV108" s="85"/>
      <c r="BW108" s="85"/>
      <c r="BX108" s="85"/>
      <c r="BY108" s="85"/>
      <c r="BZ108" s="85"/>
      <c r="CA108" s="85"/>
      <c r="CB108" s="85"/>
      <c r="CC108" s="85"/>
      <c r="CD108" s="85"/>
      <c r="CE108" s="85"/>
      <c r="CF108" s="85"/>
      <c r="CG108" s="85"/>
      <c r="CH108" s="85"/>
      <c r="CI108" s="85"/>
      <c r="CJ108" s="85"/>
      <c r="CK108" s="85"/>
      <c r="CL108" s="61"/>
      <c r="CM108" s="38" t="s">
        <v>80</v>
      </c>
      <c r="CN108" s="90"/>
      <c r="CO108" s="61"/>
      <c r="CP108" s="61"/>
    </row>
    <row r="109" ht="15.75" customHeight="1">
      <c r="A109" s="75"/>
      <c r="B109" s="59" t="str">
        <f t="array" ref="B109">XLOOKUP(D109, 'マスタ'!$C$2:$C$1000, 'マスタ'!$D$2:$D$1000, "マスタ未登録")</f>
        <v>支払手数料</v>
      </c>
      <c r="C109" s="53" t="str">
        <f>IF(AND(D109&lt;&gt;"", COUNTIF('マスタ'!$C:$C, D109)=0), "マスタ未登録", "")</f>
        <v/>
      </c>
      <c r="D109" s="84" t="str">
        <f t="shared" si="3"/>
        <v>支払手数料</v>
      </c>
      <c r="E109" s="63" t="s">
        <v>330</v>
      </c>
      <c r="F109" s="65" t="s">
        <v>92</v>
      </c>
      <c r="G109" s="65"/>
      <c r="H109" s="65"/>
      <c r="I109" s="65" t="s">
        <v>328</v>
      </c>
      <c r="J109" s="65" t="s">
        <v>347</v>
      </c>
      <c r="K109" s="65"/>
      <c r="L109" s="65"/>
      <c r="M109" s="65"/>
      <c r="N109" s="65"/>
      <c r="O109" s="65"/>
      <c r="P109" s="65"/>
      <c r="Q109" s="65"/>
      <c r="R109" s="65"/>
      <c r="S109" s="65"/>
      <c r="T109" s="65"/>
      <c r="U109" s="65"/>
      <c r="V109" s="65"/>
      <c r="W109" s="65"/>
      <c r="X109" s="65"/>
      <c r="Y109" s="65"/>
      <c r="Z109" s="65"/>
      <c r="AA109" s="65"/>
      <c r="AB109" s="65"/>
      <c r="AC109" s="65"/>
      <c r="AD109" s="65">
        <v>-410877.0</v>
      </c>
      <c r="AE109" s="65">
        <v>-307554.0</v>
      </c>
      <c r="AF109" s="65">
        <v>-1094616.0</v>
      </c>
      <c r="AG109" s="65">
        <v>-305838.0</v>
      </c>
      <c r="AH109" s="65">
        <v>-433670.0</v>
      </c>
      <c r="AI109" s="65">
        <v>-1208553.0</v>
      </c>
      <c r="AJ109" s="65">
        <v>-387140.0</v>
      </c>
      <c r="AK109" s="65">
        <v>-3152331.0</v>
      </c>
      <c r="AL109" s="65">
        <v>-142500.0</v>
      </c>
      <c r="AM109" s="65">
        <v>-142999.0</v>
      </c>
      <c r="AN109" s="65">
        <v>-141000.0</v>
      </c>
      <c r="AO109" s="65">
        <v>-142000.0</v>
      </c>
      <c r="AP109" s="85">
        <v>-142000.0</v>
      </c>
      <c r="AQ109" s="85">
        <v>-146636.0</v>
      </c>
      <c r="AR109" s="85">
        <v>-146636.0</v>
      </c>
      <c r="AS109" s="85">
        <v>-146636.0</v>
      </c>
      <c r="AT109" s="85">
        <v>-146636.0</v>
      </c>
      <c r="AU109" s="85">
        <v>-146636.0</v>
      </c>
      <c r="AV109" s="85">
        <v>-146636.0</v>
      </c>
      <c r="AW109" s="85">
        <v>-146636.0</v>
      </c>
      <c r="AX109" s="85">
        <v>-146636.0</v>
      </c>
      <c r="AY109" s="85">
        <v>-146636.0</v>
      </c>
      <c r="AZ109" s="85">
        <v>-146636.0</v>
      </c>
      <c r="BA109" s="85">
        <v>-146636.0</v>
      </c>
      <c r="BB109" s="85"/>
      <c r="BC109" s="85"/>
      <c r="BD109" s="85"/>
      <c r="BE109" s="85"/>
      <c r="BF109" s="85"/>
      <c r="BG109" s="85"/>
      <c r="BH109" s="85"/>
      <c r="BI109" s="85"/>
      <c r="BJ109" s="85"/>
      <c r="BK109" s="85"/>
      <c r="BL109" s="85"/>
      <c r="BM109" s="85"/>
      <c r="BN109" s="85"/>
      <c r="BO109" s="85"/>
      <c r="BP109" s="85"/>
      <c r="BQ109" s="85"/>
      <c r="BR109" s="85"/>
      <c r="BS109" s="85"/>
      <c r="BT109" s="85"/>
      <c r="BU109" s="85"/>
      <c r="BV109" s="85"/>
      <c r="BW109" s="85"/>
      <c r="BX109" s="85"/>
      <c r="BY109" s="85"/>
      <c r="BZ109" s="85"/>
      <c r="CA109" s="85"/>
      <c r="CB109" s="85"/>
      <c r="CC109" s="85"/>
      <c r="CD109" s="85"/>
      <c r="CE109" s="85"/>
      <c r="CF109" s="85"/>
      <c r="CG109" s="85"/>
      <c r="CH109" s="85"/>
      <c r="CI109" s="85"/>
      <c r="CJ109" s="85"/>
      <c r="CK109" s="85"/>
      <c r="CL109" s="61"/>
      <c r="CM109" s="38" t="s">
        <v>92</v>
      </c>
      <c r="CN109" s="90"/>
      <c r="CO109" s="61"/>
      <c r="CP109" s="61"/>
    </row>
    <row r="110" ht="15.75" customHeight="1">
      <c r="A110" s="75"/>
      <c r="B110" s="59" t="str">
        <f t="array" ref="B110">XLOOKUP(D110, 'マスタ'!$C$2:$C$1000, 'マスタ'!$D$2:$D$1000, "マスタ未登録")</f>
        <v>保険料</v>
      </c>
      <c r="C110" s="53" t="str">
        <f>IF(AND(D110&lt;&gt;"", COUNTIF('マスタ'!$C:$C, D110)=0), "マスタ未登録", "")</f>
        <v/>
      </c>
      <c r="D110" s="84" t="str">
        <f t="shared" si="3"/>
        <v>保険料</v>
      </c>
      <c r="E110" s="63" t="s">
        <v>330</v>
      </c>
      <c r="F110" s="65" t="s">
        <v>90</v>
      </c>
      <c r="G110" s="65"/>
      <c r="H110" s="65"/>
      <c r="I110" s="65" t="s">
        <v>328</v>
      </c>
      <c r="J110" s="65" t="s">
        <v>347</v>
      </c>
      <c r="K110" s="65"/>
      <c r="L110" s="65"/>
      <c r="M110" s="65"/>
      <c r="N110" s="65"/>
      <c r="O110" s="65"/>
      <c r="P110" s="65"/>
      <c r="Q110" s="65"/>
      <c r="R110" s="65"/>
      <c r="S110" s="65"/>
      <c r="T110" s="65"/>
      <c r="U110" s="65"/>
      <c r="V110" s="65"/>
      <c r="W110" s="65"/>
      <c r="X110" s="65"/>
      <c r="Y110" s="65"/>
      <c r="Z110" s="65"/>
      <c r="AA110" s="65"/>
      <c r="AB110" s="65"/>
      <c r="AC110" s="65"/>
      <c r="AD110" s="65">
        <v>0.0</v>
      </c>
      <c r="AE110" s="65">
        <v>0.0</v>
      </c>
      <c r="AF110" s="65">
        <v>0.0</v>
      </c>
      <c r="AG110" s="65">
        <v>0.0</v>
      </c>
      <c r="AH110" s="65">
        <v>0.0</v>
      </c>
      <c r="AI110" s="65">
        <v>0.0</v>
      </c>
      <c r="AJ110" s="65">
        <v>0.0</v>
      </c>
      <c r="AK110" s="65">
        <v>0.0</v>
      </c>
      <c r="AL110" s="65">
        <v>0.0</v>
      </c>
      <c r="AM110" s="65">
        <v>0.0</v>
      </c>
      <c r="AN110" s="65">
        <v>0.0</v>
      </c>
      <c r="AO110" s="65">
        <v>0.0</v>
      </c>
      <c r="AP110" s="85">
        <v>0.0</v>
      </c>
      <c r="AQ110" s="85">
        <v>0.0</v>
      </c>
      <c r="AR110" s="85">
        <v>0.0</v>
      </c>
      <c r="AS110" s="85">
        <v>0.0</v>
      </c>
      <c r="AT110" s="85">
        <v>0.0</v>
      </c>
      <c r="AU110" s="85">
        <v>0.0</v>
      </c>
      <c r="AV110" s="85">
        <v>0.0</v>
      </c>
      <c r="AW110" s="85">
        <v>0.0</v>
      </c>
      <c r="AX110" s="85">
        <v>0.0</v>
      </c>
      <c r="AY110" s="85">
        <v>0.0</v>
      </c>
      <c r="AZ110" s="85">
        <v>0.0</v>
      </c>
      <c r="BA110" s="85">
        <v>0.0</v>
      </c>
      <c r="BB110" s="85"/>
      <c r="BC110" s="85"/>
      <c r="BD110" s="85"/>
      <c r="BE110" s="85"/>
      <c r="BF110" s="85"/>
      <c r="BG110" s="85"/>
      <c r="BH110" s="85"/>
      <c r="BI110" s="85"/>
      <c r="BJ110" s="85"/>
      <c r="BK110" s="85"/>
      <c r="BL110" s="85"/>
      <c r="BM110" s="85"/>
      <c r="BN110" s="85"/>
      <c r="BO110" s="85"/>
      <c r="BP110" s="85"/>
      <c r="BQ110" s="85"/>
      <c r="BR110" s="85"/>
      <c r="BS110" s="85"/>
      <c r="BT110" s="85"/>
      <c r="BU110" s="85"/>
      <c r="BV110" s="85"/>
      <c r="BW110" s="85"/>
      <c r="BX110" s="85"/>
      <c r="BY110" s="85"/>
      <c r="BZ110" s="85"/>
      <c r="CA110" s="85"/>
      <c r="CB110" s="85"/>
      <c r="CC110" s="85"/>
      <c r="CD110" s="85"/>
      <c r="CE110" s="85"/>
      <c r="CF110" s="85"/>
      <c r="CG110" s="85"/>
      <c r="CH110" s="85"/>
      <c r="CI110" s="85"/>
      <c r="CJ110" s="85"/>
      <c r="CK110" s="85"/>
      <c r="CL110" s="61"/>
      <c r="CM110" s="38" t="s">
        <v>90</v>
      </c>
      <c r="CN110" s="90"/>
      <c r="CO110" s="61"/>
      <c r="CP110" s="61"/>
    </row>
    <row r="111" ht="15.75" customHeight="1">
      <c r="A111" s="75"/>
      <c r="B111" s="59" t="str">
        <f t="array" ref="B111">XLOOKUP(D111, 'マスタ'!$C$2:$C$1000, 'マスタ'!$D$2:$D$1000, "マスタ未登録")</f>
        <v>広告宣伝費</v>
      </c>
      <c r="C111" s="53" t="str">
        <f>IF(AND(D111&lt;&gt;"", COUNTIF('マスタ'!$C:$C, D111)=0), "マスタ未登録", "")</f>
        <v/>
      </c>
      <c r="D111" s="84" t="str">
        <f t="shared" si="3"/>
        <v>広告宣伝費</v>
      </c>
      <c r="E111" s="63" t="s">
        <v>331</v>
      </c>
      <c r="F111" s="65" t="s">
        <v>81</v>
      </c>
      <c r="G111" s="65"/>
      <c r="H111" s="65"/>
      <c r="I111" s="65" t="s">
        <v>328</v>
      </c>
      <c r="J111" s="65" t="s">
        <v>347</v>
      </c>
      <c r="K111" s="65"/>
      <c r="L111" s="65"/>
      <c r="M111" s="65"/>
      <c r="N111" s="65"/>
      <c r="O111" s="65"/>
      <c r="P111" s="65"/>
      <c r="Q111" s="65"/>
      <c r="R111" s="65"/>
      <c r="S111" s="65"/>
      <c r="T111" s="65"/>
      <c r="U111" s="65"/>
      <c r="V111" s="65"/>
      <c r="W111" s="65"/>
      <c r="X111" s="65"/>
      <c r="Y111" s="65"/>
      <c r="Z111" s="65"/>
      <c r="AA111" s="65"/>
      <c r="AB111" s="65"/>
      <c r="AC111" s="65"/>
      <c r="AD111" s="65">
        <v>0.0</v>
      </c>
      <c r="AE111" s="65">
        <v>0.0</v>
      </c>
      <c r="AF111" s="65">
        <v>0.0</v>
      </c>
      <c r="AG111" s="65">
        <v>0.0</v>
      </c>
      <c r="AH111" s="65">
        <v>0.0</v>
      </c>
      <c r="AI111" s="65">
        <v>0.0</v>
      </c>
      <c r="AJ111" s="65">
        <v>0.0</v>
      </c>
      <c r="AK111" s="65">
        <v>0.0</v>
      </c>
      <c r="AL111" s="65">
        <v>0.0</v>
      </c>
      <c r="AM111" s="65">
        <v>0.0</v>
      </c>
      <c r="AN111" s="65">
        <v>0.0</v>
      </c>
      <c r="AO111" s="65">
        <v>0.0</v>
      </c>
      <c r="AP111" s="85">
        <v>0.0</v>
      </c>
      <c r="AQ111" s="85">
        <v>0.0</v>
      </c>
      <c r="AR111" s="85">
        <v>0.0</v>
      </c>
      <c r="AS111" s="85">
        <v>0.0</v>
      </c>
      <c r="AT111" s="85">
        <v>0.0</v>
      </c>
      <c r="AU111" s="85">
        <v>0.0</v>
      </c>
      <c r="AV111" s="85">
        <v>0.0</v>
      </c>
      <c r="AW111" s="85">
        <v>0.0</v>
      </c>
      <c r="AX111" s="85">
        <v>0.0</v>
      </c>
      <c r="AY111" s="85">
        <v>0.0</v>
      </c>
      <c r="AZ111" s="85">
        <v>0.0</v>
      </c>
      <c r="BA111" s="85">
        <v>0.0</v>
      </c>
      <c r="BB111" s="85"/>
      <c r="BC111" s="85"/>
      <c r="BD111" s="85"/>
      <c r="BE111" s="85"/>
      <c r="BF111" s="85"/>
      <c r="BG111" s="85"/>
      <c r="BH111" s="85"/>
      <c r="BI111" s="85"/>
      <c r="BJ111" s="85"/>
      <c r="BK111" s="85"/>
      <c r="BL111" s="85"/>
      <c r="BM111" s="85"/>
      <c r="BN111" s="85"/>
      <c r="BO111" s="85"/>
      <c r="BP111" s="85"/>
      <c r="BQ111" s="85"/>
      <c r="BR111" s="85"/>
      <c r="BS111" s="85"/>
      <c r="BT111" s="85"/>
      <c r="BU111" s="85"/>
      <c r="BV111" s="85"/>
      <c r="BW111" s="85"/>
      <c r="BX111" s="85"/>
      <c r="BY111" s="85"/>
      <c r="BZ111" s="85"/>
      <c r="CA111" s="85"/>
      <c r="CB111" s="85"/>
      <c r="CC111" s="85"/>
      <c r="CD111" s="85"/>
      <c r="CE111" s="85"/>
      <c r="CF111" s="85"/>
      <c r="CG111" s="85"/>
      <c r="CH111" s="85"/>
      <c r="CI111" s="85"/>
      <c r="CJ111" s="85"/>
      <c r="CK111" s="85"/>
      <c r="CL111" s="61"/>
      <c r="CM111" s="38" t="s">
        <v>81</v>
      </c>
      <c r="CN111" s="90"/>
      <c r="CO111" s="61"/>
      <c r="CP111" s="61"/>
    </row>
    <row r="112" ht="15.75" customHeight="1">
      <c r="A112" s="75"/>
      <c r="B112" s="59" t="str">
        <f t="array" ref="B112">XLOOKUP(D112, 'マスタ'!$C$2:$C$1000, 'マスタ'!$D$2:$D$1000, "マスタ未登録")</f>
        <v>その他</v>
      </c>
      <c r="C112" s="53" t="str">
        <f>IF(AND(D112&lt;&gt;"", COUNTIF('マスタ'!$C:$C, D112)=0), "マスタ未登録", "")</f>
        <v/>
      </c>
      <c r="D112" s="84" t="str">
        <f t="shared" si="3"/>
        <v>その他(変)</v>
      </c>
      <c r="E112" s="63" t="s">
        <v>331</v>
      </c>
      <c r="F112" s="65" t="s">
        <v>345</v>
      </c>
      <c r="G112" s="65"/>
      <c r="H112" s="65"/>
      <c r="I112" s="65" t="s">
        <v>328</v>
      </c>
      <c r="J112" s="65" t="s">
        <v>347</v>
      </c>
      <c r="K112" s="65"/>
      <c r="L112" s="65"/>
      <c r="M112" s="65"/>
      <c r="N112" s="65"/>
      <c r="O112" s="65"/>
      <c r="P112" s="65"/>
      <c r="Q112" s="65"/>
      <c r="R112" s="65"/>
      <c r="S112" s="65"/>
      <c r="T112" s="65"/>
      <c r="U112" s="65"/>
      <c r="V112" s="65"/>
      <c r="W112" s="65"/>
      <c r="X112" s="65"/>
      <c r="Y112" s="65"/>
      <c r="Z112" s="65"/>
      <c r="AA112" s="65"/>
      <c r="AB112" s="65"/>
      <c r="AC112" s="65"/>
      <c r="AD112" s="65">
        <v>0.0</v>
      </c>
      <c r="AE112" s="65">
        <v>0.0</v>
      </c>
      <c r="AF112" s="65">
        <v>0.0</v>
      </c>
      <c r="AG112" s="65">
        <v>0.0</v>
      </c>
      <c r="AH112" s="65">
        <v>0.0</v>
      </c>
      <c r="AI112" s="65">
        <v>0.0</v>
      </c>
      <c r="AJ112" s="65">
        <v>0.0</v>
      </c>
      <c r="AK112" s="65">
        <v>0.0</v>
      </c>
      <c r="AL112" s="65">
        <v>0.0</v>
      </c>
      <c r="AM112" s="65">
        <v>0.0</v>
      </c>
      <c r="AN112" s="65">
        <v>0.0</v>
      </c>
      <c r="AO112" s="65">
        <v>0.0</v>
      </c>
      <c r="AP112" s="85">
        <v>0.0</v>
      </c>
      <c r="AQ112" s="85">
        <v>0.0</v>
      </c>
      <c r="AR112" s="85">
        <v>0.0</v>
      </c>
      <c r="AS112" s="85">
        <v>0.0</v>
      </c>
      <c r="AT112" s="85">
        <v>0.0</v>
      </c>
      <c r="AU112" s="85">
        <v>0.0</v>
      </c>
      <c r="AV112" s="85">
        <v>0.0</v>
      </c>
      <c r="AW112" s="85">
        <v>0.0</v>
      </c>
      <c r="AX112" s="85">
        <v>0.0</v>
      </c>
      <c r="AY112" s="85">
        <v>0.0</v>
      </c>
      <c r="AZ112" s="85">
        <v>0.0</v>
      </c>
      <c r="BA112" s="85">
        <v>0.0</v>
      </c>
      <c r="BB112" s="85"/>
      <c r="BC112" s="85"/>
      <c r="BD112" s="85"/>
      <c r="BE112" s="85"/>
      <c r="BF112" s="85"/>
      <c r="BG112" s="85"/>
      <c r="BH112" s="85"/>
      <c r="BI112" s="85"/>
      <c r="BJ112" s="85"/>
      <c r="BK112" s="85"/>
      <c r="BL112" s="85"/>
      <c r="BM112" s="85"/>
      <c r="BN112" s="85"/>
      <c r="BO112" s="85"/>
      <c r="BP112" s="85"/>
      <c r="BQ112" s="85"/>
      <c r="BR112" s="85"/>
      <c r="BS112" s="85"/>
      <c r="BT112" s="85"/>
      <c r="BU112" s="85"/>
      <c r="BV112" s="85"/>
      <c r="BW112" s="85"/>
      <c r="BX112" s="85"/>
      <c r="BY112" s="85"/>
      <c r="BZ112" s="85"/>
      <c r="CA112" s="85"/>
      <c r="CB112" s="85"/>
      <c r="CC112" s="85"/>
      <c r="CD112" s="85"/>
      <c r="CE112" s="85"/>
      <c r="CF112" s="85"/>
      <c r="CG112" s="85"/>
      <c r="CH112" s="85"/>
      <c r="CI112" s="85"/>
      <c r="CJ112" s="85"/>
      <c r="CK112" s="85"/>
      <c r="CL112" s="61"/>
      <c r="CM112" s="38" t="s">
        <v>341</v>
      </c>
      <c r="CN112" s="90"/>
      <c r="CO112" s="61"/>
      <c r="CP112" s="61"/>
    </row>
    <row r="113" ht="15.75" customHeight="1">
      <c r="A113" s="75"/>
      <c r="B113" s="59" t="str">
        <f t="array" ref="B113">XLOOKUP(D113, 'マスタ'!$C$2:$C$1000, 'マスタ'!$D$2:$D$1000, "マスタ未登録")</f>
        <v>当期商品仕入高</v>
      </c>
      <c r="C113" s="53" t="str">
        <f>IF(AND(D113&lt;&gt;"", COUNTIF('マスタ'!$C:$C, D113)=0), "マスタ未登録", "")</f>
        <v/>
      </c>
      <c r="D113" s="84" t="str">
        <f t="shared" si="3"/>
        <v>タレント報酬</v>
      </c>
      <c r="E113" s="63" t="s">
        <v>331</v>
      </c>
      <c r="F113" s="65" t="s">
        <v>332</v>
      </c>
      <c r="G113" s="65"/>
      <c r="H113" s="65"/>
      <c r="I113" s="65" t="s">
        <v>328</v>
      </c>
      <c r="J113" s="65" t="s">
        <v>347</v>
      </c>
      <c r="K113" s="65"/>
      <c r="L113" s="65"/>
      <c r="M113" s="65"/>
      <c r="N113" s="65"/>
      <c r="O113" s="65"/>
      <c r="P113" s="65"/>
      <c r="Q113" s="65"/>
      <c r="R113" s="65"/>
      <c r="S113" s="65"/>
      <c r="T113" s="65"/>
      <c r="U113" s="65"/>
      <c r="V113" s="65"/>
      <c r="W113" s="65"/>
      <c r="X113" s="65"/>
      <c r="Y113" s="65"/>
      <c r="Z113" s="65"/>
      <c r="AA113" s="65"/>
      <c r="AB113" s="65"/>
      <c r="AC113" s="65"/>
      <c r="AD113" s="65">
        <v>0.0</v>
      </c>
      <c r="AE113" s="65">
        <v>0.0</v>
      </c>
      <c r="AF113" s="65">
        <v>0.0</v>
      </c>
      <c r="AG113" s="65">
        <v>0.0</v>
      </c>
      <c r="AH113" s="65">
        <v>0.0</v>
      </c>
      <c r="AI113" s="65">
        <v>0.0</v>
      </c>
      <c r="AJ113" s="65">
        <v>0.0</v>
      </c>
      <c r="AK113" s="65">
        <v>0.0</v>
      </c>
      <c r="AL113" s="65">
        <v>0.0</v>
      </c>
      <c r="AM113" s="65">
        <v>0.0</v>
      </c>
      <c r="AN113" s="65">
        <v>0.0</v>
      </c>
      <c r="AO113" s="65">
        <v>0.0</v>
      </c>
      <c r="AP113" s="85">
        <v>0.0</v>
      </c>
      <c r="AQ113" s="85">
        <v>0.0</v>
      </c>
      <c r="AR113" s="85">
        <v>0.0</v>
      </c>
      <c r="AS113" s="85">
        <v>0.0</v>
      </c>
      <c r="AT113" s="85">
        <v>0.0</v>
      </c>
      <c r="AU113" s="85">
        <v>0.0</v>
      </c>
      <c r="AV113" s="85">
        <v>0.0</v>
      </c>
      <c r="AW113" s="85">
        <v>0.0</v>
      </c>
      <c r="AX113" s="85">
        <v>0.0</v>
      </c>
      <c r="AY113" s="85">
        <v>0.0</v>
      </c>
      <c r="AZ113" s="85">
        <v>0.0</v>
      </c>
      <c r="BA113" s="85">
        <v>0.0</v>
      </c>
      <c r="BB113" s="85"/>
      <c r="BC113" s="85"/>
      <c r="BD113" s="85"/>
      <c r="BE113" s="85"/>
      <c r="BF113" s="85"/>
      <c r="BG113" s="85"/>
      <c r="BH113" s="85"/>
      <c r="BI113" s="85"/>
      <c r="BJ113" s="85"/>
      <c r="BK113" s="85"/>
      <c r="BL113" s="85"/>
      <c r="BM113" s="85"/>
      <c r="BN113" s="85"/>
      <c r="BO113" s="85"/>
      <c r="BP113" s="85"/>
      <c r="BQ113" s="85"/>
      <c r="BR113" s="85"/>
      <c r="BS113" s="85"/>
      <c r="BT113" s="85"/>
      <c r="BU113" s="85"/>
      <c r="BV113" s="85"/>
      <c r="BW113" s="85"/>
      <c r="BX113" s="85"/>
      <c r="BY113" s="85"/>
      <c r="BZ113" s="85"/>
      <c r="CA113" s="85"/>
      <c r="CB113" s="85"/>
      <c r="CC113" s="85"/>
      <c r="CD113" s="85"/>
      <c r="CE113" s="85"/>
      <c r="CF113" s="85"/>
      <c r="CG113" s="85"/>
      <c r="CH113" s="85"/>
      <c r="CI113" s="85"/>
      <c r="CJ113" s="85"/>
      <c r="CK113" s="85"/>
      <c r="CL113" s="61"/>
      <c r="CM113" s="38" t="s">
        <v>332</v>
      </c>
      <c r="CN113" s="90"/>
      <c r="CO113" s="61"/>
      <c r="CP113" s="61"/>
    </row>
    <row r="114" ht="15.75" customHeight="1">
      <c r="A114" s="75"/>
      <c r="B114" s="59" t="str">
        <f t="array" ref="B114">XLOOKUP(D114, 'マスタ'!$C$2:$C$1000, 'マスタ'!$D$2:$D$1000, "マスタ未登録")</f>
        <v>当期商品仕入高</v>
      </c>
      <c r="C114" s="53" t="str">
        <f>IF(AND(D114&lt;&gt;"", COUNTIF('マスタ'!$C:$C, D114)=0), "マスタ未登録", "")</f>
        <v/>
      </c>
      <c r="D114" s="84" t="str">
        <f t="shared" si="3"/>
        <v>人件費</v>
      </c>
      <c r="E114" s="63" t="s">
        <v>331</v>
      </c>
      <c r="F114" s="65" t="s">
        <v>163</v>
      </c>
      <c r="G114" s="65"/>
      <c r="H114" s="65"/>
      <c r="I114" s="65" t="s">
        <v>328</v>
      </c>
      <c r="J114" s="65" t="s">
        <v>347</v>
      </c>
      <c r="K114" s="65"/>
      <c r="L114" s="65"/>
      <c r="M114" s="65"/>
      <c r="N114" s="65"/>
      <c r="O114" s="65"/>
      <c r="P114" s="65"/>
      <c r="Q114" s="65"/>
      <c r="R114" s="65"/>
      <c r="S114" s="65"/>
      <c r="T114" s="65"/>
      <c r="U114" s="65"/>
      <c r="V114" s="65"/>
      <c r="W114" s="65"/>
      <c r="X114" s="65"/>
      <c r="Y114" s="65"/>
      <c r="Z114" s="65"/>
      <c r="AA114" s="65"/>
      <c r="AB114" s="65"/>
      <c r="AC114" s="65"/>
      <c r="AD114" s="65">
        <v>-4168983.0</v>
      </c>
      <c r="AE114" s="65">
        <v>-4018227.0</v>
      </c>
      <c r="AF114" s="65">
        <v>-4231665.0</v>
      </c>
      <c r="AG114" s="65">
        <v>-4143825.0</v>
      </c>
      <c r="AH114" s="65">
        <v>-4508798.0</v>
      </c>
      <c r="AI114" s="65">
        <v>-4675962.0</v>
      </c>
      <c r="AJ114" s="65">
        <v>-4180932.0</v>
      </c>
      <c r="AK114" s="65">
        <v>-4208032.0</v>
      </c>
      <c r="AL114" s="65">
        <v>-1691183.0</v>
      </c>
      <c r="AM114" s="65">
        <v>-1704011.0</v>
      </c>
      <c r="AN114" s="65">
        <v>-1624830.0</v>
      </c>
      <c r="AO114" s="65">
        <v>-1761584.0</v>
      </c>
      <c r="AP114" s="85">
        <v>-1751164.0</v>
      </c>
      <c r="AQ114" s="85">
        <v>-1124421.0</v>
      </c>
      <c r="AR114" s="85">
        <v>-1086481.0</v>
      </c>
      <c r="AS114" s="85">
        <v>-1090497.0</v>
      </c>
      <c r="AT114" s="85">
        <v>-1086298.0</v>
      </c>
      <c r="AU114" s="85">
        <v>-1201226.0</v>
      </c>
      <c r="AV114" s="85">
        <v>-1133900.0</v>
      </c>
      <c r="AW114" s="85">
        <v>-1072437.0</v>
      </c>
      <c r="AX114" s="85">
        <v>-1105866.0</v>
      </c>
      <c r="AY114" s="85">
        <v>-1093428.0</v>
      </c>
      <c r="AZ114" s="85">
        <v>-1065655.0</v>
      </c>
      <c r="BA114" s="85">
        <v>-1165111.0</v>
      </c>
      <c r="BB114" s="85"/>
      <c r="BC114" s="85"/>
      <c r="BD114" s="85"/>
      <c r="BE114" s="85"/>
      <c r="BF114" s="85"/>
      <c r="BG114" s="85"/>
      <c r="BH114" s="85"/>
      <c r="BI114" s="85"/>
      <c r="BJ114" s="85"/>
      <c r="BK114" s="85"/>
      <c r="BL114" s="85"/>
      <c r="BM114" s="85"/>
      <c r="BN114" s="85"/>
      <c r="BO114" s="85"/>
      <c r="BP114" s="85"/>
      <c r="BQ114" s="85"/>
      <c r="BR114" s="85"/>
      <c r="BS114" s="85"/>
      <c r="BT114" s="85"/>
      <c r="BU114" s="85"/>
      <c r="BV114" s="85"/>
      <c r="BW114" s="85"/>
      <c r="BX114" s="85"/>
      <c r="BY114" s="85"/>
      <c r="BZ114" s="85"/>
      <c r="CA114" s="85"/>
      <c r="CB114" s="85"/>
      <c r="CC114" s="85"/>
      <c r="CD114" s="85"/>
      <c r="CE114" s="85"/>
      <c r="CF114" s="85"/>
      <c r="CG114" s="85"/>
      <c r="CH114" s="85"/>
      <c r="CI114" s="85"/>
      <c r="CJ114" s="85"/>
      <c r="CK114" s="85"/>
      <c r="CL114" s="61"/>
      <c r="CM114" s="38" t="s">
        <v>163</v>
      </c>
      <c r="CN114" s="90"/>
      <c r="CO114" s="61"/>
      <c r="CP114" s="61"/>
    </row>
    <row r="115" ht="15.75" customHeight="1">
      <c r="A115" s="75"/>
      <c r="B115" s="59" t="str">
        <f t="array" ref="B115">XLOOKUP(D115, 'マスタ'!$C$2:$C$1000, 'マスタ'!$D$2:$D$1000, "マスタ未登録")</f>
        <v>採用教育費</v>
      </c>
      <c r="C115" s="53" t="str">
        <f>IF(AND(D115&lt;&gt;"", COUNTIF('マスタ'!$C:$C, D115)=0), "マスタ未登録", "")</f>
        <v/>
      </c>
      <c r="D115" s="84" t="str">
        <f t="shared" si="3"/>
        <v>採用教育費</v>
      </c>
      <c r="E115" s="63" t="s">
        <v>331</v>
      </c>
      <c r="F115" s="65" t="s">
        <v>77</v>
      </c>
      <c r="G115" s="65"/>
      <c r="H115" s="65"/>
      <c r="I115" s="65" t="s">
        <v>328</v>
      </c>
      <c r="J115" s="65" t="s">
        <v>347</v>
      </c>
      <c r="K115" s="65"/>
      <c r="L115" s="65"/>
      <c r="M115" s="65"/>
      <c r="N115" s="65"/>
      <c r="O115" s="65"/>
      <c r="P115" s="65"/>
      <c r="Q115" s="65"/>
      <c r="R115" s="65"/>
      <c r="S115" s="65"/>
      <c r="T115" s="65"/>
      <c r="U115" s="65"/>
      <c r="V115" s="65"/>
      <c r="W115" s="65"/>
      <c r="X115" s="65"/>
      <c r="Y115" s="65"/>
      <c r="Z115" s="65"/>
      <c r="AA115" s="65"/>
      <c r="AB115" s="65"/>
      <c r="AC115" s="65"/>
      <c r="AD115" s="65">
        <v>0.0</v>
      </c>
      <c r="AE115" s="65">
        <v>0.0</v>
      </c>
      <c r="AF115" s="65">
        <v>0.0</v>
      </c>
      <c r="AG115" s="65">
        <v>0.0</v>
      </c>
      <c r="AH115" s="65">
        <v>0.0</v>
      </c>
      <c r="AI115" s="65">
        <v>0.0</v>
      </c>
      <c r="AJ115" s="65">
        <v>0.0</v>
      </c>
      <c r="AK115" s="65">
        <v>0.0</v>
      </c>
      <c r="AL115" s="65">
        <v>0.0</v>
      </c>
      <c r="AM115" s="65">
        <v>0.0</v>
      </c>
      <c r="AN115" s="65">
        <v>0.0</v>
      </c>
      <c r="AO115" s="65">
        <v>0.0</v>
      </c>
      <c r="AP115" s="85">
        <v>0.0</v>
      </c>
      <c r="AQ115" s="85">
        <v>0.0</v>
      </c>
      <c r="AR115" s="85">
        <v>0.0</v>
      </c>
      <c r="AS115" s="85">
        <v>0.0</v>
      </c>
      <c r="AT115" s="85">
        <v>0.0</v>
      </c>
      <c r="AU115" s="85">
        <v>0.0</v>
      </c>
      <c r="AV115" s="85">
        <v>0.0</v>
      </c>
      <c r="AW115" s="85">
        <v>0.0</v>
      </c>
      <c r="AX115" s="85">
        <v>0.0</v>
      </c>
      <c r="AY115" s="85">
        <v>0.0</v>
      </c>
      <c r="AZ115" s="85">
        <v>0.0</v>
      </c>
      <c r="BA115" s="85">
        <v>0.0</v>
      </c>
      <c r="BB115" s="85"/>
      <c r="BC115" s="85"/>
      <c r="BD115" s="85"/>
      <c r="BE115" s="85"/>
      <c r="BF115" s="85"/>
      <c r="BG115" s="85"/>
      <c r="BH115" s="85"/>
      <c r="BI115" s="85"/>
      <c r="BJ115" s="85"/>
      <c r="BK115" s="85"/>
      <c r="BL115" s="85"/>
      <c r="BM115" s="85"/>
      <c r="BN115" s="85"/>
      <c r="BO115" s="85"/>
      <c r="BP115" s="85"/>
      <c r="BQ115" s="85"/>
      <c r="BR115" s="85"/>
      <c r="BS115" s="85"/>
      <c r="BT115" s="85"/>
      <c r="BU115" s="85"/>
      <c r="BV115" s="85"/>
      <c r="BW115" s="85"/>
      <c r="BX115" s="85"/>
      <c r="BY115" s="85"/>
      <c r="BZ115" s="85"/>
      <c r="CA115" s="85"/>
      <c r="CB115" s="85"/>
      <c r="CC115" s="85"/>
      <c r="CD115" s="85"/>
      <c r="CE115" s="85"/>
      <c r="CF115" s="85"/>
      <c r="CG115" s="85"/>
      <c r="CH115" s="85"/>
      <c r="CI115" s="85"/>
      <c r="CJ115" s="85"/>
      <c r="CK115" s="85"/>
      <c r="CL115" s="61"/>
      <c r="CM115" s="38" t="s">
        <v>77</v>
      </c>
      <c r="CN115" s="90"/>
      <c r="CO115" s="61"/>
      <c r="CP115" s="61"/>
    </row>
    <row r="116" ht="15.75" customHeight="1">
      <c r="A116" s="75"/>
      <c r="B116" s="59" t="str">
        <f t="array" ref="B116">XLOOKUP(D116, 'マスタ'!$C$2:$C$1000, 'マスタ'!$D$2:$D$1000, "マスタ未登録")</f>
        <v>共通費配賦</v>
      </c>
      <c r="C116" s="53" t="str">
        <f>IF(AND(D116&lt;&gt;"", COUNTIF('マスタ'!$C:$C, D116)=0), "マスタ未登録", "")</f>
        <v/>
      </c>
      <c r="D116" s="84" t="str">
        <f t="shared" si="3"/>
        <v>共通費配賦</v>
      </c>
      <c r="E116" s="65" t="s">
        <v>333</v>
      </c>
      <c r="F116" s="65" t="s">
        <v>99</v>
      </c>
      <c r="G116" s="65"/>
      <c r="H116" s="65"/>
      <c r="I116" s="65" t="s">
        <v>328</v>
      </c>
      <c r="J116" s="65" t="s">
        <v>347</v>
      </c>
      <c r="K116" s="65"/>
      <c r="L116" s="65"/>
      <c r="M116" s="65"/>
      <c r="N116" s="65"/>
      <c r="O116" s="65"/>
      <c r="P116" s="65"/>
      <c r="Q116" s="65"/>
      <c r="R116" s="65"/>
      <c r="S116" s="65"/>
      <c r="T116" s="65"/>
      <c r="U116" s="65"/>
      <c r="V116" s="65"/>
      <c r="W116" s="65"/>
      <c r="X116" s="65"/>
      <c r="Y116" s="65"/>
      <c r="Z116" s="65"/>
      <c r="AA116" s="65"/>
      <c r="AB116" s="65"/>
      <c r="AC116" s="65"/>
      <c r="AD116" s="65">
        <v>0.0</v>
      </c>
      <c r="AE116" s="65">
        <v>0.0</v>
      </c>
      <c r="AF116" s="65">
        <v>0.0</v>
      </c>
      <c r="AG116" s="65">
        <v>0.0</v>
      </c>
      <c r="AH116" s="65">
        <v>0.0</v>
      </c>
      <c r="AI116" s="65">
        <v>0.0</v>
      </c>
      <c r="AJ116" s="65">
        <v>0.0</v>
      </c>
      <c r="AK116" s="65">
        <v>0.0</v>
      </c>
      <c r="AL116" s="65">
        <v>0.0</v>
      </c>
      <c r="AM116" s="65">
        <v>0.0</v>
      </c>
      <c r="AN116" s="65">
        <v>0.0</v>
      </c>
      <c r="AO116" s="65">
        <v>0.0</v>
      </c>
      <c r="AP116" s="85">
        <v>0.0</v>
      </c>
      <c r="AQ116" s="85">
        <v>0.0</v>
      </c>
      <c r="AR116" s="85">
        <v>0.0</v>
      </c>
      <c r="AS116" s="85">
        <v>0.0</v>
      </c>
      <c r="AT116" s="85">
        <v>0.0</v>
      </c>
      <c r="AU116" s="85">
        <v>0.0</v>
      </c>
      <c r="AV116" s="85">
        <v>0.0</v>
      </c>
      <c r="AW116" s="85">
        <v>0.0</v>
      </c>
      <c r="AX116" s="85">
        <v>0.0</v>
      </c>
      <c r="AY116" s="85">
        <v>0.0</v>
      </c>
      <c r="AZ116" s="85">
        <v>0.0</v>
      </c>
      <c r="BA116" s="85">
        <v>0.0</v>
      </c>
      <c r="BB116" s="85"/>
      <c r="BC116" s="85"/>
      <c r="BD116" s="85"/>
      <c r="BE116" s="85"/>
      <c r="BF116" s="85"/>
      <c r="BG116" s="85"/>
      <c r="BH116" s="85"/>
      <c r="BI116" s="85"/>
      <c r="BJ116" s="85"/>
      <c r="BK116" s="85"/>
      <c r="BL116" s="85"/>
      <c r="BM116" s="85"/>
      <c r="BN116" s="85"/>
      <c r="BO116" s="85"/>
      <c r="BP116" s="85"/>
      <c r="BQ116" s="85"/>
      <c r="BR116" s="85"/>
      <c r="BS116" s="85"/>
      <c r="BT116" s="85"/>
      <c r="BU116" s="85"/>
      <c r="BV116" s="85"/>
      <c r="BW116" s="85"/>
      <c r="BX116" s="85"/>
      <c r="BY116" s="85"/>
      <c r="BZ116" s="85"/>
      <c r="CA116" s="85"/>
      <c r="CB116" s="85"/>
      <c r="CC116" s="85"/>
      <c r="CD116" s="85"/>
      <c r="CE116" s="85"/>
      <c r="CF116" s="85"/>
      <c r="CG116" s="85"/>
      <c r="CH116" s="85"/>
      <c r="CI116" s="85"/>
      <c r="CJ116" s="85"/>
      <c r="CK116" s="85"/>
      <c r="CL116" s="61"/>
      <c r="CM116" s="38" t="s">
        <v>99</v>
      </c>
      <c r="CN116" s="90"/>
      <c r="CO116" s="61"/>
      <c r="CP116" s="61"/>
    </row>
    <row r="117" ht="15.75" customHeight="1">
      <c r="A117" s="75"/>
      <c r="B117" s="59" t="str">
        <f t="array" ref="B117">XLOOKUP(D117, 'マスタ'!$C$2:$C$1000, 'マスタ'!$D$2:$D$1000, "マスタ未登録")</f>
        <v>地代家賃</v>
      </c>
      <c r="C117" s="53" t="str">
        <f>IF(AND(D117&lt;&gt;"", COUNTIF('マスタ'!$C:$C, D117)=0), "マスタ未登録", "")</f>
        <v/>
      </c>
      <c r="D117" s="84" t="str">
        <f t="shared" si="3"/>
        <v>地代家賃</v>
      </c>
      <c r="E117" s="65" t="s">
        <v>333</v>
      </c>
      <c r="F117" s="65" t="s">
        <v>87</v>
      </c>
      <c r="G117" s="65"/>
      <c r="H117" s="65"/>
      <c r="I117" s="65" t="s">
        <v>328</v>
      </c>
      <c r="J117" s="65" t="s">
        <v>347</v>
      </c>
      <c r="K117" s="65"/>
      <c r="L117" s="65"/>
      <c r="M117" s="65"/>
      <c r="N117" s="65"/>
      <c r="O117" s="65"/>
      <c r="P117" s="65"/>
      <c r="Q117" s="65"/>
      <c r="R117" s="65"/>
      <c r="S117" s="65"/>
      <c r="T117" s="65"/>
      <c r="U117" s="65"/>
      <c r="V117" s="65"/>
      <c r="W117" s="65"/>
      <c r="X117" s="65"/>
      <c r="Y117" s="65"/>
      <c r="Z117" s="65"/>
      <c r="AA117" s="65"/>
      <c r="AB117" s="65"/>
      <c r="AC117" s="65"/>
      <c r="AD117" s="65">
        <v>-2273458.0</v>
      </c>
      <c r="AE117" s="65">
        <v>-2273458.0</v>
      </c>
      <c r="AF117" s="65">
        <v>-2273458.0</v>
      </c>
      <c r="AG117" s="65">
        <v>-2273458.0</v>
      </c>
      <c r="AH117" s="65">
        <v>-2273458.0</v>
      </c>
      <c r="AI117" s="65">
        <v>-2273458.0</v>
      </c>
      <c r="AJ117" s="65">
        <v>-2273458.0</v>
      </c>
      <c r="AK117" s="65">
        <v>-2273458.0</v>
      </c>
      <c r="AL117" s="65">
        <v>-1918728.0</v>
      </c>
      <c r="AM117" s="65">
        <v>-1918728.0</v>
      </c>
      <c r="AN117" s="65">
        <v>-1918728.0</v>
      </c>
      <c r="AO117" s="65">
        <v>-1918728.0</v>
      </c>
      <c r="AP117" s="85">
        <v>-1918728.0</v>
      </c>
      <c r="AQ117" s="85">
        <v>-1918728.0</v>
      </c>
      <c r="AR117" s="85">
        <v>-1918728.0</v>
      </c>
      <c r="AS117" s="85">
        <v>-1918728.0</v>
      </c>
      <c r="AT117" s="85">
        <v>-1918728.0</v>
      </c>
      <c r="AU117" s="85">
        <v>-1918728.0</v>
      </c>
      <c r="AV117" s="85">
        <v>-1918728.0</v>
      </c>
      <c r="AW117" s="85">
        <v>-1918728.0</v>
      </c>
      <c r="AX117" s="85">
        <v>-1918728.0</v>
      </c>
      <c r="AY117" s="85">
        <v>-1918728.0</v>
      </c>
      <c r="AZ117" s="85">
        <v>-1918728.0</v>
      </c>
      <c r="BA117" s="85">
        <v>-1918728.0</v>
      </c>
      <c r="BB117" s="85"/>
      <c r="BC117" s="85"/>
      <c r="BD117" s="85"/>
      <c r="BE117" s="85"/>
      <c r="BF117" s="85"/>
      <c r="BG117" s="85"/>
      <c r="BH117" s="85"/>
      <c r="BI117" s="85"/>
      <c r="BJ117" s="85"/>
      <c r="BK117" s="85"/>
      <c r="BL117" s="85"/>
      <c r="BM117" s="85"/>
      <c r="BN117" s="85"/>
      <c r="BO117" s="85"/>
      <c r="BP117" s="85"/>
      <c r="BQ117" s="85"/>
      <c r="BR117" s="85"/>
      <c r="BS117" s="85"/>
      <c r="BT117" s="85"/>
      <c r="BU117" s="85"/>
      <c r="BV117" s="85"/>
      <c r="BW117" s="85"/>
      <c r="BX117" s="85"/>
      <c r="BY117" s="85"/>
      <c r="BZ117" s="85"/>
      <c r="CA117" s="85"/>
      <c r="CB117" s="85"/>
      <c r="CC117" s="85"/>
      <c r="CD117" s="85"/>
      <c r="CE117" s="85"/>
      <c r="CF117" s="85"/>
      <c r="CG117" s="85"/>
      <c r="CH117" s="85"/>
      <c r="CI117" s="85"/>
      <c r="CJ117" s="85"/>
      <c r="CK117" s="85"/>
      <c r="CL117" s="61"/>
      <c r="CM117" s="38" t="s">
        <v>87</v>
      </c>
      <c r="CN117" s="90"/>
      <c r="CO117" s="61"/>
      <c r="CP117" s="61"/>
    </row>
    <row r="118" ht="15.75" customHeight="1">
      <c r="A118" s="75"/>
      <c r="B118" s="59" t="str">
        <f t="array" ref="B118">XLOOKUP(D118, 'マスタ'!$C$2:$C$1000, 'マスタ'!$D$2:$D$1000, "マスタ未登録")</f>
        <v>減価償却費</v>
      </c>
      <c r="C118" s="53" t="str">
        <f>IF(AND(D118&lt;&gt;"", COUNTIF('マスタ'!$C:$C, D118)=0), "マスタ未登録", "")</f>
        <v/>
      </c>
      <c r="D118" s="84" t="str">
        <f t="shared" si="3"/>
        <v>減価償却</v>
      </c>
      <c r="E118" s="65" t="s">
        <v>333</v>
      </c>
      <c r="F118" s="65" t="s">
        <v>334</v>
      </c>
      <c r="G118" s="65"/>
      <c r="H118" s="65"/>
      <c r="I118" s="65" t="s">
        <v>328</v>
      </c>
      <c r="J118" s="65" t="s">
        <v>347</v>
      </c>
      <c r="K118" s="65"/>
      <c r="L118" s="65"/>
      <c r="M118" s="65"/>
      <c r="N118" s="65"/>
      <c r="O118" s="65"/>
      <c r="P118" s="65"/>
      <c r="Q118" s="65"/>
      <c r="R118" s="65"/>
      <c r="S118" s="65"/>
      <c r="T118" s="65"/>
      <c r="U118" s="65"/>
      <c r="V118" s="65"/>
      <c r="W118" s="65"/>
      <c r="X118" s="65"/>
      <c r="Y118" s="65"/>
      <c r="Z118" s="65"/>
      <c r="AA118" s="65"/>
      <c r="AB118" s="65"/>
      <c r="AC118" s="65"/>
      <c r="AD118" s="65">
        <v>-1334646.0</v>
      </c>
      <c r="AE118" s="65">
        <v>-1334646.0</v>
      </c>
      <c r="AF118" s="65">
        <v>-1334646.0</v>
      </c>
      <c r="AG118" s="65">
        <v>-1423057.0</v>
      </c>
      <c r="AH118" s="65">
        <v>-1593996.0</v>
      </c>
      <c r="AI118" s="65">
        <v>-1664031.0</v>
      </c>
      <c r="AJ118" s="65">
        <v>-1664031.0</v>
      </c>
      <c r="AK118" s="65">
        <v>-1744496.0</v>
      </c>
      <c r="AL118" s="65">
        <v>-383467.0</v>
      </c>
      <c r="AM118" s="65">
        <v>-383467.0</v>
      </c>
      <c r="AN118" s="65">
        <v>-383467.0</v>
      </c>
      <c r="AO118" s="65">
        <v>-383507.0</v>
      </c>
      <c r="AP118" s="85">
        <v>-279128.0</v>
      </c>
      <c r="AQ118" s="85">
        <v>-268898.0</v>
      </c>
      <c r="AR118" s="85">
        <v>-268898.0</v>
      </c>
      <c r="AS118" s="85">
        <v>-268898.0</v>
      </c>
      <c r="AT118" s="85">
        <v>-268898.0</v>
      </c>
      <c r="AU118" s="85">
        <v>-268898.0</v>
      </c>
      <c r="AV118" s="85">
        <v>-268898.0</v>
      </c>
      <c r="AW118" s="85">
        <v>-268898.0</v>
      </c>
      <c r="AX118" s="85">
        <v>-268898.0</v>
      </c>
      <c r="AY118" s="85">
        <v>-268898.0</v>
      </c>
      <c r="AZ118" s="85">
        <v>-268898.0</v>
      </c>
      <c r="BA118" s="85">
        <v>-268898.0</v>
      </c>
      <c r="BB118" s="85"/>
      <c r="BC118" s="85"/>
      <c r="BD118" s="85"/>
      <c r="BE118" s="85"/>
      <c r="BF118" s="85"/>
      <c r="BG118" s="85"/>
      <c r="BH118" s="85"/>
      <c r="BI118" s="85"/>
      <c r="BJ118" s="85"/>
      <c r="BK118" s="85"/>
      <c r="BL118" s="85"/>
      <c r="BM118" s="85"/>
      <c r="BN118" s="85"/>
      <c r="BO118" s="85"/>
      <c r="BP118" s="85"/>
      <c r="BQ118" s="85"/>
      <c r="BR118" s="85"/>
      <c r="BS118" s="85"/>
      <c r="BT118" s="85"/>
      <c r="BU118" s="85"/>
      <c r="BV118" s="85"/>
      <c r="BW118" s="85"/>
      <c r="BX118" s="85"/>
      <c r="BY118" s="85"/>
      <c r="BZ118" s="85"/>
      <c r="CA118" s="85"/>
      <c r="CB118" s="85"/>
      <c r="CC118" s="85"/>
      <c r="CD118" s="85"/>
      <c r="CE118" s="85"/>
      <c r="CF118" s="85"/>
      <c r="CG118" s="85"/>
      <c r="CH118" s="85"/>
      <c r="CI118" s="85"/>
      <c r="CJ118" s="85"/>
      <c r="CK118" s="85"/>
      <c r="CL118" s="61"/>
      <c r="CM118" s="38" t="s">
        <v>334</v>
      </c>
      <c r="CN118" s="90"/>
      <c r="CO118" s="61"/>
      <c r="CP118" s="61"/>
    </row>
    <row r="119" ht="15.75" customHeight="1">
      <c r="A119" s="75"/>
      <c r="B119" s="59" t="str">
        <f t="array" ref="B119">XLOOKUP(D119, 'マスタ'!$C$2:$C$1000, 'マスタ'!$D$2:$D$1000, "マスタ未登録")</f>
        <v>敷金償却</v>
      </c>
      <c r="C119" s="53" t="str">
        <f>IF(AND(D119&lt;&gt;"", COUNTIF('マスタ'!$C:$C, D119)=0), "マスタ未登録", "")</f>
        <v/>
      </c>
      <c r="D119" s="84" t="str">
        <f t="shared" si="3"/>
        <v>敷金償却</v>
      </c>
      <c r="E119" s="65" t="s">
        <v>333</v>
      </c>
      <c r="F119" s="65" t="s">
        <v>180</v>
      </c>
      <c r="G119" s="65"/>
      <c r="H119" s="65"/>
      <c r="I119" s="65" t="s">
        <v>328</v>
      </c>
      <c r="J119" s="65" t="s">
        <v>347</v>
      </c>
      <c r="K119" s="65"/>
      <c r="L119" s="65"/>
      <c r="M119" s="65"/>
      <c r="N119" s="65"/>
      <c r="O119" s="65"/>
      <c r="P119" s="65"/>
      <c r="Q119" s="65"/>
      <c r="R119" s="65"/>
      <c r="S119" s="65"/>
      <c r="T119" s="65"/>
      <c r="U119" s="65"/>
      <c r="V119" s="65"/>
      <c r="W119" s="65"/>
      <c r="X119" s="65"/>
      <c r="Y119" s="65"/>
      <c r="Z119" s="65"/>
      <c r="AA119" s="65"/>
      <c r="AB119" s="65"/>
      <c r="AC119" s="65"/>
      <c r="AD119" s="65">
        <v>0.0</v>
      </c>
      <c r="AE119" s="65">
        <v>0.0</v>
      </c>
      <c r="AF119" s="65">
        <v>0.0</v>
      </c>
      <c r="AG119" s="65">
        <v>0.0</v>
      </c>
      <c r="AH119" s="65">
        <v>0.0</v>
      </c>
      <c r="AI119" s="65">
        <v>0.0</v>
      </c>
      <c r="AJ119" s="65">
        <v>0.0</v>
      </c>
      <c r="AK119" s="65">
        <v>0.0</v>
      </c>
      <c r="AL119" s="65">
        <v>0.0</v>
      </c>
      <c r="AM119" s="65">
        <v>0.0</v>
      </c>
      <c r="AN119" s="65">
        <v>0.0</v>
      </c>
      <c r="AO119" s="65">
        <v>0.0</v>
      </c>
      <c r="AP119" s="85">
        <v>0.0</v>
      </c>
      <c r="AQ119" s="85">
        <v>0.0</v>
      </c>
      <c r="AR119" s="85">
        <v>0.0</v>
      </c>
      <c r="AS119" s="85">
        <v>0.0</v>
      </c>
      <c r="AT119" s="85">
        <v>0.0</v>
      </c>
      <c r="AU119" s="85">
        <v>0.0</v>
      </c>
      <c r="AV119" s="85">
        <v>0.0</v>
      </c>
      <c r="AW119" s="85">
        <v>0.0</v>
      </c>
      <c r="AX119" s="85">
        <v>0.0</v>
      </c>
      <c r="AY119" s="85">
        <v>0.0</v>
      </c>
      <c r="AZ119" s="85">
        <v>0.0</v>
      </c>
      <c r="BA119" s="85">
        <v>0.0</v>
      </c>
      <c r="BB119" s="85"/>
      <c r="BC119" s="85"/>
      <c r="BD119" s="85"/>
      <c r="BE119" s="85"/>
      <c r="BF119" s="85"/>
      <c r="BG119" s="85"/>
      <c r="BH119" s="85"/>
      <c r="BI119" s="85"/>
      <c r="BJ119" s="85"/>
      <c r="BK119" s="85"/>
      <c r="BL119" s="85"/>
      <c r="BM119" s="85"/>
      <c r="BN119" s="85"/>
      <c r="BO119" s="85"/>
      <c r="BP119" s="85"/>
      <c r="BQ119" s="85"/>
      <c r="BR119" s="85"/>
      <c r="BS119" s="85"/>
      <c r="BT119" s="85"/>
      <c r="BU119" s="85"/>
      <c r="BV119" s="85"/>
      <c r="BW119" s="85"/>
      <c r="BX119" s="85"/>
      <c r="BY119" s="85"/>
      <c r="BZ119" s="85"/>
      <c r="CA119" s="85"/>
      <c r="CB119" s="85"/>
      <c r="CC119" s="85"/>
      <c r="CD119" s="85"/>
      <c r="CE119" s="85"/>
      <c r="CF119" s="85"/>
      <c r="CG119" s="85"/>
      <c r="CH119" s="85"/>
      <c r="CI119" s="85"/>
      <c r="CJ119" s="85"/>
      <c r="CK119" s="85"/>
      <c r="CL119" s="61"/>
      <c r="CM119" s="38" t="s">
        <v>180</v>
      </c>
      <c r="CN119" s="90"/>
      <c r="CO119" s="61"/>
      <c r="CP119" s="61"/>
    </row>
    <row r="120" ht="15.75" customHeight="1">
      <c r="A120" s="75"/>
      <c r="B120" s="59" t="str">
        <f t="array" ref="B120">XLOOKUP(D120, 'マスタ'!$C$2:$C$1000, 'マスタ'!$D$2:$D$1000, "マスタ未登録")</f>
        <v>租税公課</v>
      </c>
      <c r="C120" s="53" t="str">
        <f>IF(AND(D120&lt;&gt;"", COUNTIF('マスタ'!$C:$C, D120)=0), "マスタ未登録", "")</f>
        <v/>
      </c>
      <c r="D120" s="84" t="str">
        <f t="shared" si="3"/>
        <v>租税公課</v>
      </c>
      <c r="E120" s="65" t="s">
        <v>333</v>
      </c>
      <c r="F120" s="65" t="s">
        <v>91</v>
      </c>
      <c r="G120" s="65"/>
      <c r="H120" s="65"/>
      <c r="I120" s="65" t="s">
        <v>328</v>
      </c>
      <c r="J120" s="65" t="s">
        <v>347</v>
      </c>
      <c r="K120" s="65"/>
      <c r="L120" s="65"/>
      <c r="M120" s="65"/>
      <c r="N120" s="65"/>
      <c r="O120" s="65"/>
      <c r="P120" s="65"/>
      <c r="Q120" s="65"/>
      <c r="R120" s="65"/>
      <c r="S120" s="65"/>
      <c r="T120" s="65"/>
      <c r="U120" s="65"/>
      <c r="V120" s="65"/>
      <c r="W120" s="65"/>
      <c r="X120" s="65"/>
      <c r="Y120" s="65"/>
      <c r="Z120" s="65"/>
      <c r="AA120" s="65"/>
      <c r="AB120" s="65"/>
      <c r="AC120" s="65"/>
      <c r="AD120" s="65">
        <v>-2336187.0</v>
      </c>
      <c r="AE120" s="65">
        <v>-2331000.0</v>
      </c>
      <c r="AF120" s="65">
        <v>-2320615.0</v>
      </c>
      <c r="AG120" s="65">
        <v>-2332000.0</v>
      </c>
      <c r="AH120" s="65">
        <v>-2328000.0</v>
      </c>
      <c r="AI120" s="65">
        <v>-2332000.0</v>
      </c>
      <c r="AJ120" s="65">
        <v>-2332000.0</v>
      </c>
      <c r="AK120" s="65">
        <v>-2379861.0</v>
      </c>
      <c r="AL120" s="65">
        <v>-43000.0</v>
      </c>
      <c r="AM120" s="65">
        <v>-43000.0</v>
      </c>
      <c r="AN120" s="65">
        <v>-39000.0</v>
      </c>
      <c r="AO120" s="65">
        <v>-39600.0</v>
      </c>
      <c r="AP120" s="85">
        <v>-35400.0</v>
      </c>
      <c r="AQ120" s="85">
        <v>-46000.0</v>
      </c>
      <c r="AR120" s="85">
        <v>-46000.0</v>
      </c>
      <c r="AS120" s="85">
        <v>-46000.0</v>
      </c>
      <c r="AT120" s="85">
        <v>-46000.0</v>
      </c>
      <c r="AU120" s="85">
        <v>-46000.0</v>
      </c>
      <c r="AV120" s="85">
        <v>-46000.0</v>
      </c>
      <c r="AW120" s="85">
        <v>-46000.0</v>
      </c>
      <c r="AX120" s="85">
        <v>-46000.0</v>
      </c>
      <c r="AY120" s="85">
        <v>-46000.0</v>
      </c>
      <c r="AZ120" s="85">
        <v>-46000.0</v>
      </c>
      <c r="BA120" s="85">
        <v>-46000.0</v>
      </c>
      <c r="BB120" s="85"/>
      <c r="BC120" s="85"/>
      <c r="BD120" s="85"/>
      <c r="BE120" s="85"/>
      <c r="BF120" s="85"/>
      <c r="BG120" s="85"/>
      <c r="BH120" s="85"/>
      <c r="BI120" s="85"/>
      <c r="BJ120" s="85"/>
      <c r="BK120" s="85"/>
      <c r="BL120" s="85"/>
      <c r="BM120" s="85"/>
      <c r="BN120" s="85"/>
      <c r="BO120" s="85"/>
      <c r="BP120" s="85"/>
      <c r="BQ120" s="85"/>
      <c r="BR120" s="85"/>
      <c r="BS120" s="85"/>
      <c r="BT120" s="85"/>
      <c r="BU120" s="85"/>
      <c r="BV120" s="85"/>
      <c r="BW120" s="85"/>
      <c r="BX120" s="85"/>
      <c r="BY120" s="85"/>
      <c r="BZ120" s="85"/>
      <c r="CA120" s="85"/>
      <c r="CB120" s="85"/>
      <c r="CC120" s="85"/>
      <c r="CD120" s="85"/>
      <c r="CE120" s="85"/>
      <c r="CF120" s="85"/>
      <c r="CG120" s="85"/>
      <c r="CH120" s="85"/>
      <c r="CI120" s="85"/>
      <c r="CJ120" s="85"/>
      <c r="CK120" s="85"/>
      <c r="CL120" s="61"/>
      <c r="CM120" s="38" t="s">
        <v>91</v>
      </c>
      <c r="CN120" s="90"/>
      <c r="CO120" s="61"/>
      <c r="CP120" s="61"/>
    </row>
    <row r="121" ht="15.75" customHeight="1">
      <c r="A121" s="75"/>
      <c r="B121" s="59" t="str">
        <f t="array" ref="B121">XLOOKUP(D121, 'マスタ'!$C$2:$C$1000, 'マスタ'!$D$2:$D$1000, "マスタ未登録")</f>
        <v>消耗品費</v>
      </c>
      <c r="C121" s="53" t="str">
        <f>IF(AND(D121&lt;&gt;"", COUNTIF('マスタ'!$C:$C, D121)=0), "マスタ未登録", "")</f>
        <v/>
      </c>
      <c r="D121" s="84" t="str">
        <f t="shared" si="3"/>
        <v>消耗品費</v>
      </c>
      <c r="E121" s="65" t="s">
        <v>333</v>
      </c>
      <c r="F121" s="65" t="s">
        <v>86</v>
      </c>
      <c r="G121" s="65"/>
      <c r="H121" s="65"/>
      <c r="I121" s="65" t="s">
        <v>328</v>
      </c>
      <c r="J121" s="65" t="s">
        <v>347</v>
      </c>
      <c r="K121" s="65"/>
      <c r="L121" s="65"/>
      <c r="M121" s="65"/>
      <c r="N121" s="65"/>
      <c r="O121" s="65"/>
      <c r="P121" s="65"/>
      <c r="Q121" s="65"/>
      <c r="R121" s="65"/>
      <c r="S121" s="65"/>
      <c r="T121" s="65"/>
      <c r="U121" s="65"/>
      <c r="V121" s="65"/>
      <c r="W121" s="65"/>
      <c r="X121" s="65"/>
      <c r="Y121" s="65"/>
      <c r="Z121" s="65"/>
      <c r="AA121" s="65"/>
      <c r="AB121" s="65"/>
      <c r="AC121" s="65"/>
      <c r="AD121" s="65">
        <v>-42015.0</v>
      </c>
      <c r="AE121" s="65">
        <v>-39006.0</v>
      </c>
      <c r="AF121" s="65">
        <v>-109001.0</v>
      </c>
      <c r="AG121" s="65">
        <v>-184940.0</v>
      </c>
      <c r="AH121" s="65">
        <v>-408395.0</v>
      </c>
      <c r="AI121" s="65">
        <v>-148920.0</v>
      </c>
      <c r="AJ121" s="65">
        <v>-269692.0</v>
      </c>
      <c r="AK121" s="65">
        <v>-503901.0</v>
      </c>
      <c r="AL121" s="65">
        <v>-133704.0</v>
      </c>
      <c r="AM121" s="65">
        <v>-40584.0</v>
      </c>
      <c r="AN121" s="65">
        <v>-50902.0</v>
      </c>
      <c r="AO121" s="65">
        <v>-99934.0</v>
      </c>
      <c r="AP121" s="85">
        <v>-26155.0</v>
      </c>
      <c r="AQ121" s="85">
        <v>-50000.0</v>
      </c>
      <c r="AR121" s="85">
        <v>-50000.0</v>
      </c>
      <c r="AS121" s="85">
        <v>-50000.0</v>
      </c>
      <c r="AT121" s="85">
        <v>-50000.0</v>
      </c>
      <c r="AU121" s="85">
        <v>-50000.0</v>
      </c>
      <c r="AV121" s="85">
        <v>-50000.0</v>
      </c>
      <c r="AW121" s="85">
        <v>-50000.0</v>
      </c>
      <c r="AX121" s="85">
        <v>-50000.0</v>
      </c>
      <c r="AY121" s="85">
        <v>-50000.0</v>
      </c>
      <c r="AZ121" s="85">
        <v>-50000.0</v>
      </c>
      <c r="BA121" s="85">
        <v>-50000.0</v>
      </c>
      <c r="BB121" s="85"/>
      <c r="BC121" s="85"/>
      <c r="BD121" s="85"/>
      <c r="BE121" s="85"/>
      <c r="BF121" s="85"/>
      <c r="BG121" s="85"/>
      <c r="BH121" s="85"/>
      <c r="BI121" s="85"/>
      <c r="BJ121" s="85"/>
      <c r="BK121" s="85"/>
      <c r="BL121" s="85"/>
      <c r="BM121" s="85"/>
      <c r="BN121" s="85"/>
      <c r="BO121" s="85"/>
      <c r="BP121" s="85"/>
      <c r="BQ121" s="85"/>
      <c r="BR121" s="85"/>
      <c r="BS121" s="85"/>
      <c r="BT121" s="85"/>
      <c r="BU121" s="85"/>
      <c r="BV121" s="85"/>
      <c r="BW121" s="85"/>
      <c r="BX121" s="85"/>
      <c r="BY121" s="85"/>
      <c r="BZ121" s="85"/>
      <c r="CA121" s="85"/>
      <c r="CB121" s="85"/>
      <c r="CC121" s="85"/>
      <c r="CD121" s="85"/>
      <c r="CE121" s="85"/>
      <c r="CF121" s="85"/>
      <c r="CG121" s="85"/>
      <c r="CH121" s="85"/>
      <c r="CI121" s="85"/>
      <c r="CJ121" s="85"/>
      <c r="CK121" s="85"/>
      <c r="CL121" s="61"/>
      <c r="CM121" s="38" t="s">
        <v>86</v>
      </c>
      <c r="CN121" s="90"/>
      <c r="CO121" s="61"/>
      <c r="CP121" s="61"/>
    </row>
    <row r="122" ht="15.75" customHeight="1">
      <c r="A122" s="75"/>
      <c r="B122" s="59" t="str">
        <f t="array" ref="B122">XLOOKUP(D122, 'マスタ'!$C$2:$C$1000, 'マスタ'!$D$2:$D$1000, "マスタ未登録")</f>
        <v>通信費</v>
      </c>
      <c r="C122" s="53" t="str">
        <f>IF(AND(D122&lt;&gt;"", COUNTIF('マスタ'!$C:$C, D122)=0), "マスタ未登録", "")</f>
        <v/>
      </c>
      <c r="D122" s="84" t="str">
        <f t="shared" si="3"/>
        <v>通信費</v>
      </c>
      <c r="E122" s="65" t="s">
        <v>333</v>
      </c>
      <c r="F122" s="65" t="s">
        <v>84</v>
      </c>
      <c r="G122" s="65"/>
      <c r="H122" s="65"/>
      <c r="I122" s="65" t="s">
        <v>328</v>
      </c>
      <c r="J122" s="65" t="s">
        <v>347</v>
      </c>
      <c r="K122" s="65"/>
      <c r="L122" s="65"/>
      <c r="M122" s="65"/>
      <c r="N122" s="65"/>
      <c r="O122" s="65"/>
      <c r="P122" s="65"/>
      <c r="Q122" s="65"/>
      <c r="R122" s="65"/>
      <c r="S122" s="65"/>
      <c r="T122" s="65"/>
      <c r="U122" s="65"/>
      <c r="V122" s="65"/>
      <c r="W122" s="65"/>
      <c r="X122" s="65"/>
      <c r="Y122" s="65"/>
      <c r="Z122" s="65"/>
      <c r="AA122" s="65"/>
      <c r="AB122" s="65"/>
      <c r="AC122" s="65"/>
      <c r="AD122" s="65">
        <v>-431626.0</v>
      </c>
      <c r="AE122" s="65">
        <v>-398114.0</v>
      </c>
      <c r="AF122" s="65">
        <v>-451374.0</v>
      </c>
      <c r="AG122" s="65">
        <v>-417688.0</v>
      </c>
      <c r="AH122" s="65">
        <v>-358211.0</v>
      </c>
      <c r="AI122" s="65">
        <v>-341410.0</v>
      </c>
      <c r="AJ122" s="65">
        <v>-348493.0</v>
      </c>
      <c r="AK122" s="65">
        <v>-348937.0</v>
      </c>
      <c r="AL122" s="65">
        <v>-67757.0</v>
      </c>
      <c r="AM122" s="65">
        <v>-17650.0</v>
      </c>
      <c r="AN122" s="65">
        <v>-28450.0</v>
      </c>
      <c r="AO122" s="65">
        <v>-24550.0</v>
      </c>
      <c r="AP122" s="85">
        <v>-35352.0</v>
      </c>
      <c r="AQ122" s="85">
        <v>-29250.0</v>
      </c>
      <c r="AR122" s="85">
        <v>-29250.0</v>
      </c>
      <c r="AS122" s="85">
        <v>-29250.0</v>
      </c>
      <c r="AT122" s="85">
        <v>-29250.0</v>
      </c>
      <c r="AU122" s="85">
        <v>-11600.0</v>
      </c>
      <c r="AV122" s="85">
        <v>-29250.0</v>
      </c>
      <c r="AW122" s="85">
        <v>-29250.0</v>
      </c>
      <c r="AX122" s="85">
        <v>-29250.0</v>
      </c>
      <c r="AY122" s="85">
        <v>-29250.0</v>
      </c>
      <c r="AZ122" s="85">
        <v>-28450.0</v>
      </c>
      <c r="BA122" s="85">
        <v>-40000.0</v>
      </c>
      <c r="BB122" s="85"/>
      <c r="BC122" s="85"/>
      <c r="BD122" s="85"/>
      <c r="BE122" s="85"/>
      <c r="BF122" s="85"/>
      <c r="BG122" s="85"/>
      <c r="BH122" s="85"/>
      <c r="BI122" s="85"/>
      <c r="BJ122" s="85"/>
      <c r="BK122" s="85"/>
      <c r="BL122" s="85"/>
      <c r="BM122" s="85"/>
      <c r="BN122" s="85"/>
      <c r="BO122" s="85"/>
      <c r="BP122" s="85"/>
      <c r="BQ122" s="85"/>
      <c r="BR122" s="85"/>
      <c r="BS122" s="85"/>
      <c r="BT122" s="85"/>
      <c r="BU122" s="85"/>
      <c r="BV122" s="85"/>
      <c r="BW122" s="85"/>
      <c r="BX122" s="85"/>
      <c r="BY122" s="85"/>
      <c r="BZ122" s="85"/>
      <c r="CA122" s="85"/>
      <c r="CB122" s="85"/>
      <c r="CC122" s="85"/>
      <c r="CD122" s="85"/>
      <c r="CE122" s="85"/>
      <c r="CF122" s="85"/>
      <c r="CG122" s="85"/>
      <c r="CH122" s="85"/>
      <c r="CI122" s="85"/>
      <c r="CJ122" s="85"/>
      <c r="CK122" s="85"/>
      <c r="CL122" s="61"/>
      <c r="CM122" s="38" t="s">
        <v>84</v>
      </c>
      <c r="CN122" s="90"/>
      <c r="CO122" s="61"/>
      <c r="CP122" s="61"/>
    </row>
    <row r="123" ht="15.75" customHeight="1">
      <c r="A123" s="75"/>
      <c r="B123" s="59" t="str">
        <f t="array" ref="B123">XLOOKUP(D123, 'マスタ'!$C$2:$C$1000, 'マスタ'!$D$2:$D$1000, "マスタ未登録")</f>
        <v>旅費交通費</v>
      </c>
      <c r="C123" s="53" t="str">
        <f>IF(AND(D123&lt;&gt;"", COUNTIF('マスタ'!$C:$C, D123)=0), "マスタ未登録", "")</f>
        <v/>
      </c>
      <c r="D123" s="84" t="str">
        <f t="shared" si="3"/>
        <v>旅費交通費</v>
      </c>
      <c r="E123" s="65" t="s">
        <v>333</v>
      </c>
      <c r="F123" s="65" t="s">
        <v>83</v>
      </c>
      <c r="G123" s="65"/>
      <c r="H123" s="65"/>
      <c r="I123" s="65" t="s">
        <v>328</v>
      </c>
      <c r="J123" s="65" t="s">
        <v>347</v>
      </c>
      <c r="K123" s="65"/>
      <c r="L123" s="65"/>
      <c r="M123" s="65"/>
      <c r="N123" s="65"/>
      <c r="O123" s="65"/>
      <c r="P123" s="65"/>
      <c r="Q123" s="65"/>
      <c r="R123" s="65"/>
      <c r="S123" s="65"/>
      <c r="T123" s="65"/>
      <c r="U123" s="65"/>
      <c r="V123" s="65"/>
      <c r="W123" s="65"/>
      <c r="X123" s="65"/>
      <c r="Y123" s="65"/>
      <c r="Z123" s="65"/>
      <c r="AA123" s="65"/>
      <c r="AB123" s="65"/>
      <c r="AC123" s="65"/>
      <c r="AD123" s="65">
        <v>-951681.0</v>
      </c>
      <c r="AE123" s="65">
        <v>-32949.0</v>
      </c>
      <c r="AF123" s="65">
        <v>-77492.0</v>
      </c>
      <c r="AG123" s="65">
        <v>0.0</v>
      </c>
      <c r="AH123" s="65">
        <v>-92601.0</v>
      </c>
      <c r="AI123" s="65">
        <v>454043.0</v>
      </c>
      <c r="AJ123" s="65">
        <v>-72587.0</v>
      </c>
      <c r="AK123" s="65">
        <v>-215068.0</v>
      </c>
      <c r="AL123" s="65">
        <v>0.0</v>
      </c>
      <c r="AM123" s="65">
        <v>0.0</v>
      </c>
      <c r="AN123" s="65">
        <v>0.0</v>
      </c>
      <c r="AO123" s="65">
        <v>0.0</v>
      </c>
      <c r="AP123" s="85">
        <v>0.0</v>
      </c>
      <c r="AQ123" s="85">
        <v>-10000.0</v>
      </c>
      <c r="AR123" s="85">
        <v>-10000.0</v>
      </c>
      <c r="AS123" s="85">
        <v>-10000.0</v>
      </c>
      <c r="AT123" s="85">
        <v>-10000.0</v>
      </c>
      <c r="AU123" s="85">
        <v>-10000.0</v>
      </c>
      <c r="AV123" s="85">
        <v>-10000.0</v>
      </c>
      <c r="AW123" s="85">
        <v>-10000.0</v>
      </c>
      <c r="AX123" s="85">
        <v>-10000.0</v>
      </c>
      <c r="AY123" s="85">
        <v>-10000.0</v>
      </c>
      <c r="AZ123" s="85">
        <v>-10000.0</v>
      </c>
      <c r="BA123" s="85">
        <v>-10000.0</v>
      </c>
      <c r="BB123" s="85"/>
      <c r="BC123" s="85"/>
      <c r="BD123" s="85"/>
      <c r="BE123" s="85"/>
      <c r="BF123" s="85"/>
      <c r="BG123" s="85"/>
      <c r="BH123" s="85"/>
      <c r="BI123" s="85"/>
      <c r="BJ123" s="85"/>
      <c r="BK123" s="85"/>
      <c r="BL123" s="85"/>
      <c r="BM123" s="85"/>
      <c r="BN123" s="85"/>
      <c r="BO123" s="85"/>
      <c r="BP123" s="85"/>
      <c r="BQ123" s="85"/>
      <c r="BR123" s="85"/>
      <c r="BS123" s="85"/>
      <c r="BT123" s="85"/>
      <c r="BU123" s="85"/>
      <c r="BV123" s="85"/>
      <c r="BW123" s="85"/>
      <c r="BX123" s="85"/>
      <c r="BY123" s="85"/>
      <c r="BZ123" s="85"/>
      <c r="CA123" s="85"/>
      <c r="CB123" s="85"/>
      <c r="CC123" s="85"/>
      <c r="CD123" s="85"/>
      <c r="CE123" s="85"/>
      <c r="CF123" s="85"/>
      <c r="CG123" s="85"/>
      <c r="CH123" s="85"/>
      <c r="CI123" s="85"/>
      <c r="CJ123" s="85"/>
      <c r="CK123" s="85"/>
      <c r="CL123" s="61"/>
      <c r="CM123" s="38" t="s">
        <v>83</v>
      </c>
      <c r="CN123" s="90"/>
      <c r="CO123" s="61"/>
      <c r="CP123" s="61"/>
    </row>
    <row r="124" ht="15.75" customHeight="1">
      <c r="A124" s="75"/>
      <c r="B124" s="59" t="str">
        <f t="array" ref="B124">XLOOKUP(D124, 'マスタ'!$C$2:$C$1000, 'マスタ'!$D$2:$D$1000, "マスタ未登録")</f>
        <v>支払報酬</v>
      </c>
      <c r="C124" s="53" t="str">
        <f>IF(AND(D124&lt;&gt;"", COUNTIF('マスタ'!$C:$C, D124)=0), "マスタ未登録", "")</f>
        <v/>
      </c>
      <c r="D124" s="84" t="str">
        <f t="shared" si="3"/>
        <v>支払報酬料</v>
      </c>
      <c r="E124" s="65" t="s">
        <v>333</v>
      </c>
      <c r="F124" s="65" t="s">
        <v>239</v>
      </c>
      <c r="G124" s="65"/>
      <c r="H124" s="65"/>
      <c r="I124" s="65" t="s">
        <v>328</v>
      </c>
      <c r="J124" s="65" t="s">
        <v>347</v>
      </c>
      <c r="K124" s="65"/>
      <c r="L124" s="65"/>
      <c r="M124" s="65"/>
      <c r="N124" s="65"/>
      <c r="O124" s="65"/>
      <c r="P124" s="65"/>
      <c r="Q124" s="65"/>
      <c r="R124" s="65"/>
      <c r="S124" s="65"/>
      <c r="T124" s="65"/>
      <c r="U124" s="65"/>
      <c r="V124" s="65"/>
      <c r="W124" s="65"/>
      <c r="X124" s="65"/>
      <c r="Y124" s="65"/>
      <c r="Z124" s="65"/>
      <c r="AA124" s="65"/>
      <c r="AB124" s="65"/>
      <c r="AC124" s="65"/>
      <c r="AD124" s="65">
        <v>0.0</v>
      </c>
      <c r="AE124" s="65">
        <v>0.0</v>
      </c>
      <c r="AF124" s="65">
        <v>0.0</v>
      </c>
      <c r="AG124" s="65">
        <v>0.0</v>
      </c>
      <c r="AH124" s="65">
        <v>0.0</v>
      </c>
      <c r="AI124" s="65">
        <v>0.0</v>
      </c>
      <c r="AJ124" s="65">
        <v>0.0</v>
      </c>
      <c r="AK124" s="65">
        <v>0.0</v>
      </c>
      <c r="AL124" s="65">
        <v>0.0</v>
      </c>
      <c r="AM124" s="65">
        <v>0.0</v>
      </c>
      <c r="AN124" s="65">
        <v>0.0</v>
      </c>
      <c r="AO124" s="65">
        <v>0.0</v>
      </c>
      <c r="AP124" s="85">
        <v>0.0</v>
      </c>
      <c r="AQ124" s="85">
        <v>0.0</v>
      </c>
      <c r="AR124" s="85">
        <v>0.0</v>
      </c>
      <c r="AS124" s="85">
        <v>0.0</v>
      </c>
      <c r="AT124" s="85">
        <v>0.0</v>
      </c>
      <c r="AU124" s="85">
        <v>0.0</v>
      </c>
      <c r="AV124" s="85">
        <v>0.0</v>
      </c>
      <c r="AW124" s="85">
        <v>0.0</v>
      </c>
      <c r="AX124" s="85">
        <v>0.0</v>
      </c>
      <c r="AY124" s="85">
        <v>0.0</v>
      </c>
      <c r="AZ124" s="85">
        <v>0.0</v>
      </c>
      <c r="BA124" s="85">
        <v>0.0</v>
      </c>
      <c r="BB124" s="85"/>
      <c r="BC124" s="85"/>
      <c r="BD124" s="85"/>
      <c r="BE124" s="85"/>
      <c r="BF124" s="85"/>
      <c r="BG124" s="85"/>
      <c r="BH124" s="85"/>
      <c r="BI124" s="85"/>
      <c r="BJ124" s="85"/>
      <c r="BK124" s="85"/>
      <c r="BL124" s="85"/>
      <c r="BM124" s="85"/>
      <c r="BN124" s="85"/>
      <c r="BO124" s="85"/>
      <c r="BP124" s="85"/>
      <c r="BQ124" s="85"/>
      <c r="BR124" s="85"/>
      <c r="BS124" s="85"/>
      <c r="BT124" s="85"/>
      <c r="BU124" s="85"/>
      <c r="BV124" s="85"/>
      <c r="BW124" s="85"/>
      <c r="BX124" s="85"/>
      <c r="BY124" s="85"/>
      <c r="BZ124" s="85"/>
      <c r="CA124" s="85"/>
      <c r="CB124" s="85"/>
      <c r="CC124" s="85"/>
      <c r="CD124" s="85"/>
      <c r="CE124" s="85"/>
      <c r="CF124" s="85"/>
      <c r="CG124" s="85"/>
      <c r="CH124" s="85"/>
      <c r="CI124" s="85"/>
      <c r="CJ124" s="85"/>
      <c r="CK124" s="85"/>
      <c r="CL124" s="61"/>
      <c r="CM124" s="38" t="s">
        <v>239</v>
      </c>
      <c r="CN124" s="90"/>
      <c r="CO124" s="61"/>
      <c r="CP124" s="61"/>
    </row>
    <row r="125" ht="15.75" customHeight="1">
      <c r="A125" s="75"/>
      <c r="B125" s="59" t="str">
        <f t="array" ref="B125">XLOOKUP(D125, 'マスタ'!$C$2:$C$1000, 'マスタ'!$D$2:$D$1000, "マスタ未登録")</f>
        <v>接待交際費</v>
      </c>
      <c r="C125" s="53" t="str">
        <f>IF(AND(D125&lt;&gt;"", COUNTIF('マスタ'!$C:$C, D125)=0), "マスタ未登録", "")</f>
        <v/>
      </c>
      <c r="D125" s="84" t="str">
        <f t="shared" si="3"/>
        <v>会議・交際費</v>
      </c>
      <c r="E125" s="65" t="s">
        <v>333</v>
      </c>
      <c r="F125" s="65" t="s">
        <v>335</v>
      </c>
      <c r="G125" s="65"/>
      <c r="H125" s="65"/>
      <c r="I125" s="65" t="s">
        <v>328</v>
      </c>
      <c r="J125" s="65" t="s">
        <v>347</v>
      </c>
      <c r="K125" s="65"/>
      <c r="L125" s="65"/>
      <c r="M125" s="65"/>
      <c r="N125" s="65"/>
      <c r="O125" s="65"/>
      <c r="P125" s="65"/>
      <c r="Q125" s="65"/>
      <c r="R125" s="65"/>
      <c r="S125" s="65"/>
      <c r="T125" s="65"/>
      <c r="U125" s="65"/>
      <c r="V125" s="65"/>
      <c r="W125" s="65"/>
      <c r="X125" s="65"/>
      <c r="Y125" s="65"/>
      <c r="Z125" s="65"/>
      <c r="AA125" s="65"/>
      <c r="AB125" s="65"/>
      <c r="AC125" s="65"/>
      <c r="AD125" s="65">
        <v>-63773.0</v>
      </c>
      <c r="AE125" s="65">
        <v>-3052.0</v>
      </c>
      <c r="AF125" s="65">
        <v>-38309.0</v>
      </c>
      <c r="AG125" s="65">
        <v>0.0</v>
      </c>
      <c r="AH125" s="65">
        <v>-29673.0</v>
      </c>
      <c r="AI125" s="65">
        <v>0.0</v>
      </c>
      <c r="AJ125" s="65">
        <v>0.0</v>
      </c>
      <c r="AK125" s="65">
        <v>-101153.0</v>
      </c>
      <c r="AL125" s="65">
        <v>0.0</v>
      </c>
      <c r="AM125" s="65">
        <v>0.0</v>
      </c>
      <c r="AN125" s="65">
        <v>0.0</v>
      </c>
      <c r="AO125" s="65">
        <v>0.0</v>
      </c>
      <c r="AP125" s="85">
        <v>0.0</v>
      </c>
      <c r="AQ125" s="85">
        <v>-10000.0</v>
      </c>
      <c r="AR125" s="85">
        <v>-10000.0</v>
      </c>
      <c r="AS125" s="85">
        <v>-10000.0</v>
      </c>
      <c r="AT125" s="85">
        <v>-10000.0</v>
      </c>
      <c r="AU125" s="85">
        <v>-10000.0</v>
      </c>
      <c r="AV125" s="85">
        <v>-10000.0</v>
      </c>
      <c r="AW125" s="85">
        <v>-10000.0</v>
      </c>
      <c r="AX125" s="85">
        <v>-10000.0</v>
      </c>
      <c r="AY125" s="85">
        <v>-10000.0</v>
      </c>
      <c r="AZ125" s="85">
        <v>-10000.0</v>
      </c>
      <c r="BA125" s="85">
        <v>-10000.0</v>
      </c>
      <c r="BB125" s="85"/>
      <c r="BC125" s="85"/>
      <c r="BD125" s="85"/>
      <c r="BE125" s="85"/>
      <c r="BF125" s="85"/>
      <c r="BG125" s="85"/>
      <c r="BH125" s="85"/>
      <c r="BI125" s="85"/>
      <c r="BJ125" s="85"/>
      <c r="BK125" s="85"/>
      <c r="BL125" s="85"/>
      <c r="BM125" s="85"/>
      <c r="BN125" s="85"/>
      <c r="BO125" s="85"/>
      <c r="BP125" s="85"/>
      <c r="BQ125" s="85"/>
      <c r="BR125" s="85"/>
      <c r="BS125" s="85"/>
      <c r="BT125" s="85"/>
      <c r="BU125" s="85"/>
      <c r="BV125" s="85"/>
      <c r="BW125" s="85"/>
      <c r="BX125" s="85"/>
      <c r="BY125" s="85"/>
      <c r="BZ125" s="85"/>
      <c r="CA125" s="85"/>
      <c r="CB125" s="85"/>
      <c r="CC125" s="85"/>
      <c r="CD125" s="85"/>
      <c r="CE125" s="85"/>
      <c r="CF125" s="85"/>
      <c r="CG125" s="85"/>
      <c r="CH125" s="85"/>
      <c r="CI125" s="85"/>
      <c r="CJ125" s="85"/>
      <c r="CK125" s="85"/>
      <c r="CL125" s="61"/>
      <c r="CM125" s="38" t="s">
        <v>335</v>
      </c>
      <c r="CN125" s="90"/>
      <c r="CO125" s="61"/>
      <c r="CP125" s="61"/>
    </row>
    <row r="126" ht="15.75" customHeight="1">
      <c r="A126" s="75"/>
      <c r="B126" s="59" t="str">
        <f t="array" ref="B126">XLOOKUP(D126, 'マスタ'!$C$2:$C$1000, 'マスタ'!$D$2:$D$1000, "マスタ未登録")</f>
        <v>採用教育費</v>
      </c>
      <c r="C126" s="53" t="str">
        <f>IF(AND(D126&lt;&gt;"", COUNTIF('マスタ'!$C:$C, D126)=0), "マスタ未登録", "")</f>
        <v/>
      </c>
      <c r="D126" s="84" t="str">
        <f t="shared" si="3"/>
        <v>採用教育費</v>
      </c>
      <c r="E126" s="65" t="s">
        <v>333</v>
      </c>
      <c r="F126" s="65" t="s">
        <v>77</v>
      </c>
      <c r="G126" s="65"/>
      <c r="H126" s="65"/>
      <c r="I126" s="65" t="s">
        <v>328</v>
      </c>
      <c r="J126" s="65" t="s">
        <v>347</v>
      </c>
      <c r="K126" s="65"/>
      <c r="L126" s="65"/>
      <c r="M126" s="65"/>
      <c r="N126" s="65"/>
      <c r="O126" s="65"/>
      <c r="P126" s="65"/>
      <c r="Q126" s="65"/>
      <c r="R126" s="65"/>
      <c r="S126" s="65"/>
      <c r="T126" s="65"/>
      <c r="U126" s="65"/>
      <c r="V126" s="65"/>
      <c r="W126" s="65"/>
      <c r="X126" s="65"/>
      <c r="Y126" s="65"/>
      <c r="Z126" s="65"/>
      <c r="AA126" s="65"/>
      <c r="AB126" s="65"/>
      <c r="AC126" s="65"/>
      <c r="AD126" s="65">
        <v>0.0</v>
      </c>
      <c r="AE126" s="65">
        <v>0.0</v>
      </c>
      <c r="AF126" s="65">
        <v>0.0</v>
      </c>
      <c r="AG126" s="65">
        <v>0.0</v>
      </c>
      <c r="AH126" s="65">
        <v>0.0</v>
      </c>
      <c r="AI126" s="65">
        <v>0.0</v>
      </c>
      <c r="AJ126" s="65">
        <v>0.0</v>
      </c>
      <c r="AK126" s="65">
        <v>0.0</v>
      </c>
      <c r="AL126" s="65">
        <v>0.0</v>
      </c>
      <c r="AM126" s="65">
        <v>0.0</v>
      </c>
      <c r="AN126" s="65">
        <v>0.0</v>
      </c>
      <c r="AO126" s="65">
        <v>0.0</v>
      </c>
      <c r="AP126" s="85">
        <v>0.0</v>
      </c>
      <c r="AQ126" s="85">
        <v>0.0</v>
      </c>
      <c r="AR126" s="85">
        <v>0.0</v>
      </c>
      <c r="AS126" s="85">
        <v>0.0</v>
      </c>
      <c r="AT126" s="85">
        <v>0.0</v>
      </c>
      <c r="AU126" s="85">
        <v>0.0</v>
      </c>
      <c r="AV126" s="85">
        <v>0.0</v>
      </c>
      <c r="AW126" s="85">
        <v>0.0</v>
      </c>
      <c r="AX126" s="85">
        <v>0.0</v>
      </c>
      <c r="AY126" s="85">
        <v>0.0</v>
      </c>
      <c r="AZ126" s="85">
        <v>0.0</v>
      </c>
      <c r="BA126" s="85">
        <v>0.0</v>
      </c>
      <c r="BB126" s="85"/>
      <c r="BC126" s="85"/>
      <c r="BD126" s="85"/>
      <c r="BE126" s="85"/>
      <c r="BF126" s="85"/>
      <c r="BG126" s="85"/>
      <c r="BH126" s="85"/>
      <c r="BI126" s="85"/>
      <c r="BJ126" s="85"/>
      <c r="BK126" s="85"/>
      <c r="BL126" s="85"/>
      <c r="BM126" s="85"/>
      <c r="BN126" s="85"/>
      <c r="BO126" s="85"/>
      <c r="BP126" s="85"/>
      <c r="BQ126" s="85"/>
      <c r="BR126" s="85"/>
      <c r="BS126" s="85"/>
      <c r="BT126" s="85"/>
      <c r="BU126" s="85"/>
      <c r="BV126" s="85"/>
      <c r="BW126" s="85"/>
      <c r="BX126" s="85"/>
      <c r="BY126" s="85"/>
      <c r="BZ126" s="85"/>
      <c r="CA126" s="85"/>
      <c r="CB126" s="85"/>
      <c r="CC126" s="85"/>
      <c r="CD126" s="85"/>
      <c r="CE126" s="85"/>
      <c r="CF126" s="85"/>
      <c r="CG126" s="85"/>
      <c r="CH126" s="85"/>
      <c r="CI126" s="85"/>
      <c r="CJ126" s="85"/>
      <c r="CK126" s="85"/>
      <c r="CL126" s="61"/>
      <c r="CM126" s="61" t="s">
        <v>336</v>
      </c>
      <c r="CN126" s="90"/>
      <c r="CO126" s="61"/>
      <c r="CP126" s="61"/>
    </row>
    <row r="127" ht="15.75" customHeight="1">
      <c r="A127" s="75"/>
      <c r="B127" s="59" t="str">
        <f t="array" ref="B127">XLOOKUP(D127, 'マスタ'!$C$2:$C$1000, 'マスタ'!$D$2:$D$1000, "マスタ未登録")</f>
        <v>水道光熱費</v>
      </c>
      <c r="C127" s="53" t="str">
        <f>IF(AND(D127&lt;&gt;"", COUNTIF('マスタ'!$C:$C, D127)=0), "マスタ未登録", "")</f>
        <v/>
      </c>
      <c r="D127" s="84" t="str">
        <f t="shared" si="3"/>
        <v>水道光熱費</v>
      </c>
      <c r="E127" s="65" t="s">
        <v>333</v>
      </c>
      <c r="F127" s="65" t="s">
        <v>178</v>
      </c>
      <c r="G127" s="65"/>
      <c r="H127" s="65"/>
      <c r="I127" s="65" t="s">
        <v>328</v>
      </c>
      <c r="J127" s="65" t="s">
        <v>347</v>
      </c>
      <c r="K127" s="65"/>
      <c r="L127" s="65"/>
      <c r="M127" s="65"/>
      <c r="N127" s="65"/>
      <c r="O127" s="65"/>
      <c r="P127" s="65"/>
      <c r="Q127" s="65"/>
      <c r="R127" s="65"/>
      <c r="S127" s="65"/>
      <c r="T127" s="65"/>
      <c r="U127" s="65"/>
      <c r="V127" s="65"/>
      <c r="W127" s="65"/>
      <c r="X127" s="65"/>
      <c r="Y127" s="65"/>
      <c r="Z127" s="65"/>
      <c r="AA127" s="65"/>
      <c r="AB127" s="65"/>
      <c r="AC127" s="65"/>
      <c r="AD127" s="65">
        <v>-4084559.0</v>
      </c>
      <c r="AE127" s="65">
        <v>-4012140.0</v>
      </c>
      <c r="AF127" s="65">
        <v>-4333185.0</v>
      </c>
      <c r="AG127" s="65">
        <v>-4245509.0</v>
      </c>
      <c r="AH127" s="65">
        <v>-4767833.0</v>
      </c>
      <c r="AI127" s="65">
        <v>-5222385.0</v>
      </c>
      <c r="AJ127" s="65">
        <v>-3855673.0</v>
      </c>
      <c r="AK127" s="65">
        <v>-3498808.0</v>
      </c>
      <c r="AL127" s="65">
        <v>-99769.0</v>
      </c>
      <c r="AM127" s="65">
        <v>-131548.0</v>
      </c>
      <c r="AN127" s="65">
        <v>-108562.0</v>
      </c>
      <c r="AO127" s="65">
        <v>-28568.0</v>
      </c>
      <c r="AP127" s="85">
        <v>-199043.0</v>
      </c>
      <c r="AQ127" s="85">
        <v>-128131.0</v>
      </c>
      <c r="AR127" s="85">
        <v>-113486.0</v>
      </c>
      <c r="AS127" s="85">
        <v>-149793.0</v>
      </c>
      <c r="AT127" s="85">
        <v>-153716.0</v>
      </c>
      <c r="AU127" s="85">
        <v>-157451.0</v>
      </c>
      <c r="AV127" s="85">
        <v>-120482.0</v>
      </c>
      <c r="AW127" s="85">
        <v>-140985.0</v>
      </c>
      <c r="AX127" s="85">
        <v>-106893.0</v>
      </c>
      <c r="AY127" s="85">
        <v>-138283.0</v>
      </c>
      <c r="AZ127" s="85">
        <v>-113990.0</v>
      </c>
      <c r="BA127" s="85">
        <v>-127650.0</v>
      </c>
      <c r="BB127" s="85"/>
      <c r="BC127" s="85"/>
      <c r="BD127" s="85"/>
      <c r="BE127" s="85"/>
      <c r="BF127" s="85"/>
      <c r="BG127" s="85"/>
      <c r="BH127" s="85"/>
      <c r="BI127" s="85"/>
      <c r="BJ127" s="85"/>
      <c r="BK127" s="85"/>
      <c r="BL127" s="85"/>
      <c r="BM127" s="85"/>
      <c r="BN127" s="85"/>
      <c r="BO127" s="85"/>
      <c r="BP127" s="85"/>
      <c r="BQ127" s="85"/>
      <c r="BR127" s="85"/>
      <c r="BS127" s="85"/>
      <c r="BT127" s="85"/>
      <c r="BU127" s="85"/>
      <c r="BV127" s="85"/>
      <c r="BW127" s="85"/>
      <c r="BX127" s="85"/>
      <c r="BY127" s="85"/>
      <c r="BZ127" s="85"/>
      <c r="CA127" s="85"/>
      <c r="CB127" s="85"/>
      <c r="CC127" s="85"/>
      <c r="CD127" s="85"/>
      <c r="CE127" s="85"/>
      <c r="CF127" s="85"/>
      <c r="CG127" s="85"/>
      <c r="CH127" s="85"/>
      <c r="CI127" s="85"/>
      <c r="CJ127" s="85"/>
      <c r="CK127" s="85"/>
      <c r="CL127" s="61"/>
      <c r="CM127" s="38" t="s">
        <v>178</v>
      </c>
      <c r="CN127" s="90"/>
      <c r="CO127" s="61"/>
      <c r="CP127" s="61"/>
    </row>
    <row r="128" ht="15.75" customHeight="1">
      <c r="A128" s="75"/>
      <c r="B128" s="59" t="str">
        <f t="array" ref="B128">XLOOKUP(D128, 'マスタ'!$C$2:$C$1000, 'マスタ'!$D$2:$D$1000, "マスタ未登録")</f>
        <v>のれん償却費</v>
      </c>
      <c r="C128" s="53" t="str">
        <f>IF(AND(D128&lt;&gt;"", COUNTIF('マスタ'!$C:$C, D128)=0), "マスタ未登録", "")</f>
        <v/>
      </c>
      <c r="D128" s="84" t="str">
        <f t="shared" si="3"/>
        <v>のれん償却費</v>
      </c>
      <c r="E128" s="65" t="s">
        <v>333</v>
      </c>
      <c r="F128" s="65" t="s">
        <v>337</v>
      </c>
      <c r="G128" s="65"/>
      <c r="H128" s="65"/>
      <c r="I128" s="65" t="s">
        <v>328</v>
      </c>
      <c r="J128" s="65" t="s">
        <v>347</v>
      </c>
      <c r="K128" s="65"/>
      <c r="L128" s="65"/>
      <c r="M128" s="65"/>
      <c r="N128" s="65"/>
      <c r="O128" s="65"/>
      <c r="P128" s="65"/>
      <c r="Q128" s="65"/>
      <c r="R128" s="65"/>
      <c r="S128" s="65"/>
      <c r="T128" s="65"/>
      <c r="U128" s="65"/>
      <c r="V128" s="65"/>
      <c r="W128" s="65"/>
      <c r="X128" s="65"/>
      <c r="Y128" s="65"/>
      <c r="Z128" s="65"/>
      <c r="AA128" s="65"/>
      <c r="AB128" s="65"/>
      <c r="AC128" s="65"/>
      <c r="AD128" s="65">
        <v>0.0</v>
      </c>
      <c r="AE128" s="65">
        <v>0.0</v>
      </c>
      <c r="AF128" s="65">
        <v>0.0</v>
      </c>
      <c r="AG128" s="65">
        <v>0.0</v>
      </c>
      <c r="AH128" s="65">
        <v>0.0</v>
      </c>
      <c r="AI128" s="65">
        <v>0.0</v>
      </c>
      <c r="AJ128" s="65">
        <v>0.0</v>
      </c>
      <c r="AK128" s="65">
        <v>0.0</v>
      </c>
      <c r="AL128" s="65">
        <v>0.0</v>
      </c>
      <c r="AM128" s="65">
        <v>0.0</v>
      </c>
      <c r="AN128" s="65">
        <v>0.0</v>
      </c>
      <c r="AO128" s="65">
        <v>0.0</v>
      </c>
      <c r="AP128" s="85">
        <v>0.0</v>
      </c>
      <c r="AQ128" s="85">
        <v>0.0</v>
      </c>
      <c r="AR128" s="85">
        <v>0.0</v>
      </c>
      <c r="AS128" s="85">
        <v>0.0</v>
      </c>
      <c r="AT128" s="85">
        <v>0.0</v>
      </c>
      <c r="AU128" s="85">
        <v>0.0</v>
      </c>
      <c r="AV128" s="85">
        <v>0.0</v>
      </c>
      <c r="AW128" s="85">
        <v>0.0</v>
      </c>
      <c r="AX128" s="85">
        <v>0.0</v>
      </c>
      <c r="AY128" s="85">
        <v>0.0</v>
      </c>
      <c r="AZ128" s="85">
        <v>0.0</v>
      </c>
      <c r="BA128" s="85">
        <v>0.0</v>
      </c>
      <c r="BB128" s="85"/>
      <c r="BC128" s="85"/>
      <c r="BD128" s="85"/>
      <c r="BE128" s="85"/>
      <c r="BF128" s="85"/>
      <c r="BG128" s="85"/>
      <c r="BH128" s="85"/>
      <c r="BI128" s="85"/>
      <c r="BJ128" s="85"/>
      <c r="BK128" s="85"/>
      <c r="BL128" s="85"/>
      <c r="BM128" s="85"/>
      <c r="BN128" s="85"/>
      <c r="BO128" s="85"/>
      <c r="BP128" s="85"/>
      <c r="BQ128" s="85"/>
      <c r="BR128" s="85"/>
      <c r="BS128" s="85"/>
      <c r="BT128" s="85"/>
      <c r="BU128" s="85"/>
      <c r="BV128" s="85"/>
      <c r="BW128" s="85"/>
      <c r="BX128" s="85"/>
      <c r="BY128" s="85"/>
      <c r="BZ128" s="85"/>
      <c r="CA128" s="85"/>
      <c r="CB128" s="85"/>
      <c r="CC128" s="85"/>
      <c r="CD128" s="85"/>
      <c r="CE128" s="85"/>
      <c r="CF128" s="85"/>
      <c r="CG128" s="85"/>
      <c r="CH128" s="85"/>
      <c r="CI128" s="85"/>
      <c r="CJ128" s="85"/>
      <c r="CK128" s="85"/>
      <c r="CL128" s="61"/>
      <c r="CM128" s="38" t="s">
        <v>337</v>
      </c>
      <c r="CN128" s="90"/>
      <c r="CO128" s="61"/>
      <c r="CP128" s="61"/>
    </row>
    <row r="129" ht="15.75" customHeight="1">
      <c r="A129" s="75"/>
      <c r="B129" s="59" t="str">
        <f t="array" ref="B129">XLOOKUP(D129, 'マスタ'!$C$2:$C$1000, 'マスタ'!$D$2:$D$1000, "マスタ未登録")</f>
        <v>雑費</v>
      </c>
      <c r="C129" s="53" t="str">
        <f>IF(AND(D129&lt;&gt;"", COUNTIF('マスタ'!$C:$C, D129)=0), "マスタ未登録", "")</f>
        <v/>
      </c>
      <c r="D129" s="84" t="str">
        <f t="shared" si="3"/>
        <v>その他(固)</v>
      </c>
      <c r="E129" s="65" t="s">
        <v>333</v>
      </c>
      <c r="F129" s="65" t="s">
        <v>346</v>
      </c>
      <c r="G129" s="65"/>
      <c r="H129" s="65"/>
      <c r="I129" s="65" t="s">
        <v>328</v>
      </c>
      <c r="J129" s="65" t="s">
        <v>347</v>
      </c>
      <c r="K129" s="65"/>
      <c r="L129" s="65"/>
      <c r="M129" s="65"/>
      <c r="N129" s="65"/>
      <c r="O129" s="65"/>
      <c r="P129" s="65"/>
      <c r="Q129" s="65"/>
      <c r="R129" s="65"/>
      <c r="S129" s="65"/>
      <c r="T129" s="65"/>
      <c r="U129" s="65"/>
      <c r="V129" s="65"/>
      <c r="W129" s="65"/>
      <c r="X129" s="65"/>
      <c r="Y129" s="65"/>
      <c r="Z129" s="65"/>
      <c r="AA129" s="65"/>
      <c r="AB129" s="65"/>
      <c r="AC129" s="65"/>
      <c r="AD129" s="65">
        <v>-5262678.0</v>
      </c>
      <c r="AE129" s="65">
        <v>-5002945.0</v>
      </c>
      <c r="AF129" s="65">
        <v>-6795802.0</v>
      </c>
      <c r="AG129" s="65">
        <v>-6295254.0</v>
      </c>
      <c r="AH129" s="65">
        <v>-6445569.0</v>
      </c>
      <c r="AI129" s="65">
        <v>-4791307.0</v>
      </c>
      <c r="AJ129" s="65">
        <v>-5138507.0</v>
      </c>
      <c r="AK129" s="65">
        <v>-1.468818E7</v>
      </c>
      <c r="AL129" s="65">
        <v>-37000.0</v>
      </c>
      <c r="AM129" s="65">
        <v>-37000.0</v>
      </c>
      <c r="AN129" s="65">
        <v>-45500.0</v>
      </c>
      <c r="AO129" s="65">
        <v>-37000.0</v>
      </c>
      <c r="AP129" s="85">
        <v>-37000.0</v>
      </c>
      <c r="AQ129" s="85">
        <v>-137000.0</v>
      </c>
      <c r="AR129" s="85">
        <v>-132800.0</v>
      </c>
      <c r="AS129" s="85">
        <v>-132800.0</v>
      </c>
      <c r="AT129" s="85">
        <v>-132800.0</v>
      </c>
      <c r="AU129" s="85">
        <v>-132800.0</v>
      </c>
      <c r="AV129" s="85">
        <v>-132800.0</v>
      </c>
      <c r="AW129" s="85">
        <v>-132800.0</v>
      </c>
      <c r="AX129" s="85">
        <v>-132800.0</v>
      </c>
      <c r="AY129" s="85">
        <v>-132800.0</v>
      </c>
      <c r="AZ129" s="85">
        <v>-132800.0</v>
      </c>
      <c r="BA129" s="85">
        <v>-135000.0</v>
      </c>
      <c r="BB129" s="85"/>
      <c r="BC129" s="85"/>
      <c r="BD129" s="85"/>
      <c r="BE129" s="85"/>
      <c r="BF129" s="85"/>
      <c r="BG129" s="85"/>
      <c r="BH129" s="85"/>
      <c r="BI129" s="85"/>
      <c r="BJ129" s="85"/>
      <c r="BK129" s="85"/>
      <c r="BL129" s="85"/>
      <c r="BM129" s="85"/>
      <c r="BN129" s="85"/>
      <c r="BO129" s="85"/>
      <c r="BP129" s="85"/>
      <c r="BQ129" s="85"/>
      <c r="BR129" s="85"/>
      <c r="BS129" s="85"/>
      <c r="BT129" s="85"/>
      <c r="BU129" s="85"/>
      <c r="BV129" s="85"/>
      <c r="BW129" s="85"/>
      <c r="BX129" s="85"/>
      <c r="BY129" s="85"/>
      <c r="BZ129" s="85"/>
      <c r="CA129" s="85"/>
      <c r="CB129" s="85"/>
      <c r="CC129" s="85"/>
      <c r="CD129" s="85"/>
      <c r="CE129" s="85"/>
      <c r="CF129" s="85"/>
      <c r="CG129" s="85"/>
      <c r="CH129" s="85"/>
      <c r="CI129" s="85"/>
      <c r="CJ129" s="85"/>
      <c r="CK129" s="85"/>
      <c r="CL129" s="61"/>
      <c r="CM129" s="38" t="s">
        <v>343</v>
      </c>
      <c r="CN129" s="90"/>
      <c r="CO129" s="61"/>
      <c r="CP129" s="61"/>
    </row>
    <row r="130" ht="15.75" customHeight="1">
      <c r="A130" s="75"/>
      <c r="B130" s="59" t="str">
        <f t="array" ref="B130">XLOOKUP(D130, 'マスタ'!$C$2:$C$1000, 'マスタ'!$D$2:$D$1000, "マスタ未登録")</f>
        <v>マスタ未登録</v>
      </c>
      <c r="C130" s="53" t="str">
        <f>IF(AND(D130&lt;&gt;"", COUNTIF('マスタ'!$C:$C, D130)=0), "マスタ未登録", "")</f>
        <v>マスタ未登録</v>
      </c>
      <c r="D130" s="84" t="str">
        <f t="shared" si="3"/>
        <v>ウタイテ配賦額</v>
      </c>
      <c r="E130" s="65" t="s">
        <v>333</v>
      </c>
      <c r="F130" s="65" t="s">
        <v>213</v>
      </c>
      <c r="G130" s="65"/>
      <c r="H130" s="65"/>
      <c r="I130" s="65" t="s">
        <v>328</v>
      </c>
      <c r="J130" s="65" t="s">
        <v>347</v>
      </c>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1"/>
      <c r="CM130" s="38" t="s">
        <v>213</v>
      </c>
      <c r="CN130" s="61"/>
      <c r="CO130" s="61"/>
      <c r="CP130" s="61"/>
    </row>
    <row r="131" ht="15.75" customHeight="1">
      <c r="A131" s="75"/>
      <c r="B131" s="59" t="str">
        <f t="array" ref="B131">XLOOKUP(D131, 'マスタ'!$C$2:$C$1000, 'マスタ'!$D$2:$D$1000, "マスタ未登録")</f>
        <v>マスタ未登録</v>
      </c>
      <c r="C131" s="53" t="str">
        <f>IF(AND(D131&lt;&gt;"", COUNTIF('マスタ'!$C:$C, D131)=0), "マスタ未登録", "")</f>
        <v/>
      </c>
      <c r="D131" s="53" t="str">
        <f t="shared" si="3"/>
        <v/>
      </c>
      <c r="E131" s="61"/>
      <c r="F131" s="61"/>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85"/>
      <c r="AQ131" s="85"/>
      <c r="AR131" s="85"/>
      <c r="AS131" s="85"/>
      <c r="AT131" s="85"/>
      <c r="AU131" s="85"/>
      <c r="AV131" s="85"/>
      <c r="AW131" s="85"/>
      <c r="AX131" s="85"/>
      <c r="AY131" s="85"/>
      <c r="AZ131" s="85"/>
      <c r="BA131" s="85"/>
      <c r="BB131" s="85"/>
      <c r="BC131" s="85"/>
      <c r="BD131" s="85"/>
      <c r="BE131" s="85"/>
      <c r="BF131" s="85"/>
      <c r="BG131" s="85"/>
      <c r="BH131" s="85"/>
      <c r="BI131" s="85"/>
      <c r="BJ131" s="85"/>
      <c r="BK131" s="85"/>
      <c r="BL131" s="85"/>
      <c r="BM131" s="85"/>
      <c r="BN131" s="85"/>
      <c r="BO131" s="85"/>
      <c r="BP131" s="85"/>
      <c r="BQ131" s="85"/>
      <c r="BR131" s="85"/>
      <c r="BS131" s="85"/>
      <c r="BT131" s="85"/>
      <c r="BU131" s="85"/>
      <c r="BV131" s="85"/>
      <c r="BW131" s="85"/>
      <c r="BX131" s="85"/>
      <c r="BY131" s="85"/>
      <c r="BZ131" s="85"/>
      <c r="CA131" s="85"/>
      <c r="CB131" s="85"/>
      <c r="CC131" s="85"/>
      <c r="CD131" s="85"/>
      <c r="CE131" s="85"/>
      <c r="CF131" s="85"/>
      <c r="CG131" s="85"/>
      <c r="CH131" s="85"/>
      <c r="CI131" s="85"/>
      <c r="CJ131" s="85"/>
      <c r="CK131" s="85"/>
      <c r="CL131" s="61"/>
      <c r="CM131" s="61"/>
      <c r="CN131" s="61"/>
      <c r="CO131" s="61"/>
      <c r="CP131" s="61"/>
    </row>
    <row r="132" ht="15.75" customHeight="1">
      <c r="A132" s="75"/>
      <c r="B132" s="59" t="str">
        <f t="array" ref="B132">XLOOKUP(D132, 'マスタ'!$C$2:$C$1000, 'マスタ'!$D$2:$D$1000, "マスタ未登録")</f>
        <v>マスタ未登録</v>
      </c>
      <c r="C132" s="53" t="str">
        <f>IF(AND(D132&lt;&gt;"", COUNTIF('マスタ'!$C:$C, D132)=0), "マスタ未登録", "")</f>
        <v/>
      </c>
      <c r="D132" s="53" t="str">
        <f t="shared" si="3"/>
        <v/>
      </c>
      <c r="E132" s="76" t="s">
        <v>31</v>
      </c>
      <c r="F132" s="76"/>
      <c r="G132" s="77"/>
      <c r="H132" s="77">
        <v>1.0</v>
      </c>
      <c r="I132" s="77" t="s">
        <v>328</v>
      </c>
      <c r="J132" s="77" t="s">
        <v>347</v>
      </c>
      <c r="K132" s="77"/>
      <c r="L132" s="77"/>
      <c r="M132" s="77"/>
      <c r="N132" s="77"/>
      <c r="O132" s="77"/>
      <c r="P132" s="77"/>
      <c r="Q132" s="77"/>
      <c r="R132" s="77"/>
      <c r="S132" s="77"/>
      <c r="T132" s="77"/>
      <c r="U132" s="77"/>
      <c r="V132" s="77"/>
      <c r="W132" s="77"/>
      <c r="X132" s="77"/>
      <c r="Y132" s="77"/>
      <c r="Z132" s="77"/>
      <c r="AA132" s="77"/>
      <c r="AB132" s="77"/>
      <c r="AC132" s="77"/>
      <c r="AD132" s="77">
        <v>1.2295041E7</v>
      </c>
      <c r="AE132" s="77">
        <v>1.0322425E7</v>
      </c>
      <c r="AF132" s="77">
        <v>-1084901.0</v>
      </c>
      <c r="AG132" s="77">
        <v>-7178457.0</v>
      </c>
      <c r="AH132" s="77">
        <v>2920301.0</v>
      </c>
      <c r="AI132" s="77">
        <v>1.0487743E7</v>
      </c>
      <c r="AJ132" s="77">
        <v>1.0993021E7</v>
      </c>
      <c r="AK132" s="77">
        <v>-6324679.0</v>
      </c>
      <c r="AL132" s="77">
        <v>4803991.0</v>
      </c>
      <c r="AM132" s="77">
        <v>1896520.0</v>
      </c>
      <c r="AN132" s="77">
        <v>150190.0</v>
      </c>
      <c r="AO132" s="77">
        <v>1282882.0</v>
      </c>
      <c r="AP132" s="87">
        <v>2930225.0</v>
      </c>
      <c r="AQ132" s="87">
        <v>1595125.0</v>
      </c>
      <c r="AR132" s="87">
        <v>644491.0</v>
      </c>
      <c r="AS132" s="87">
        <v>2871195.0</v>
      </c>
      <c r="AT132" s="87">
        <v>3340297.0</v>
      </c>
      <c r="AU132" s="87">
        <v>2782279.0</v>
      </c>
      <c r="AV132" s="87">
        <v>3113181.0</v>
      </c>
      <c r="AW132" s="87">
        <v>4054876.0</v>
      </c>
      <c r="AX132" s="87">
        <v>5005275.0</v>
      </c>
      <c r="AY132" s="87">
        <v>3180124.0</v>
      </c>
      <c r="AZ132" s="87">
        <v>600322.0</v>
      </c>
      <c r="BA132" s="87">
        <v>1541071.0</v>
      </c>
      <c r="BB132" s="87">
        <v>0.0</v>
      </c>
      <c r="BC132" s="87">
        <v>0.0</v>
      </c>
      <c r="BD132" s="87">
        <v>0.0</v>
      </c>
      <c r="BE132" s="87">
        <v>0.0</v>
      </c>
      <c r="BF132" s="87">
        <v>0.0</v>
      </c>
      <c r="BG132" s="87">
        <v>0.0</v>
      </c>
      <c r="BH132" s="87">
        <v>0.0</v>
      </c>
      <c r="BI132" s="87">
        <v>0.0</v>
      </c>
      <c r="BJ132" s="87">
        <v>0.0</v>
      </c>
      <c r="BK132" s="87">
        <v>0.0</v>
      </c>
      <c r="BL132" s="87">
        <v>0.0</v>
      </c>
      <c r="BM132" s="87">
        <v>0.0</v>
      </c>
      <c r="BN132" s="87">
        <v>0.0</v>
      </c>
      <c r="BO132" s="87">
        <v>0.0</v>
      </c>
      <c r="BP132" s="87">
        <v>0.0</v>
      </c>
      <c r="BQ132" s="87">
        <v>0.0</v>
      </c>
      <c r="BR132" s="87">
        <v>0.0</v>
      </c>
      <c r="BS132" s="87">
        <v>0.0</v>
      </c>
      <c r="BT132" s="87">
        <v>0.0</v>
      </c>
      <c r="BU132" s="87">
        <v>0.0</v>
      </c>
      <c r="BV132" s="87">
        <v>0.0</v>
      </c>
      <c r="BW132" s="87">
        <v>0.0</v>
      </c>
      <c r="BX132" s="87">
        <v>0.0</v>
      </c>
      <c r="BY132" s="87">
        <v>0.0</v>
      </c>
      <c r="BZ132" s="87">
        <v>0.0</v>
      </c>
      <c r="CA132" s="87">
        <v>0.0</v>
      </c>
      <c r="CB132" s="87">
        <v>0.0</v>
      </c>
      <c r="CC132" s="87">
        <v>0.0</v>
      </c>
      <c r="CD132" s="87">
        <v>0.0</v>
      </c>
      <c r="CE132" s="87">
        <v>0.0</v>
      </c>
      <c r="CF132" s="87">
        <v>0.0</v>
      </c>
      <c r="CG132" s="87">
        <v>0.0</v>
      </c>
      <c r="CH132" s="87">
        <v>0.0</v>
      </c>
      <c r="CI132" s="87">
        <v>0.0</v>
      </c>
      <c r="CJ132" s="87">
        <v>0.0</v>
      </c>
      <c r="CK132" s="87">
        <v>0.0</v>
      </c>
      <c r="CL132" s="61"/>
      <c r="CM132" s="60">
        <v>3.1658462E7</v>
      </c>
      <c r="CN132" s="88">
        <v>4.0564077E7</v>
      </c>
      <c r="CO132" s="88">
        <v>1400.0</v>
      </c>
      <c r="CP132" s="61"/>
    </row>
    <row r="133" ht="15.75" customHeight="1">
      <c r="A133" s="75"/>
      <c r="B133" s="59" t="str">
        <f t="array" ref="B133">XLOOKUP(D133, 'マスタ'!$C$2:$C$1000, 'マスタ'!$D$2:$D$1000, "マスタ未登録")</f>
        <v>マスタ未登録</v>
      </c>
      <c r="C133" s="53" t="str">
        <f>IF(AND(D133&lt;&gt;"", COUNTIF('マスタ'!$C:$C, D133)=0), "マスタ未登録", "")</f>
        <v/>
      </c>
      <c r="D133" s="53" t="str">
        <f t="shared" si="3"/>
        <v/>
      </c>
      <c r="E133" s="69"/>
      <c r="F133" s="69"/>
      <c r="G133" s="82"/>
      <c r="H133" s="82">
        <v>1.0</v>
      </c>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82"/>
      <c r="AO133" s="82"/>
      <c r="AP133" s="89"/>
      <c r="AQ133" s="89"/>
      <c r="AR133" s="89"/>
      <c r="AS133" s="89"/>
      <c r="AT133" s="89"/>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89"/>
      <c r="BY133" s="89"/>
      <c r="BZ133" s="89"/>
      <c r="CA133" s="89"/>
      <c r="CB133" s="89"/>
      <c r="CC133" s="89"/>
      <c r="CD133" s="89"/>
      <c r="CE133" s="89"/>
      <c r="CF133" s="89"/>
      <c r="CG133" s="89"/>
      <c r="CH133" s="89"/>
      <c r="CI133" s="89"/>
      <c r="CJ133" s="89"/>
      <c r="CK133" s="89"/>
      <c r="CL133" s="61"/>
      <c r="CM133" s="61"/>
      <c r="CN133" s="61"/>
      <c r="CO133" s="61"/>
      <c r="CP133" s="61"/>
    </row>
    <row r="134" ht="15.75" customHeight="1">
      <c r="A134" s="75"/>
      <c r="B134" s="59" t="str">
        <f t="array" ref="B134">XLOOKUP(D134, 'マスタ'!$C$2:$C$1000, 'マスタ'!$D$2:$D$1000, "マスタ未登録")</f>
        <v>売上高</v>
      </c>
      <c r="C134" s="53" t="str">
        <f>IF(AND(D134&lt;&gt;"", COUNTIF('マスタ'!$C:$C, D134)=0), "マスタ未登録", "")</f>
        <v/>
      </c>
      <c r="D134" s="53" t="str">
        <f>E134</f>
        <v>売上高</v>
      </c>
      <c r="E134" s="63" t="s">
        <v>1</v>
      </c>
      <c r="F134" s="65" t="s">
        <v>327</v>
      </c>
      <c r="G134" s="65"/>
      <c r="H134" s="65">
        <v>1.0</v>
      </c>
      <c r="I134" s="65" t="s">
        <v>328</v>
      </c>
      <c r="J134" s="65" t="s">
        <v>128</v>
      </c>
      <c r="K134" s="65"/>
      <c r="L134" s="65"/>
      <c r="M134" s="65"/>
      <c r="N134" s="65"/>
      <c r="O134" s="65"/>
      <c r="P134" s="65"/>
      <c r="Q134" s="65"/>
      <c r="R134" s="65"/>
      <c r="S134" s="65"/>
      <c r="T134" s="65"/>
      <c r="U134" s="65"/>
      <c r="V134" s="65"/>
      <c r="W134" s="65"/>
      <c r="X134" s="65"/>
      <c r="Y134" s="65"/>
      <c r="Z134" s="65"/>
      <c r="AA134" s="65"/>
      <c r="AB134" s="65"/>
      <c r="AC134" s="65"/>
      <c r="AD134" s="65">
        <v>9212252.0</v>
      </c>
      <c r="AE134" s="65">
        <v>9212252.0</v>
      </c>
      <c r="AF134" s="65">
        <v>9212252.0</v>
      </c>
      <c r="AG134" s="65">
        <v>9212252.0</v>
      </c>
      <c r="AH134" s="65">
        <v>9212252.0</v>
      </c>
      <c r="AI134" s="65">
        <v>7885708.0</v>
      </c>
      <c r="AJ134" s="65">
        <v>7885708.0</v>
      </c>
      <c r="AK134" s="65">
        <v>7885708.0</v>
      </c>
      <c r="AL134" s="65">
        <v>7885708.0</v>
      </c>
      <c r="AM134" s="65">
        <v>7885708.0</v>
      </c>
      <c r="AN134" s="65">
        <v>1.2285708E7</v>
      </c>
      <c r="AO134" s="65">
        <v>8285708.0</v>
      </c>
      <c r="AP134" s="85">
        <v>8285708.0</v>
      </c>
      <c r="AQ134" s="85">
        <v>8285708.0</v>
      </c>
      <c r="AR134" s="85">
        <v>8285708.0</v>
      </c>
      <c r="AS134" s="85">
        <v>8285708.0</v>
      </c>
      <c r="AT134" s="85">
        <v>8285708.0</v>
      </c>
      <c r="AU134" s="85">
        <v>8285708.0</v>
      </c>
      <c r="AV134" s="85">
        <v>8285708.0</v>
      </c>
      <c r="AW134" s="85">
        <v>8285708.0</v>
      </c>
      <c r="AX134" s="85">
        <v>8285708.0</v>
      </c>
      <c r="AY134" s="85">
        <v>8285708.0</v>
      </c>
      <c r="AZ134" s="85">
        <v>8285708.0</v>
      </c>
      <c r="BA134" s="85">
        <v>8285708.0</v>
      </c>
      <c r="BB134" s="85"/>
      <c r="BC134" s="85"/>
      <c r="BD134" s="85"/>
      <c r="BE134" s="85"/>
      <c r="BF134" s="85"/>
      <c r="BG134" s="85"/>
      <c r="BH134" s="85"/>
      <c r="BI134" s="85"/>
      <c r="BJ134" s="85"/>
      <c r="BK134" s="85"/>
      <c r="BL134" s="85"/>
      <c r="BM134" s="85"/>
      <c r="BN134" s="85"/>
      <c r="BO134" s="85"/>
      <c r="BP134" s="85"/>
      <c r="BQ134" s="85"/>
      <c r="BR134" s="85"/>
      <c r="BS134" s="85"/>
      <c r="BT134" s="85"/>
      <c r="BU134" s="85"/>
      <c r="BV134" s="85"/>
      <c r="BW134" s="85"/>
      <c r="BX134" s="85"/>
      <c r="BY134" s="85"/>
      <c r="BZ134" s="85"/>
      <c r="CA134" s="85"/>
      <c r="CB134" s="85"/>
      <c r="CC134" s="85"/>
      <c r="CD134" s="85"/>
      <c r="CE134" s="85"/>
      <c r="CF134" s="85"/>
      <c r="CG134" s="85"/>
      <c r="CH134" s="85"/>
      <c r="CI134" s="85"/>
      <c r="CJ134" s="85"/>
      <c r="CK134" s="85"/>
      <c r="CL134" s="61"/>
      <c r="CM134" s="38" t="s">
        <v>1</v>
      </c>
      <c r="CN134" s="61"/>
      <c r="CO134" s="61"/>
      <c r="CP134" s="61"/>
    </row>
    <row r="135" ht="15.75" customHeight="1">
      <c r="A135" s="75"/>
      <c r="B135" s="59" t="str">
        <f t="array" ref="B135">XLOOKUP(D135, 'マスタ'!$C$2:$C$1000, 'マスタ'!$D$2:$D$1000, "マスタ未登録")</f>
        <v>当期商品仕入高</v>
      </c>
      <c r="C135" s="53" t="str">
        <f>IF(AND(D135&lt;&gt;"", COUNTIF('マスタ'!$C:$C, D135)=0), "マスタ未登録", "")</f>
        <v/>
      </c>
      <c r="D135" s="84" t="str">
        <f t="shared" ref="D135:D162" si="4">F135</f>
        <v>仕入高</v>
      </c>
      <c r="E135" s="63" t="s">
        <v>330</v>
      </c>
      <c r="F135" s="65" t="s">
        <v>138</v>
      </c>
      <c r="G135" s="65"/>
      <c r="H135" s="65"/>
      <c r="I135" s="65" t="s">
        <v>328</v>
      </c>
      <c r="J135" s="65" t="s">
        <v>128</v>
      </c>
      <c r="K135" s="65"/>
      <c r="L135" s="65"/>
      <c r="M135" s="65"/>
      <c r="N135" s="65"/>
      <c r="O135" s="65"/>
      <c r="P135" s="65"/>
      <c r="Q135" s="65"/>
      <c r="R135" s="65"/>
      <c r="S135" s="65"/>
      <c r="T135" s="65"/>
      <c r="U135" s="65"/>
      <c r="V135" s="65"/>
      <c r="W135" s="65"/>
      <c r="X135" s="65"/>
      <c r="Y135" s="65"/>
      <c r="Z135" s="65"/>
      <c r="AA135" s="65"/>
      <c r="AB135" s="65"/>
      <c r="AC135" s="65"/>
      <c r="AD135" s="65">
        <v>0.0</v>
      </c>
      <c r="AE135" s="65">
        <v>0.0</v>
      </c>
      <c r="AF135" s="65">
        <v>0.0</v>
      </c>
      <c r="AG135" s="65">
        <v>0.0</v>
      </c>
      <c r="AH135" s="65">
        <v>0.0</v>
      </c>
      <c r="AI135" s="65">
        <v>0.0</v>
      </c>
      <c r="AJ135" s="65">
        <v>0.0</v>
      </c>
      <c r="AK135" s="65">
        <v>0.0</v>
      </c>
      <c r="AL135" s="65">
        <v>0.0</v>
      </c>
      <c r="AM135" s="65">
        <v>0.0</v>
      </c>
      <c r="AN135" s="65">
        <v>0.0</v>
      </c>
      <c r="AO135" s="65">
        <v>0.0</v>
      </c>
      <c r="AP135" s="85">
        <v>0.0</v>
      </c>
      <c r="AQ135" s="85">
        <v>0.0</v>
      </c>
      <c r="AR135" s="85">
        <v>0.0</v>
      </c>
      <c r="AS135" s="85">
        <v>0.0</v>
      </c>
      <c r="AT135" s="85">
        <v>0.0</v>
      </c>
      <c r="AU135" s="85">
        <v>0.0</v>
      </c>
      <c r="AV135" s="85">
        <v>0.0</v>
      </c>
      <c r="AW135" s="85">
        <v>0.0</v>
      </c>
      <c r="AX135" s="85">
        <v>0.0</v>
      </c>
      <c r="AY135" s="85">
        <v>0.0</v>
      </c>
      <c r="AZ135" s="85">
        <v>0.0</v>
      </c>
      <c r="BA135" s="85">
        <v>0.0</v>
      </c>
      <c r="BB135" s="85"/>
      <c r="BC135" s="85"/>
      <c r="BD135" s="85"/>
      <c r="BE135" s="85"/>
      <c r="BF135" s="85"/>
      <c r="BG135" s="85"/>
      <c r="BH135" s="85"/>
      <c r="BI135" s="85"/>
      <c r="BJ135" s="85"/>
      <c r="BK135" s="85"/>
      <c r="BL135" s="85"/>
      <c r="BM135" s="85"/>
      <c r="BN135" s="85"/>
      <c r="BO135" s="85"/>
      <c r="BP135" s="85"/>
      <c r="BQ135" s="85"/>
      <c r="BR135" s="85"/>
      <c r="BS135" s="85"/>
      <c r="BT135" s="85"/>
      <c r="BU135" s="85"/>
      <c r="BV135" s="85"/>
      <c r="BW135" s="85"/>
      <c r="BX135" s="85"/>
      <c r="BY135" s="85"/>
      <c r="BZ135" s="85"/>
      <c r="CA135" s="85"/>
      <c r="CB135" s="85"/>
      <c r="CC135" s="85"/>
      <c r="CD135" s="85"/>
      <c r="CE135" s="85"/>
      <c r="CF135" s="85"/>
      <c r="CG135" s="85"/>
      <c r="CH135" s="85"/>
      <c r="CI135" s="85"/>
      <c r="CJ135" s="85"/>
      <c r="CK135" s="85"/>
      <c r="CL135" s="61"/>
      <c r="CM135" s="38" t="s">
        <v>138</v>
      </c>
      <c r="CN135" s="61"/>
      <c r="CO135" s="61"/>
      <c r="CP135" s="61"/>
    </row>
    <row r="136" ht="15.75" customHeight="1">
      <c r="A136" s="75"/>
      <c r="B136" s="59" t="str">
        <f t="array" ref="B136">XLOOKUP(D136, 'マスタ'!$C$2:$C$1000, 'マスタ'!$D$2:$D$1000, "マスタ未登録")</f>
        <v>外注費</v>
      </c>
      <c r="C136" s="53" t="str">
        <f>IF(AND(D136&lt;&gt;"", COUNTIF('マスタ'!$C:$C, D136)=0), "マスタ未登録", "")</f>
        <v/>
      </c>
      <c r="D136" s="84" t="str">
        <f t="shared" si="4"/>
        <v>外注費</v>
      </c>
      <c r="E136" s="63" t="s">
        <v>330</v>
      </c>
      <c r="F136" s="65" t="s">
        <v>79</v>
      </c>
      <c r="G136" s="65"/>
      <c r="H136" s="65"/>
      <c r="I136" s="65" t="s">
        <v>328</v>
      </c>
      <c r="J136" s="65" t="s">
        <v>128</v>
      </c>
      <c r="K136" s="65"/>
      <c r="L136" s="65"/>
      <c r="M136" s="65"/>
      <c r="N136" s="65"/>
      <c r="O136" s="65"/>
      <c r="P136" s="65"/>
      <c r="Q136" s="65"/>
      <c r="R136" s="65"/>
      <c r="S136" s="65"/>
      <c r="T136" s="65"/>
      <c r="U136" s="65"/>
      <c r="V136" s="65"/>
      <c r="W136" s="65"/>
      <c r="X136" s="65"/>
      <c r="Y136" s="65"/>
      <c r="Z136" s="65"/>
      <c r="AA136" s="65"/>
      <c r="AB136" s="65"/>
      <c r="AC136" s="65"/>
      <c r="AD136" s="65">
        <v>-1335000.0</v>
      </c>
      <c r="AE136" s="65">
        <v>-1429000.0</v>
      </c>
      <c r="AF136" s="65">
        <v>-2794359.0</v>
      </c>
      <c r="AG136" s="65">
        <v>-2709000.0</v>
      </c>
      <c r="AH136" s="65">
        <v>-5732000.0</v>
      </c>
      <c r="AI136" s="65">
        <v>-2445000.0</v>
      </c>
      <c r="AJ136" s="65">
        <v>-2560000.0</v>
      </c>
      <c r="AK136" s="65">
        <v>-2729000.0</v>
      </c>
      <c r="AL136" s="65">
        <v>-2861000.0</v>
      </c>
      <c r="AM136" s="65">
        <v>-2459000.0</v>
      </c>
      <c r="AN136" s="65">
        <v>-2482000.0</v>
      </c>
      <c r="AO136" s="65">
        <v>-2435000.0</v>
      </c>
      <c r="AP136" s="85">
        <v>-3.4503546E7</v>
      </c>
      <c r="AQ136" s="85">
        <v>-3.4715E7</v>
      </c>
      <c r="AR136" s="85">
        <v>-3.4715E7</v>
      </c>
      <c r="AS136" s="85">
        <v>-3.4665E7</v>
      </c>
      <c r="AT136" s="85">
        <v>-3.4665E7</v>
      </c>
      <c r="AU136" s="85">
        <v>-3.4665E7</v>
      </c>
      <c r="AV136" s="85">
        <v>-3.4665E7</v>
      </c>
      <c r="AW136" s="85">
        <v>-3.5165E7</v>
      </c>
      <c r="AX136" s="85">
        <v>-3.4665E7</v>
      </c>
      <c r="AY136" s="85">
        <v>-3.4665E7</v>
      </c>
      <c r="AZ136" s="85">
        <v>-3.4665E7</v>
      </c>
      <c r="BA136" s="85">
        <v>-3.4665E7</v>
      </c>
      <c r="BB136" s="85"/>
      <c r="BC136" s="85"/>
      <c r="BD136" s="85"/>
      <c r="BE136" s="85"/>
      <c r="BF136" s="85"/>
      <c r="BG136" s="85"/>
      <c r="BH136" s="85"/>
      <c r="BI136" s="85"/>
      <c r="BJ136" s="85"/>
      <c r="BK136" s="85"/>
      <c r="BL136" s="85"/>
      <c r="BM136" s="85"/>
      <c r="BN136" s="85"/>
      <c r="BO136" s="85"/>
      <c r="BP136" s="85"/>
      <c r="BQ136" s="85"/>
      <c r="BR136" s="85"/>
      <c r="BS136" s="85"/>
      <c r="BT136" s="85"/>
      <c r="BU136" s="85"/>
      <c r="BV136" s="85"/>
      <c r="BW136" s="85"/>
      <c r="BX136" s="85"/>
      <c r="BY136" s="85"/>
      <c r="BZ136" s="85"/>
      <c r="CA136" s="85"/>
      <c r="CB136" s="85"/>
      <c r="CC136" s="85"/>
      <c r="CD136" s="85"/>
      <c r="CE136" s="85"/>
      <c r="CF136" s="85"/>
      <c r="CG136" s="85"/>
      <c r="CH136" s="85"/>
      <c r="CI136" s="85"/>
      <c r="CJ136" s="85"/>
      <c r="CK136" s="85"/>
      <c r="CL136" s="61"/>
      <c r="CM136" s="38" t="s">
        <v>79</v>
      </c>
      <c r="CN136" s="61"/>
      <c r="CO136" s="61"/>
      <c r="CP136" s="61"/>
    </row>
    <row r="137" ht="15.75" customHeight="1">
      <c r="A137" s="75"/>
      <c r="B137" s="59" t="str">
        <f t="array" ref="B137">XLOOKUP(D137, 'マスタ'!$C$2:$C$1000, 'マスタ'!$D$2:$D$1000, "マスタ未登録")</f>
        <v>荷造運賃</v>
      </c>
      <c r="C137" s="53" t="str">
        <f>IF(AND(D137&lt;&gt;"", COUNTIF('マスタ'!$C:$C, D137)=0), "マスタ未登録", "")</f>
        <v/>
      </c>
      <c r="D137" s="84" t="str">
        <f t="shared" si="4"/>
        <v>荷造運賃</v>
      </c>
      <c r="E137" s="63" t="s">
        <v>330</v>
      </c>
      <c r="F137" s="65" t="s">
        <v>80</v>
      </c>
      <c r="G137" s="65"/>
      <c r="H137" s="65"/>
      <c r="I137" s="65" t="s">
        <v>328</v>
      </c>
      <c r="J137" s="65" t="s">
        <v>128</v>
      </c>
      <c r="K137" s="65"/>
      <c r="L137" s="65"/>
      <c r="M137" s="65"/>
      <c r="N137" s="65"/>
      <c r="O137" s="65"/>
      <c r="P137" s="65"/>
      <c r="Q137" s="65"/>
      <c r="R137" s="65"/>
      <c r="S137" s="65"/>
      <c r="T137" s="65"/>
      <c r="U137" s="65"/>
      <c r="V137" s="65"/>
      <c r="W137" s="65"/>
      <c r="X137" s="65"/>
      <c r="Y137" s="65"/>
      <c r="Z137" s="65"/>
      <c r="AA137" s="65"/>
      <c r="AB137" s="65"/>
      <c r="AC137" s="65"/>
      <c r="AD137" s="65">
        <v>-156490.0</v>
      </c>
      <c r="AE137" s="65">
        <v>-75834.0</v>
      </c>
      <c r="AF137" s="65">
        <v>-105484.0</v>
      </c>
      <c r="AG137" s="65">
        <v>-78596.0</v>
      </c>
      <c r="AH137" s="65">
        <v>-69843.0</v>
      </c>
      <c r="AI137" s="65">
        <v>-66214.0</v>
      </c>
      <c r="AJ137" s="65">
        <v>-51594.0</v>
      </c>
      <c r="AK137" s="65">
        <v>-56865.0</v>
      </c>
      <c r="AL137" s="65">
        <v>-48068.0</v>
      </c>
      <c r="AM137" s="65">
        <v>-113203.0</v>
      </c>
      <c r="AN137" s="65">
        <v>-99394.0</v>
      </c>
      <c r="AO137" s="65">
        <v>-258998.0</v>
      </c>
      <c r="AP137" s="85">
        <v>-180727.0</v>
      </c>
      <c r="AQ137" s="85">
        <v>-156490.0</v>
      </c>
      <c r="AR137" s="85">
        <v>-156490.0</v>
      </c>
      <c r="AS137" s="85">
        <v>-156490.0</v>
      </c>
      <c r="AT137" s="85">
        <v>-156490.0</v>
      </c>
      <c r="AU137" s="85">
        <v>-156490.0</v>
      </c>
      <c r="AV137" s="85">
        <v>-156490.0</v>
      </c>
      <c r="AW137" s="85">
        <v>-156490.0</v>
      </c>
      <c r="AX137" s="85">
        <v>-156490.0</v>
      </c>
      <c r="AY137" s="85">
        <v>-156490.0</v>
      </c>
      <c r="AZ137" s="85">
        <v>-156490.0</v>
      </c>
      <c r="BA137" s="85">
        <v>-156490.0</v>
      </c>
      <c r="BB137" s="85"/>
      <c r="BC137" s="85"/>
      <c r="BD137" s="85"/>
      <c r="BE137" s="85"/>
      <c r="BF137" s="85"/>
      <c r="BG137" s="85"/>
      <c r="BH137" s="85"/>
      <c r="BI137" s="85"/>
      <c r="BJ137" s="85"/>
      <c r="BK137" s="85"/>
      <c r="BL137" s="85"/>
      <c r="BM137" s="85"/>
      <c r="BN137" s="85"/>
      <c r="BO137" s="85"/>
      <c r="BP137" s="85"/>
      <c r="BQ137" s="85"/>
      <c r="BR137" s="85"/>
      <c r="BS137" s="85"/>
      <c r="BT137" s="85"/>
      <c r="BU137" s="85"/>
      <c r="BV137" s="85"/>
      <c r="BW137" s="85"/>
      <c r="BX137" s="85"/>
      <c r="BY137" s="85"/>
      <c r="BZ137" s="85"/>
      <c r="CA137" s="85"/>
      <c r="CB137" s="85"/>
      <c r="CC137" s="85"/>
      <c r="CD137" s="85"/>
      <c r="CE137" s="85"/>
      <c r="CF137" s="85"/>
      <c r="CG137" s="85"/>
      <c r="CH137" s="85"/>
      <c r="CI137" s="85"/>
      <c r="CJ137" s="85"/>
      <c r="CK137" s="85"/>
      <c r="CL137" s="61"/>
      <c r="CM137" s="38" t="s">
        <v>80</v>
      </c>
      <c r="CN137" s="61"/>
      <c r="CO137" s="61"/>
      <c r="CP137" s="61"/>
    </row>
    <row r="138" ht="15.75" customHeight="1">
      <c r="A138" s="75"/>
      <c r="B138" s="59" t="str">
        <f t="array" ref="B138">XLOOKUP(D138, 'マスタ'!$C$2:$C$1000, 'マスタ'!$D$2:$D$1000, "マスタ未登録")</f>
        <v>支払手数料</v>
      </c>
      <c r="C138" s="53" t="str">
        <f>IF(AND(D138&lt;&gt;"", COUNTIF('マスタ'!$C:$C, D138)=0), "マスタ未登録", "")</f>
        <v/>
      </c>
      <c r="D138" s="84" t="str">
        <f t="shared" si="4"/>
        <v>支払手数料</v>
      </c>
      <c r="E138" s="63" t="s">
        <v>330</v>
      </c>
      <c r="F138" s="65" t="s">
        <v>92</v>
      </c>
      <c r="G138" s="65"/>
      <c r="H138" s="65"/>
      <c r="I138" s="65" t="s">
        <v>328</v>
      </c>
      <c r="J138" s="65" t="s">
        <v>128</v>
      </c>
      <c r="K138" s="65"/>
      <c r="L138" s="65"/>
      <c r="M138" s="65"/>
      <c r="N138" s="65"/>
      <c r="O138" s="65"/>
      <c r="P138" s="65"/>
      <c r="Q138" s="65"/>
      <c r="R138" s="65"/>
      <c r="S138" s="65"/>
      <c r="T138" s="65"/>
      <c r="U138" s="65"/>
      <c r="V138" s="65"/>
      <c r="W138" s="65"/>
      <c r="X138" s="65"/>
      <c r="Y138" s="65"/>
      <c r="Z138" s="65"/>
      <c r="AA138" s="65"/>
      <c r="AB138" s="65"/>
      <c r="AC138" s="65"/>
      <c r="AD138" s="65">
        <v>-1110145.0</v>
      </c>
      <c r="AE138" s="65">
        <v>-675237.0</v>
      </c>
      <c r="AF138" s="65">
        <v>-574586.0</v>
      </c>
      <c r="AG138" s="65">
        <v>-527570.0</v>
      </c>
      <c r="AH138" s="65">
        <v>-649549.0</v>
      </c>
      <c r="AI138" s="65">
        <v>-797718.0</v>
      </c>
      <c r="AJ138" s="65">
        <v>-929428.0</v>
      </c>
      <c r="AK138" s="65">
        <v>-449111.0</v>
      </c>
      <c r="AL138" s="65">
        <v>-885059.0</v>
      </c>
      <c r="AM138" s="65">
        <v>-1950780.0</v>
      </c>
      <c r="AN138" s="65">
        <v>-773423.0</v>
      </c>
      <c r="AO138" s="65">
        <v>-1954042.0</v>
      </c>
      <c r="AP138" s="85">
        <v>-475583.0</v>
      </c>
      <c r="AQ138" s="85">
        <v>-365024.0</v>
      </c>
      <c r="AR138" s="85">
        <v>-365024.0</v>
      </c>
      <c r="AS138" s="85">
        <v>-365024.0</v>
      </c>
      <c r="AT138" s="85">
        <v>-365024.0</v>
      </c>
      <c r="AU138" s="85">
        <v>-365024.0</v>
      </c>
      <c r="AV138" s="85">
        <v>-365024.0</v>
      </c>
      <c r="AW138" s="85">
        <v>-365024.0</v>
      </c>
      <c r="AX138" s="85">
        <v>-365024.0</v>
      </c>
      <c r="AY138" s="85">
        <v>-365024.0</v>
      </c>
      <c r="AZ138" s="85">
        <v>-365024.0</v>
      </c>
      <c r="BA138" s="85">
        <v>-365024.0</v>
      </c>
      <c r="BB138" s="85"/>
      <c r="BC138" s="85"/>
      <c r="BD138" s="85"/>
      <c r="BE138" s="85"/>
      <c r="BF138" s="85"/>
      <c r="BG138" s="85"/>
      <c r="BH138" s="85"/>
      <c r="BI138" s="85"/>
      <c r="BJ138" s="85"/>
      <c r="BK138" s="85"/>
      <c r="BL138" s="85"/>
      <c r="BM138" s="85"/>
      <c r="BN138" s="85"/>
      <c r="BO138" s="85"/>
      <c r="BP138" s="85"/>
      <c r="BQ138" s="85"/>
      <c r="BR138" s="85"/>
      <c r="BS138" s="85"/>
      <c r="BT138" s="85"/>
      <c r="BU138" s="85"/>
      <c r="BV138" s="85"/>
      <c r="BW138" s="85"/>
      <c r="BX138" s="85"/>
      <c r="BY138" s="85"/>
      <c r="BZ138" s="85"/>
      <c r="CA138" s="85"/>
      <c r="CB138" s="85"/>
      <c r="CC138" s="85"/>
      <c r="CD138" s="85"/>
      <c r="CE138" s="85"/>
      <c r="CF138" s="85"/>
      <c r="CG138" s="85"/>
      <c r="CH138" s="85"/>
      <c r="CI138" s="85"/>
      <c r="CJ138" s="85"/>
      <c r="CK138" s="85"/>
      <c r="CL138" s="61"/>
      <c r="CM138" s="38" t="s">
        <v>92</v>
      </c>
      <c r="CN138" s="61"/>
      <c r="CO138" s="61"/>
      <c r="CP138" s="61"/>
    </row>
    <row r="139" ht="15.75" customHeight="1">
      <c r="A139" s="75"/>
      <c r="B139" s="59" t="str">
        <f t="array" ref="B139">XLOOKUP(D139, 'マスタ'!$C$2:$C$1000, 'マスタ'!$D$2:$D$1000, "マスタ未登録")</f>
        <v>保険料</v>
      </c>
      <c r="C139" s="53" t="str">
        <f>IF(AND(D139&lt;&gt;"", COUNTIF('マスタ'!$C:$C, D139)=0), "マスタ未登録", "")</f>
        <v/>
      </c>
      <c r="D139" s="84" t="str">
        <f t="shared" si="4"/>
        <v>保険料</v>
      </c>
      <c r="E139" s="63" t="s">
        <v>330</v>
      </c>
      <c r="F139" s="65" t="s">
        <v>90</v>
      </c>
      <c r="G139" s="65"/>
      <c r="H139" s="65"/>
      <c r="I139" s="65" t="s">
        <v>328</v>
      </c>
      <c r="J139" s="65" t="s">
        <v>128</v>
      </c>
      <c r="K139" s="65"/>
      <c r="L139" s="65"/>
      <c r="M139" s="65"/>
      <c r="N139" s="65"/>
      <c r="O139" s="65"/>
      <c r="P139" s="65"/>
      <c r="Q139" s="65"/>
      <c r="R139" s="65"/>
      <c r="S139" s="65"/>
      <c r="T139" s="65"/>
      <c r="U139" s="65"/>
      <c r="V139" s="65"/>
      <c r="W139" s="65"/>
      <c r="X139" s="65"/>
      <c r="Y139" s="65"/>
      <c r="Z139" s="65"/>
      <c r="AA139" s="65"/>
      <c r="AB139" s="65"/>
      <c r="AC139" s="65"/>
      <c r="AD139" s="65">
        <v>980417.0</v>
      </c>
      <c r="AE139" s="65">
        <v>-483575.0</v>
      </c>
      <c r="AF139" s="65">
        <v>-483575.0</v>
      </c>
      <c r="AG139" s="65">
        <v>-457554.0</v>
      </c>
      <c r="AH139" s="65">
        <v>-483575.0</v>
      </c>
      <c r="AI139" s="65">
        <v>-483575.0</v>
      </c>
      <c r="AJ139" s="65">
        <v>-350435.0</v>
      </c>
      <c r="AK139" s="65">
        <v>-313075.0</v>
      </c>
      <c r="AL139" s="65">
        <v>-186895.0</v>
      </c>
      <c r="AM139" s="65">
        <v>-337075.0</v>
      </c>
      <c r="AN139" s="65">
        <v>-313075.0</v>
      </c>
      <c r="AO139" s="65">
        <v>-313075.0</v>
      </c>
      <c r="AP139" s="85">
        <v>-216335.0</v>
      </c>
      <c r="AQ139" s="85">
        <v>-292284.0</v>
      </c>
      <c r="AR139" s="85">
        <v>-292284.0</v>
      </c>
      <c r="AS139" s="85">
        <v>-292284.0</v>
      </c>
      <c r="AT139" s="85">
        <v>-292284.0</v>
      </c>
      <c r="AU139" s="85">
        <v>-292284.0</v>
      </c>
      <c r="AV139" s="85">
        <v>-292284.0</v>
      </c>
      <c r="AW139" s="85">
        <v>-292284.0</v>
      </c>
      <c r="AX139" s="85">
        <v>-292284.0</v>
      </c>
      <c r="AY139" s="85">
        <v>-292284.0</v>
      </c>
      <c r="AZ139" s="85">
        <v>-292284.0</v>
      </c>
      <c r="BA139" s="85">
        <v>-292284.0</v>
      </c>
      <c r="BB139" s="85"/>
      <c r="BC139" s="85"/>
      <c r="BD139" s="85"/>
      <c r="BE139" s="85"/>
      <c r="BF139" s="85"/>
      <c r="BG139" s="85"/>
      <c r="BH139" s="85"/>
      <c r="BI139" s="85"/>
      <c r="BJ139" s="85"/>
      <c r="BK139" s="85"/>
      <c r="BL139" s="85"/>
      <c r="BM139" s="85"/>
      <c r="BN139" s="85"/>
      <c r="BO139" s="85"/>
      <c r="BP139" s="85"/>
      <c r="BQ139" s="85"/>
      <c r="BR139" s="85"/>
      <c r="BS139" s="85"/>
      <c r="BT139" s="85"/>
      <c r="BU139" s="85"/>
      <c r="BV139" s="85"/>
      <c r="BW139" s="85"/>
      <c r="BX139" s="85"/>
      <c r="BY139" s="85"/>
      <c r="BZ139" s="85"/>
      <c r="CA139" s="85"/>
      <c r="CB139" s="85"/>
      <c r="CC139" s="85"/>
      <c r="CD139" s="85"/>
      <c r="CE139" s="85"/>
      <c r="CF139" s="85"/>
      <c r="CG139" s="85"/>
      <c r="CH139" s="85"/>
      <c r="CI139" s="85"/>
      <c r="CJ139" s="85"/>
      <c r="CK139" s="85"/>
      <c r="CL139" s="61"/>
      <c r="CM139" s="38" t="s">
        <v>90</v>
      </c>
      <c r="CN139" s="61"/>
      <c r="CO139" s="61"/>
      <c r="CP139" s="61"/>
    </row>
    <row r="140" ht="15.75" customHeight="1">
      <c r="A140" s="75"/>
      <c r="B140" s="59" t="str">
        <f t="array" ref="B140">XLOOKUP(D140, 'マスタ'!$C$2:$C$1000, 'マスタ'!$D$2:$D$1000, "マスタ未登録")</f>
        <v>広告宣伝費</v>
      </c>
      <c r="C140" s="53" t="str">
        <f>IF(AND(D140&lt;&gt;"", COUNTIF('マスタ'!$C:$C, D140)=0), "マスタ未登録", "")</f>
        <v/>
      </c>
      <c r="D140" s="84" t="str">
        <f t="shared" si="4"/>
        <v>広告宣伝費</v>
      </c>
      <c r="E140" s="63" t="s">
        <v>331</v>
      </c>
      <c r="F140" s="65" t="s">
        <v>81</v>
      </c>
      <c r="G140" s="65"/>
      <c r="H140" s="65"/>
      <c r="I140" s="65" t="s">
        <v>328</v>
      </c>
      <c r="J140" s="65" t="s">
        <v>128</v>
      </c>
      <c r="K140" s="65"/>
      <c r="L140" s="65"/>
      <c r="M140" s="65"/>
      <c r="N140" s="65"/>
      <c r="O140" s="65"/>
      <c r="P140" s="65"/>
      <c r="Q140" s="65"/>
      <c r="R140" s="65"/>
      <c r="S140" s="65"/>
      <c r="T140" s="65"/>
      <c r="U140" s="65"/>
      <c r="V140" s="65"/>
      <c r="W140" s="65"/>
      <c r="X140" s="65"/>
      <c r="Y140" s="65"/>
      <c r="Z140" s="65"/>
      <c r="AA140" s="65"/>
      <c r="AB140" s="65"/>
      <c r="AC140" s="65"/>
      <c r="AD140" s="65">
        <v>0.0</v>
      </c>
      <c r="AE140" s="65">
        <v>0.0</v>
      </c>
      <c r="AF140" s="65">
        <v>0.0</v>
      </c>
      <c r="AG140" s="65">
        <v>0.0</v>
      </c>
      <c r="AH140" s="65">
        <v>0.0</v>
      </c>
      <c r="AI140" s="65">
        <v>0.0</v>
      </c>
      <c r="AJ140" s="65">
        <v>0.0</v>
      </c>
      <c r="AK140" s="65">
        <v>0.0</v>
      </c>
      <c r="AL140" s="65">
        <v>0.0</v>
      </c>
      <c r="AM140" s="65">
        <v>-3310.0</v>
      </c>
      <c r="AN140" s="65">
        <v>0.0</v>
      </c>
      <c r="AO140" s="65">
        <v>0.0</v>
      </c>
      <c r="AP140" s="85">
        <v>0.0</v>
      </c>
      <c r="AQ140" s="85">
        <v>0.0</v>
      </c>
      <c r="AR140" s="85">
        <v>0.0</v>
      </c>
      <c r="AS140" s="85">
        <v>0.0</v>
      </c>
      <c r="AT140" s="85">
        <v>0.0</v>
      </c>
      <c r="AU140" s="85">
        <v>0.0</v>
      </c>
      <c r="AV140" s="85">
        <v>0.0</v>
      </c>
      <c r="AW140" s="85">
        <v>0.0</v>
      </c>
      <c r="AX140" s="85">
        <v>0.0</v>
      </c>
      <c r="AY140" s="85">
        <v>0.0</v>
      </c>
      <c r="AZ140" s="85">
        <v>0.0</v>
      </c>
      <c r="BA140" s="85">
        <v>0.0</v>
      </c>
      <c r="BB140" s="85"/>
      <c r="BC140" s="85"/>
      <c r="BD140" s="85"/>
      <c r="BE140" s="85"/>
      <c r="BF140" s="85"/>
      <c r="BG140" s="85"/>
      <c r="BH140" s="85"/>
      <c r="BI140" s="85"/>
      <c r="BJ140" s="85"/>
      <c r="BK140" s="85"/>
      <c r="BL140" s="85"/>
      <c r="BM140" s="85"/>
      <c r="BN140" s="85"/>
      <c r="BO140" s="85"/>
      <c r="BP140" s="85"/>
      <c r="BQ140" s="85"/>
      <c r="BR140" s="85"/>
      <c r="BS140" s="85"/>
      <c r="BT140" s="85"/>
      <c r="BU140" s="85"/>
      <c r="BV140" s="85"/>
      <c r="BW140" s="85"/>
      <c r="BX140" s="85"/>
      <c r="BY140" s="85"/>
      <c r="BZ140" s="85"/>
      <c r="CA140" s="85"/>
      <c r="CB140" s="85"/>
      <c r="CC140" s="85"/>
      <c r="CD140" s="85"/>
      <c r="CE140" s="85"/>
      <c r="CF140" s="85"/>
      <c r="CG140" s="85"/>
      <c r="CH140" s="85"/>
      <c r="CI140" s="85"/>
      <c r="CJ140" s="85"/>
      <c r="CK140" s="85"/>
      <c r="CL140" s="61"/>
      <c r="CM140" s="38" t="s">
        <v>81</v>
      </c>
      <c r="CN140" s="61"/>
      <c r="CO140" s="61"/>
      <c r="CP140" s="61"/>
    </row>
    <row r="141" ht="15.75" customHeight="1">
      <c r="A141" s="75"/>
      <c r="B141" s="59" t="str">
        <f t="array" ref="B141">XLOOKUP(D141, 'マスタ'!$C$2:$C$1000, 'マスタ'!$D$2:$D$1000, "マスタ未登録")</f>
        <v>その他</v>
      </c>
      <c r="C141" s="53" t="str">
        <f>IF(AND(D141&lt;&gt;"", COUNTIF('マスタ'!$C:$C, D141)=0), "マスタ未登録", "")</f>
        <v/>
      </c>
      <c r="D141" s="84" t="str">
        <f t="shared" si="4"/>
        <v>その他(変)</v>
      </c>
      <c r="E141" s="63" t="s">
        <v>331</v>
      </c>
      <c r="F141" s="65" t="s">
        <v>345</v>
      </c>
      <c r="G141" s="65"/>
      <c r="H141" s="65"/>
      <c r="I141" s="65" t="s">
        <v>328</v>
      </c>
      <c r="J141" s="65" t="s">
        <v>128</v>
      </c>
      <c r="K141" s="65"/>
      <c r="L141" s="65"/>
      <c r="M141" s="65"/>
      <c r="N141" s="65"/>
      <c r="O141" s="65"/>
      <c r="P141" s="65"/>
      <c r="Q141" s="65"/>
      <c r="R141" s="65"/>
      <c r="S141" s="65"/>
      <c r="T141" s="65"/>
      <c r="U141" s="65"/>
      <c r="V141" s="65"/>
      <c r="W141" s="65"/>
      <c r="X141" s="65"/>
      <c r="Y141" s="65"/>
      <c r="Z141" s="65"/>
      <c r="AA141" s="65"/>
      <c r="AB141" s="65"/>
      <c r="AC141" s="65"/>
      <c r="AD141" s="65">
        <v>0.0</v>
      </c>
      <c r="AE141" s="65">
        <v>0.0</v>
      </c>
      <c r="AF141" s="65">
        <v>0.0</v>
      </c>
      <c r="AG141" s="65">
        <v>0.0</v>
      </c>
      <c r="AH141" s="65">
        <v>0.0</v>
      </c>
      <c r="AI141" s="65">
        <v>0.0</v>
      </c>
      <c r="AJ141" s="65">
        <v>0.0</v>
      </c>
      <c r="AK141" s="65">
        <v>0.0</v>
      </c>
      <c r="AL141" s="65">
        <v>0.0</v>
      </c>
      <c r="AM141" s="65">
        <v>0.0</v>
      </c>
      <c r="AN141" s="65">
        <v>0.0</v>
      </c>
      <c r="AO141" s="65">
        <v>0.0</v>
      </c>
      <c r="AP141" s="85">
        <v>0.0</v>
      </c>
      <c r="AQ141" s="85">
        <v>0.0</v>
      </c>
      <c r="AR141" s="85">
        <v>0.0</v>
      </c>
      <c r="AS141" s="85">
        <v>0.0</v>
      </c>
      <c r="AT141" s="85">
        <v>0.0</v>
      </c>
      <c r="AU141" s="85">
        <v>0.0</v>
      </c>
      <c r="AV141" s="85">
        <v>0.0</v>
      </c>
      <c r="AW141" s="85">
        <v>0.0</v>
      </c>
      <c r="AX141" s="85">
        <v>0.0</v>
      </c>
      <c r="AY141" s="85">
        <v>0.0</v>
      </c>
      <c r="AZ141" s="85">
        <v>0.0</v>
      </c>
      <c r="BA141" s="85">
        <v>0.0</v>
      </c>
      <c r="BB141" s="85"/>
      <c r="BC141" s="85"/>
      <c r="BD141" s="85"/>
      <c r="BE141" s="85"/>
      <c r="BF141" s="85"/>
      <c r="BG141" s="85"/>
      <c r="BH141" s="85"/>
      <c r="BI141" s="85"/>
      <c r="BJ141" s="85"/>
      <c r="BK141" s="85"/>
      <c r="BL141" s="85"/>
      <c r="BM141" s="85"/>
      <c r="BN141" s="85"/>
      <c r="BO141" s="85"/>
      <c r="BP141" s="85"/>
      <c r="BQ141" s="85"/>
      <c r="BR141" s="85"/>
      <c r="BS141" s="85"/>
      <c r="BT141" s="85"/>
      <c r="BU141" s="85"/>
      <c r="BV141" s="85"/>
      <c r="BW141" s="85"/>
      <c r="BX141" s="85"/>
      <c r="BY141" s="85"/>
      <c r="BZ141" s="85"/>
      <c r="CA141" s="85"/>
      <c r="CB141" s="85"/>
      <c r="CC141" s="85"/>
      <c r="CD141" s="85"/>
      <c r="CE141" s="85"/>
      <c r="CF141" s="85"/>
      <c r="CG141" s="85"/>
      <c r="CH141" s="85"/>
      <c r="CI141" s="85"/>
      <c r="CJ141" s="85"/>
      <c r="CK141" s="85"/>
      <c r="CL141" s="61"/>
      <c r="CM141" s="61" t="s">
        <v>341</v>
      </c>
      <c r="CN141" s="61"/>
      <c r="CO141" s="61"/>
      <c r="CP141" s="61"/>
    </row>
    <row r="142" ht="15.75" customHeight="1">
      <c r="A142" s="75"/>
      <c r="B142" s="59" t="str">
        <f t="array" ref="B142">XLOOKUP(D142, 'マスタ'!$C$2:$C$1000, 'マスタ'!$D$2:$D$1000, "マスタ未登録")</f>
        <v>当期商品仕入高</v>
      </c>
      <c r="C142" s="53" t="str">
        <f>IF(AND(D142&lt;&gt;"", COUNTIF('マスタ'!$C:$C, D142)=0), "マスタ未登録", "")</f>
        <v/>
      </c>
      <c r="D142" s="84" t="str">
        <f t="shared" si="4"/>
        <v>タレント報酬</v>
      </c>
      <c r="E142" s="63" t="s">
        <v>331</v>
      </c>
      <c r="F142" s="65" t="s">
        <v>332</v>
      </c>
      <c r="G142" s="65"/>
      <c r="H142" s="65"/>
      <c r="I142" s="65" t="s">
        <v>328</v>
      </c>
      <c r="J142" s="65" t="s">
        <v>128</v>
      </c>
      <c r="K142" s="65"/>
      <c r="L142" s="65"/>
      <c r="M142" s="65"/>
      <c r="N142" s="65"/>
      <c r="O142" s="65"/>
      <c r="P142" s="65"/>
      <c r="Q142" s="65"/>
      <c r="R142" s="65"/>
      <c r="S142" s="65"/>
      <c r="T142" s="65"/>
      <c r="U142" s="65"/>
      <c r="V142" s="65"/>
      <c r="W142" s="65"/>
      <c r="X142" s="65"/>
      <c r="Y142" s="65"/>
      <c r="Z142" s="65"/>
      <c r="AA142" s="65"/>
      <c r="AB142" s="65"/>
      <c r="AC142" s="65"/>
      <c r="AD142" s="65">
        <v>-324619.0</v>
      </c>
      <c r="AE142" s="65">
        <v>-324619.0</v>
      </c>
      <c r="AF142" s="65">
        <v>0.0</v>
      </c>
      <c r="AG142" s="65">
        <v>-324619.0</v>
      </c>
      <c r="AH142" s="65">
        <v>-324619.0</v>
      </c>
      <c r="AI142" s="65">
        <v>-321819.0</v>
      </c>
      <c r="AJ142" s="65">
        <v>-324619.0</v>
      </c>
      <c r="AK142" s="65">
        <v>-324619.0</v>
      </c>
      <c r="AL142" s="65">
        <v>-324619.0</v>
      </c>
      <c r="AM142" s="65">
        <v>-324619.0</v>
      </c>
      <c r="AN142" s="65">
        <v>-324619.0</v>
      </c>
      <c r="AO142" s="65">
        <v>-324619.0</v>
      </c>
      <c r="AP142" s="85">
        <v>-355219.0</v>
      </c>
      <c r="AQ142" s="85">
        <v>-341819.0</v>
      </c>
      <c r="AR142" s="85">
        <v>-341819.0</v>
      </c>
      <c r="AS142" s="85">
        <v>-341819.0</v>
      </c>
      <c r="AT142" s="85">
        <v>-341819.0</v>
      </c>
      <c r="AU142" s="85">
        <v>-341819.0</v>
      </c>
      <c r="AV142" s="85">
        <v>-341819.0</v>
      </c>
      <c r="AW142" s="85">
        <v>-341819.0</v>
      </c>
      <c r="AX142" s="85">
        <v>-341819.0</v>
      </c>
      <c r="AY142" s="85">
        <v>-341819.0</v>
      </c>
      <c r="AZ142" s="85">
        <v>-341819.0</v>
      </c>
      <c r="BA142" s="85">
        <v>-341819.0</v>
      </c>
      <c r="BB142" s="85"/>
      <c r="BC142" s="85"/>
      <c r="BD142" s="85"/>
      <c r="BE142" s="85"/>
      <c r="BF142" s="85"/>
      <c r="BG142" s="85"/>
      <c r="BH142" s="85"/>
      <c r="BI142" s="85"/>
      <c r="BJ142" s="85"/>
      <c r="BK142" s="85"/>
      <c r="BL142" s="85"/>
      <c r="BM142" s="85"/>
      <c r="BN142" s="85"/>
      <c r="BO142" s="85"/>
      <c r="BP142" s="85"/>
      <c r="BQ142" s="85"/>
      <c r="BR142" s="85"/>
      <c r="BS142" s="85"/>
      <c r="BT142" s="85"/>
      <c r="BU142" s="85"/>
      <c r="BV142" s="85"/>
      <c r="BW142" s="85"/>
      <c r="BX142" s="85"/>
      <c r="BY142" s="85"/>
      <c r="BZ142" s="85"/>
      <c r="CA142" s="85"/>
      <c r="CB142" s="85"/>
      <c r="CC142" s="85"/>
      <c r="CD142" s="85"/>
      <c r="CE142" s="85"/>
      <c r="CF142" s="85"/>
      <c r="CG142" s="85"/>
      <c r="CH142" s="85"/>
      <c r="CI142" s="85"/>
      <c r="CJ142" s="85"/>
      <c r="CK142" s="85"/>
      <c r="CL142" s="61"/>
      <c r="CM142" s="38" t="s">
        <v>332</v>
      </c>
      <c r="CN142" s="61"/>
      <c r="CO142" s="61"/>
      <c r="CP142" s="61"/>
    </row>
    <row r="143" ht="15.75" customHeight="1">
      <c r="A143" s="75"/>
      <c r="B143" s="59" t="str">
        <f t="array" ref="B143">XLOOKUP(D143, 'マスタ'!$C$2:$C$1000, 'マスタ'!$D$2:$D$1000, "マスタ未登録")</f>
        <v>当期商品仕入高</v>
      </c>
      <c r="C143" s="53" t="str">
        <f>IF(AND(D143&lt;&gt;"", COUNTIF('マスタ'!$C:$C, D143)=0), "マスタ未登録", "")</f>
        <v/>
      </c>
      <c r="D143" s="84" t="str">
        <f t="shared" si="4"/>
        <v>人件費</v>
      </c>
      <c r="E143" s="63" t="s">
        <v>331</v>
      </c>
      <c r="F143" s="65" t="s">
        <v>163</v>
      </c>
      <c r="G143" s="65"/>
      <c r="H143" s="65"/>
      <c r="I143" s="65" t="s">
        <v>328</v>
      </c>
      <c r="J143" s="65" t="s">
        <v>128</v>
      </c>
      <c r="K143" s="65"/>
      <c r="L143" s="65"/>
      <c r="M143" s="65"/>
      <c r="N143" s="65"/>
      <c r="O143" s="65"/>
      <c r="P143" s="65"/>
      <c r="Q143" s="65"/>
      <c r="R143" s="65"/>
      <c r="S143" s="65"/>
      <c r="T143" s="65"/>
      <c r="U143" s="65"/>
      <c r="V143" s="65"/>
      <c r="W143" s="65"/>
      <c r="X143" s="65"/>
      <c r="Y143" s="65"/>
      <c r="Z143" s="65"/>
      <c r="AA143" s="65"/>
      <c r="AB143" s="65"/>
      <c r="AC143" s="65"/>
      <c r="AD143" s="65">
        <v>-1.5422855E7</v>
      </c>
      <c r="AE143" s="65">
        <v>-1.6197393E7</v>
      </c>
      <c r="AF143" s="65">
        <v>-1.5327225E7</v>
      </c>
      <c r="AG143" s="65">
        <v>-1.7099422E7</v>
      </c>
      <c r="AH143" s="65">
        <v>-1.6558327E7</v>
      </c>
      <c r="AI143" s="65">
        <v>-1.7372251E7</v>
      </c>
      <c r="AJ143" s="65">
        <v>-1.6651172E7</v>
      </c>
      <c r="AK143" s="65">
        <v>-1.6918625E7</v>
      </c>
      <c r="AL143" s="65">
        <v>-1.8064194E7</v>
      </c>
      <c r="AM143" s="65">
        <v>-1.7549606E7</v>
      </c>
      <c r="AN143" s="65">
        <v>-1.6577134E7</v>
      </c>
      <c r="AO143" s="65">
        <v>-2.0113032E7</v>
      </c>
      <c r="AP143" s="85">
        <v>-1.157809E7</v>
      </c>
      <c r="AQ143" s="85">
        <v>-1.3538083E7</v>
      </c>
      <c r="AR143" s="85">
        <v>-1.4498771E7</v>
      </c>
      <c r="AS143" s="85">
        <v>-1.4548582E7</v>
      </c>
      <c r="AT143" s="85">
        <v>-1.4579608E7</v>
      </c>
      <c r="AU143" s="85">
        <v>-1.542819E7</v>
      </c>
      <c r="AV143" s="85">
        <v>-1.4847872E7</v>
      </c>
      <c r="AW143" s="85">
        <v>-1.4728942E7</v>
      </c>
      <c r="AX143" s="85">
        <v>-1.4683263E7</v>
      </c>
      <c r="AY143" s="85">
        <v>-1.4750473E7</v>
      </c>
      <c r="AZ143" s="85">
        <v>-1.4684181E7</v>
      </c>
      <c r="BA143" s="85">
        <v>-1.4562005E7</v>
      </c>
      <c r="BB143" s="85"/>
      <c r="BC143" s="85"/>
      <c r="BD143" s="85"/>
      <c r="BE143" s="85"/>
      <c r="BF143" s="85"/>
      <c r="BG143" s="85"/>
      <c r="BH143" s="85"/>
      <c r="BI143" s="85"/>
      <c r="BJ143" s="85"/>
      <c r="BK143" s="85"/>
      <c r="BL143" s="85"/>
      <c r="BM143" s="85"/>
      <c r="BN143" s="85"/>
      <c r="BO143" s="85"/>
      <c r="BP143" s="85"/>
      <c r="BQ143" s="85"/>
      <c r="BR143" s="85"/>
      <c r="BS143" s="85"/>
      <c r="BT143" s="85"/>
      <c r="BU143" s="85"/>
      <c r="BV143" s="85"/>
      <c r="BW143" s="85"/>
      <c r="BX143" s="85"/>
      <c r="BY143" s="85"/>
      <c r="BZ143" s="85"/>
      <c r="CA143" s="85"/>
      <c r="CB143" s="85"/>
      <c r="CC143" s="85"/>
      <c r="CD143" s="85"/>
      <c r="CE143" s="85"/>
      <c r="CF143" s="85"/>
      <c r="CG143" s="85"/>
      <c r="CH143" s="85"/>
      <c r="CI143" s="85"/>
      <c r="CJ143" s="85"/>
      <c r="CK143" s="85"/>
      <c r="CL143" s="61"/>
      <c r="CM143" s="38" t="s">
        <v>163</v>
      </c>
      <c r="CN143" s="61"/>
      <c r="CO143" s="61"/>
      <c r="CP143" s="61"/>
    </row>
    <row r="144" ht="15.75" customHeight="1">
      <c r="A144" s="75"/>
      <c r="B144" s="59" t="str">
        <f t="array" ref="B144">XLOOKUP(D144, 'マスタ'!$C$2:$C$1000, 'マスタ'!$D$2:$D$1000, "マスタ未登録")</f>
        <v>採用教育費</v>
      </c>
      <c r="C144" s="53" t="str">
        <f>IF(AND(D144&lt;&gt;"", COUNTIF('マスタ'!$C:$C, D144)=0), "マスタ未登録", "")</f>
        <v/>
      </c>
      <c r="D144" s="84" t="str">
        <f t="shared" si="4"/>
        <v>採用教育費</v>
      </c>
      <c r="E144" s="63" t="s">
        <v>331</v>
      </c>
      <c r="F144" s="65" t="s">
        <v>77</v>
      </c>
      <c r="G144" s="65"/>
      <c r="H144" s="65"/>
      <c r="I144" s="65" t="s">
        <v>328</v>
      </c>
      <c r="J144" s="65" t="s">
        <v>128</v>
      </c>
      <c r="K144" s="65"/>
      <c r="L144" s="65"/>
      <c r="M144" s="65"/>
      <c r="N144" s="65"/>
      <c r="O144" s="65"/>
      <c r="P144" s="65"/>
      <c r="Q144" s="65"/>
      <c r="R144" s="65"/>
      <c r="S144" s="65"/>
      <c r="T144" s="65"/>
      <c r="U144" s="65"/>
      <c r="V144" s="65"/>
      <c r="W144" s="65"/>
      <c r="X144" s="65"/>
      <c r="Y144" s="65"/>
      <c r="Z144" s="65"/>
      <c r="AA144" s="65"/>
      <c r="AB144" s="65"/>
      <c r="AC144" s="65"/>
      <c r="AD144" s="65">
        <v>0.0</v>
      </c>
      <c r="AE144" s="65">
        <v>0.0</v>
      </c>
      <c r="AF144" s="65">
        <v>0.0</v>
      </c>
      <c r="AG144" s="65">
        <v>0.0</v>
      </c>
      <c r="AH144" s="65">
        <v>0.0</v>
      </c>
      <c r="AI144" s="65">
        <v>0.0</v>
      </c>
      <c r="AJ144" s="65">
        <v>0.0</v>
      </c>
      <c r="AK144" s="65">
        <v>0.0</v>
      </c>
      <c r="AL144" s="65">
        <v>0.0</v>
      </c>
      <c r="AM144" s="65">
        <v>0.0</v>
      </c>
      <c r="AN144" s="65">
        <v>0.0</v>
      </c>
      <c r="AO144" s="65">
        <v>0.0</v>
      </c>
      <c r="AP144" s="85">
        <v>0.0</v>
      </c>
      <c r="AQ144" s="85">
        <v>0.0</v>
      </c>
      <c r="AR144" s="85">
        <v>0.0</v>
      </c>
      <c r="AS144" s="85">
        <v>0.0</v>
      </c>
      <c r="AT144" s="85">
        <v>0.0</v>
      </c>
      <c r="AU144" s="85">
        <v>0.0</v>
      </c>
      <c r="AV144" s="85">
        <v>0.0</v>
      </c>
      <c r="AW144" s="85">
        <v>0.0</v>
      </c>
      <c r="AX144" s="85">
        <v>0.0</v>
      </c>
      <c r="AY144" s="85">
        <v>0.0</v>
      </c>
      <c r="AZ144" s="85">
        <v>0.0</v>
      </c>
      <c r="BA144" s="85">
        <v>0.0</v>
      </c>
      <c r="BB144" s="85"/>
      <c r="BC144" s="85"/>
      <c r="BD144" s="85"/>
      <c r="BE144" s="85"/>
      <c r="BF144" s="85"/>
      <c r="BG144" s="85"/>
      <c r="BH144" s="85"/>
      <c r="BI144" s="85"/>
      <c r="BJ144" s="85"/>
      <c r="BK144" s="85"/>
      <c r="BL144" s="85"/>
      <c r="BM144" s="85"/>
      <c r="BN144" s="85"/>
      <c r="BO144" s="85"/>
      <c r="BP144" s="85"/>
      <c r="BQ144" s="85"/>
      <c r="BR144" s="85"/>
      <c r="BS144" s="85"/>
      <c r="BT144" s="85"/>
      <c r="BU144" s="85"/>
      <c r="BV144" s="85"/>
      <c r="BW144" s="85"/>
      <c r="BX144" s="85"/>
      <c r="BY144" s="85"/>
      <c r="BZ144" s="85"/>
      <c r="CA144" s="85"/>
      <c r="CB144" s="85"/>
      <c r="CC144" s="85"/>
      <c r="CD144" s="85"/>
      <c r="CE144" s="85"/>
      <c r="CF144" s="85"/>
      <c r="CG144" s="85"/>
      <c r="CH144" s="85"/>
      <c r="CI144" s="85"/>
      <c r="CJ144" s="85"/>
      <c r="CK144" s="85"/>
      <c r="CL144" s="61"/>
      <c r="CM144" s="38" t="s">
        <v>77</v>
      </c>
      <c r="CN144" s="61"/>
      <c r="CO144" s="61"/>
      <c r="CP144" s="61"/>
    </row>
    <row r="145" ht="15.75" customHeight="1">
      <c r="A145" s="75"/>
      <c r="B145" s="59" t="str">
        <f t="array" ref="B145">XLOOKUP(D145, 'マスタ'!$C$2:$C$1000, 'マスタ'!$D$2:$D$1000, "マスタ未登録")</f>
        <v>共通費配賦</v>
      </c>
      <c r="C145" s="53" t="str">
        <f>IF(AND(D145&lt;&gt;"", COUNTIF('マスタ'!$C:$C, D145)=0), "マスタ未登録", "")</f>
        <v/>
      </c>
      <c r="D145" s="84" t="str">
        <f t="shared" si="4"/>
        <v>共通費配賦</v>
      </c>
      <c r="E145" s="65" t="s">
        <v>333</v>
      </c>
      <c r="F145" s="65" t="s">
        <v>99</v>
      </c>
      <c r="G145" s="65"/>
      <c r="H145" s="65"/>
      <c r="I145" s="65" t="s">
        <v>328</v>
      </c>
      <c r="J145" s="65" t="s">
        <v>128</v>
      </c>
      <c r="K145" s="65"/>
      <c r="L145" s="65"/>
      <c r="M145" s="65"/>
      <c r="N145" s="65"/>
      <c r="O145" s="65"/>
      <c r="P145" s="65"/>
      <c r="Q145" s="65"/>
      <c r="R145" s="65"/>
      <c r="S145" s="65"/>
      <c r="T145" s="65"/>
      <c r="U145" s="65"/>
      <c r="V145" s="65"/>
      <c r="W145" s="65"/>
      <c r="X145" s="65"/>
      <c r="Y145" s="65"/>
      <c r="Z145" s="65"/>
      <c r="AA145" s="65"/>
      <c r="AB145" s="65"/>
      <c r="AC145" s="65"/>
      <c r="AD145" s="65">
        <v>0.0</v>
      </c>
      <c r="AE145" s="65">
        <v>0.0</v>
      </c>
      <c r="AF145" s="65">
        <v>0.0</v>
      </c>
      <c r="AG145" s="65">
        <v>0.0</v>
      </c>
      <c r="AH145" s="65">
        <v>0.0</v>
      </c>
      <c r="AI145" s="65">
        <v>0.0</v>
      </c>
      <c r="AJ145" s="65">
        <v>0.0</v>
      </c>
      <c r="AK145" s="65">
        <v>0.0</v>
      </c>
      <c r="AL145" s="65">
        <v>0.0</v>
      </c>
      <c r="AM145" s="65">
        <v>0.0</v>
      </c>
      <c r="AN145" s="65">
        <v>0.0</v>
      </c>
      <c r="AO145" s="65">
        <v>0.0</v>
      </c>
      <c r="AP145" s="85">
        <v>0.0</v>
      </c>
      <c r="AQ145" s="85">
        <v>0.0</v>
      </c>
      <c r="AR145" s="85">
        <v>0.0</v>
      </c>
      <c r="AS145" s="85">
        <v>0.0</v>
      </c>
      <c r="AT145" s="85">
        <v>0.0</v>
      </c>
      <c r="AU145" s="85">
        <v>0.0</v>
      </c>
      <c r="AV145" s="85">
        <v>0.0</v>
      </c>
      <c r="AW145" s="85">
        <v>0.0</v>
      </c>
      <c r="AX145" s="85">
        <v>0.0</v>
      </c>
      <c r="AY145" s="85">
        <v>0.0</v>
      </c>
      <c r="AZ145" s="85">
        <v>0.0</v>
      </c>
      <c r="BA145" s="85">
        <v>0.0</v>
      </c>
      <c r="BB145" s="85"/>
      <c r="BC145" s="85"/>
      <c r="BD145" s="85"/>
      <c r="BE145" s="85"/>
      <c r="BF145" s="85"/>
      <c r="BG145" s="85"/>
      <c r="BH145" s="85"/>
      <c r="BI145" s="85"/>
      <c r="BJ145" s="85"/>
      <c r="BK145" s="85"/>
      <c r="BL145" s="85"/>
      <c r="BM145" s="85"/>
      <c r="BN145" s="85"/>
      <c r="BO145" s="85"/>
      <c r="BP145" s="85"/>
      <c r="BQ145" s="85"/>
      <c r="BR145" s="85"/>
      <c r="BS145" s="85"/>
      <c r="BT145" s="85"/>
      <c r="BU145" s="85"/>
      <c r="BV145" s="85"/>
      <c r="BW145" s="85"/>
      <c r="BX145" s="85"/>
      <c r="BY145" s="85"/>
      <c r="BZ145" s="85"/>
      <c r="CA145" s="85"/>
      <c r="CB145" s="85"/>
      <c r="CC145" s="85"/>
      <c r="CD145" s="85"/>
      <c r="CE145" s="85"/>
      <c r="CF145" s="85"/>
      <c r="CG145" s="85"/>
      <c r="CH145" s="85"/>
      <c r="CI145" s="85"/>
      <c r="CJ145" s="85"/>
      <c r="CK145" s="85"/>
      <c r="CL145" s="61"/>
      <c r="CM145" s="38" t="s">
        <v>99</v>
      </c>
      <c r="CN145" s="61"/>
      <c r="CO145" s="61"/>
      <c r="CP145" s="61"/>
    </row>
    <row r="146" ht="15.75" customHeight="1">
      <c r="A146" s="75"/>
      <c r="B146" s="59" t="str">
        <f t="array" ref="B146">XLOOKUP(D146, 'マスタ'!$C$2:$C$1000, 'マスタ'!$D$2:$D$1000, "マスタ未登録")</f>
        <v>地代家賃</v>
      </c>
      <c r="C146" s="53" t="str">
        <f>IF(AND(D146&lt;&gt;"", COUNTIF('マスタ'!$C:$C, D146)=0), "マスタ未登録", "")</f>
        <v/>
      </c>
      <c r="D146" s="84" t="str">
        <f t="shared" si="4"/>
        <v>地代家賃</v>
      </c>
      <c r="E146" s="65" t="s">
        <v>333</v>
      </c>
      <c r="F146" s="65" t="s">
        <v>87</v>
      </c>
      <c r="G146" s="65"/>
      <c r="H146" s="65"/>
      <c r="I146" s="65" t="s">
        <v>328</v>
      </c>
      <c r="J146" s="65" t="s">
        <v>128</v>
      </c>
      <c r="K146" s="65"/>
      <c r="L146" s="65"/>
      <c r="M146" s="65"/>
      <c r="N146" s="65"/>
      <c r="O146" s="65"/>
      <c r="P146" s="65"/>
      <c r="Q146" s="65"/>
      <c r="R146" s="65"/>
      <c r="S146" s="65"/>
      <c r="T146" s="65"/>
      <c r="U146" s="65"/>
      <c r="V146" s="65"/>
      <c r="W146" s="65"/>
      <c r="X146" s="65"/>
      <c r="Y146" s="65"/>
      <c r="Z146" s="65"/>
      <c r="AA146" s="65"/>
      <c r="AB146" s="65"/>
      <c r="AC146" s="65"/>
      <c r="AD146" s="65">
        <v>-7010879.0</v>
      </c>
      <c r="AE146" s="65">
        <v>-7010879.0</v>
      </c>
      <c r="AF146" s="65">
        <v>-7010879.0</v>
      </c>
      <c r="AG146" s="65">
        <v>-7010879.0</v>
      </c>
      <c r="AH146" s="65">
        <v>-7010879.0</v>
      </c>
      <c r="AI146" s="65">
        <v>-5684335.0</v>
      </c>
      <c r="AJ146" s="65">
        <v>-5687835.0</v>
      </c>
      <c r="AK146" s="65">
        <v>-5684335.0</v>
      </c>
      <c r="AL146" s="65">
        <v>-5687062.0</v>
      </c>
      <c r="AM146" s="65">
        <v>-5684323.0</v>
      </c>
      <c r="AN146" s="65">
        <v>-5700522.0</v>
      </c>
      <c r="AO146" s="65">
        <v>-5700522.0</v>
      </c>
      <c r="AP146" s="85">
        <v>-6996880.0</v>
      </c>
      <c r="AQ146" s="85">
        <v>-6996877.0</v>
      </c>
      <c r="AR146" s="85">
        <v>-6996877.0</v>
      </c>
      <c r="AS146" s="85">
        <v>-6996877.0</v>
      </c>
      <c r="AT146" s="85">
        <v>-6996877.0</v>
      </c>
      <c r="AU146" s="85">
        <v>-6996877.0</v>
      </c>
      <c r="AV146" s="85">
        <v>-6996877.0</v>
      </c>
      <c r="AW146" s="85">
        <v>-6996877.0</v>
      </c>
      <c r="AX146" s="85">
        <v>-6996877.0</v>
      </c>
      <c r="AY146" s="85">
        <v>-6996877.0</v>
      </c>
      <c r="AZ146" s="85">
        <v>-6996877.0</v>
      </c>
      <c r="BA146" s="85">
        <v>-6996877.0</v>
      </c>
      <c r="BB146" s="85"/>
      <c r="BC146" s="85"/>
      <c r="BD146" s="85"/>
      <c r="BE146" s="85"/>
      <c r="BF146" s="85"/>
      <c r="BG146" s="85"/>
      <c r="BH146" s="85"/>
      <c r="BI146" s="85"/>
      <c r="BJ146" s="85"/>
      <c r="BK146" s="85"/>
      <c r="BL146" s="85"/>
      <c r="BM146" s="85"/>
      <c r="BN146" s="85"/>
      <c r="BO146" s="85"/>
      <c r="BP146" s="85"/>
      <c r="BQ146" s="85"/>
      <c r="BR146" s="85"/>
      <c r="BS146" s="85"/>
      <c r="BT146" s="85"/>
      <c r="BU146" s="85"/>
      <c r="BV146" s="85"/>
      <c r="BW146" s="85"/>
      <c r="BX146" s="85"/>
      <c r="BY146" s="85"/>
      <c r="BZ146" s="85"/>
      <c r="CA146" s="85"/>
      <c r="CB146" s="85"/>
      <c r="CC146" s="85"/>
      <c r="CD146" s="85"/>
      <c r="CE146" s="85"/>
      <c r="CF146" s="85"/>
      <c r="CG146" s="85"/>
      <c r="CH146" s="85"/>
      <c r="CI146" s="85"/>
      <c r="CJ146" s="85"/>
      <c r="CK146" s="85"/>
      <c r="CL146" s="61"/>
      <c r="CM146" s="38" t="s">
        <v>87</v>
      </c>
      <c r="CN146" s="61"/>
      <c r="CO146" s="61"/>
      <c r="CP146" s="61"/>
    </row>
    <row r="147" ht="15.75" customHeight="1">
      <c r="A147" s="75"/>
      <c r="B147" s="59" t="str">
        <f t="array" ref="B147">XLOOKUP(D147, 'マスタ'!$C$2:$C$1000, 'マスタ'!$D$2:$D$1000, "マスタ未登録")</f>
        <v>減価償却費</v>
      </c>
      <c r="C147" s="53" t="str">
        <f>IF(AND(D147&lt;&gt;"", COUNTIF('マスタ'!$C:$C, D147)=0), "マスタ未登録", "")</f>
        <v/>
      </c>
      <c r="D147" s="84" t="str">
        <f t="shared" si="4"/>
        <v>減価償却</v>
      </c>
      <c r="E147" s="65" t="s">
        <v>333</v>
      </c>
      <c r="F147" s="65" t="s">
        <v>334</v>
      </c>
      <c r="G147" s="65"/>
      <c r="H147" s="65"/>
      <c r="I147" s="65" t="s">
        <v>328</v>
      </c>
      <c r="J147" s="65" t="s">
        <v>128</v>
      </c>
      <c r="K147" s="65"/>
      <c r="L147" s="65"/>
      <c r="M147" s="65"/>
      <c r="N147" s="65"/>
      <c r="O147" s="65"/>
      <c r="P147" s="65"/>
      <c r="Q147" s="65"/>
      <c r="R147" s="65"/>
      <c r="S147" s="65"/>
      <c r="T147" s="65"/>
      <c r="U147" s="65"/>
      <c r="V147" s="65"/>
      <c r="W147" s="65"/>
      <c r="X147" s="65"/>
      <c r="Y147" s="65"/>
      <c r="Z147" s="65"/>
      <c r="AA147" s="65"/>
      <c r="AB147" s="65"/>
      <c r="AC147" s="65"/>
      <c r="AD147" s="65">
        <v>-947479.0</v>
      </c>
      <c r="AE147" s="65">
        <v>-947479.0</v>
      </c>
      <c r="AF147" s="65">
        <v>-947479.0</v>
      </c>
      <c r="AG147" s="65">
        <v>-947479.0</v>
      </c>
      <c r="AH147" s="65">
        <v>-947479.0</v>
      </c>
      <c r="AI147" s="65">
        <v>-947479.0</v>
      </c>
      <c r="AJ147" s="65">
        <v>-947479.0</v>
      </c>
      <c r="AK147" s="65">
        <v>-964713.0</v>
      </c>
      <c r="AL147" s="65">
        <v>-875882.0</v>
      </c>
      <c r="AM147" s="65">
        <v>-455792.0</v>
      </c>
      <c r="AN147" s="65">
        <v>-455792.0</v>
      </c>
      <c r="AO147" s="65">
        <v>-490167.0</v>
      </c>
      <c r="AP147" s="85">
        <v>-337598.0</v>
      </c>
      <c r="AQ147" s="85">
        <v>-2659539.0</v>
      </c>
      <c r="AR147" s="85">
        <v>-2659539.0</v>
      </c>
      <c r="AS147" s="85">
        <v>-2659539.0</v>
      </c>
      <c r="AT147" s="85">
        <v>-2659539.0</v>
      </c>
      <c r="AU147" s="85">
        <v>-2659539.0</v>
      </c>
      <c r="AV147" s="85">
        <v>-2659539.0</v>
      </c>
      <c r="AW147" s="85">
        <v>-2659539.0</v>
      </c>
      <c r="AX147" s="85">
        <v>-2659539.0</v>
      </c>
      <c r="AY147" s="85">
        <v>-2659539.0</v>
      </c>
      <c r="AZ147" s="85">
        <v>-2659539.0</v>
      </c>
      <c r="BA147" s="85">
        <v>-2659547.0</v>
      </c>
      <c r="BB147" s="85"/>
      <c r="BC147" s="85"/>
      <c r="BD147" s="85"/>
      <c r="BE147" s="85"/>
      <c r="BF147" s="85"/>
      <c r="BG147" s="85"/>
      <c r="BH147" s="85"/>
      <c r="BI147" s="85"/>
      <c r="BJ147" s="85"/>
      <c r="BK147" s="85"/>
      <c r="BL147" s="85"/>
      <c r="BM147" s="85"/>
      <c r="BN147" s="85"/>
      <c r="BO147" s="85"/>
      <c r="BP147" s="85"/>
      <c r="BQ147" s="85"/>
      <c r="BR147" s="85"/>
      <c r="BS147" s="85"/>
      <c r="BT147" s="85"/>
      <c r="BU147" s="85"/>
      <c r="BV147" s="85"/>
      <c r="BW147" s="85"/>
      <c r="BX147" s="85"/>
      <c r="BY147" s="85"/>
      <c r="BZ147" s="85"/>
      <c r="CA147" s="85"/>
      <c r="CB147" s="85"/>
      <c r="CC147" s="85"/>
      <c r="CD147" s="85"/>
      <c r="CE147" s="85"/>
      <c r="CF147" s="85"/>
      <c r="CG147" s="85"/>
      <c r="CH147" s="85"/>
      <c r="CI147" s="85"/>
      <c r="CJ147" s="85"/>
      <c r="CK147" s="85"/>
      <c r="CL147" s="61"/>
      <c r="CM147" s="38" t="s">
        <v>334</v>
      </c>
      <c r="CN147" s="61"/>
      <c r="CO147" s="61"/>
      <c r="CP147" s="61"/>
    </row>
    <row r="148" ht="15.75" customHeight="1">
      <c r="A148" s="75"/>
      <c r="B148" s="59" t="str">
        <f t="array" ref="B148">XLOOKUP(D148, 'マスタ'!$C$2:$C$1000, 'マスタ'!$D$2:$D$1000, "マスタ未登録")</f>
        <v>敷金償却</v>
      </c>
      <c r="C148" s="53" t="str">
        <f>IF(AND(D148&lt;&gt;"", COUNTIF('マスタ'!$C:$C, D148)=0), "マスタ未登録", "")</f>
        <v/>
      </c>
      <c r="D148" s="84" t="str">
        <f t="shared" si="4"/>
        <v>敷金償却</v>
      </c>
      <c r="E148" s="65" t="s">
        <v>333</v>
      </c>
      <c r="F148" s="65" t="s">
        <v>180</v>
      </c>
      <c r="G148" s="65"/>
      <c r="H148" s="65"/>
      <c r="I148" s="65" t="s">
        <v>328</v>
      </c>
      <c r="J148" s="65" t="s">
        <v>128</v>
      </c>
      <c r="K148" s="65"/>
      <c r="L148" s="65"/>
      <c r="M148" s="65"/>
      <c r="N148" s="65"/>
      <c r="O148" s="65"/>
      <c r="P148" s="65"/>
      <c r="Q148" s="65"/>
      <c r="R148" s="65"/>
      <c r="S148" s="65"/>
      <c r="T148" s="65"/>
      <c r="U148" s="65"/>
      <c r="V148" s="65"/>
      <c r="W148" s="65"/>
      <c r="X148" s="65"/>
      <c r="Y148" s="65"/>
      <c r="Z148" s="65"/>
      <c r="AA148" s="65"/>
      <c r="AB148" s="65"/>
      <c r="AC148" s="65"/>
      <c r="AD148" s="65">
        <v>0.0</v>
      </c>
      <c r="AE148" s="65">
        <v>0.0</v>
      </c>
      <c r="AF148" s="65">
        <v>0.0</v>
      </c>
      <c r="AG148" s="65">
        <v>0.0</v>
      </c>
      <c r="AH148" s="65">
        <v>0.0</v>
      </c>
      <c r="AI148" s="65">
        <v>0.0</v>
      </c>
      <c r="AJ148" s="65">
        <v>0.0</v>
      </c>
      <c r="AK148" s="65">
        <v>0.0</v>
      </c>
      <c r="AL148" s="65">
        <v>0.0</v>
      </c>
      <c r="AM148" s="65">
        <v>0.0</v>
      </c>
      <c r="AN148" s="65">
        <v>0.0</v>
      </c>
      <c r="AO148" s="65">
        <v>0.0</v>
      </c>
      <c r="AP148" s="85">
        <v>0.0</v>
      </c>
      <c r="AQ148" s="85">
        <v>0.0</v>
      </c>
      <c r="AR148" s="85">
        <v>0.0</v>
      </c>
      <c r="AS148" s="85">
        <v>0.0</v>
      </c>
      <c r="AT148" s="85">
        <v>0.0</v>
      </c>
      <c r="AU148" s="85">
        <v>0.0</v>
      </c>
      <c r="AV148" s="85">
        <v>0.0</v>
      </c>
      <c r="AW148" s="85">
        <v>0.0</v>
      </c>
      <c r="AX148" s="85">
        <v>0.0</v>
      </c>
      <c r="AY148" s="85">
        <v>0.0</v>
      </c>
      <c r="AZ148" s="85">
        <v>0.0</v>
      </c>
      <c r="BA148" s="85">
        <v>0.0</v>
      </c>
      <c r="BB148" s="85"/>
      <c r="BC148" s="85"/>
      <c r="BD148" s="85"/>
      <c r="BE148" s="85"/>
      <c r="BF148" s="85"/>
      <c r="BG148" s="85"/>
      <c r="BH148" s="85"/>
      <c r="BI148" s="85"/>
      <c r="BJ148" s="85"/>
      <c r="BK148" s="85"/>
      <c r="BL148" s="85"/>
      <c r="BM148" s="85"/>
      <c r="BN148" s="85"/>
      <c r="BO148" s="85"/>
      <c r="BP148" s="85"/>
      <c r="BQ148" s="85"/>
      <c r="BR148" s="85"/>
      <c r="BS148" s="85"/>
      <c r="BT148" s="85"/>
      <c r="BU148" s="85"/>
      <c r="BV148" s="85"/>
      <c r="BW148" s="85"/>
      <c r="BX148" s="85"/>
      <c r="BY148" s="85"/>
      <c r="BZ148" s="85"/>
      <c r="CA148" s="85"/>
      <c r="CB148" s="85"/>
      <c r="CC148" s="85"/>
      <c r="CD148" s="85"/>
      <c r="CE148" s="85"/>
      <c r="CF148" s="85"/>
      <c r="CG148" s="85"/>
      <c r="CH148" s="85"/>
      <c r="CI148" s="85"/>
      <c r="CJ148" s="85"/>
      <c r="CK148" s="85"/>
      <c r="CL148" s="61"/>
      <c r="CM148" s="38" t="s">
        <v>180</v>
      </c>
      <c r="CN148" s="61"/>
      <c r="CO148" s="61"/>
      <c r="CP148" s="61"/>
    </row>
    <row r="149" ht="15.75" customHeight="1">
      <c r="A149" s="75"/>
      <c r="B149" s="59" t="str">
        <f t="array" ref="B149">XLOOKUP(D149, 'マスタ'!$C$2:$C$1000, 'マスタ'!$D$2:$D$1000, "マスタ未登録")</f>
        <v>租税公課</v>
      </c>
      <c r="C149" s="53" t="str">
        <f>IF(AND(D149&lt;&gt;"", COUNTIF('マスタ'!$C:$C, D149)=0), "マスタ未登録", "")</f>
        <v/>
      </c>
      <c r="D149" s="84" t="str">
        <f t="shared" si="4"/>
        <v>租税公課</v>
      </c>
      <c r="E149" s="65" t="s">
        <v>333</v>
      </c>
      <c r="F149" s="65" t="s">
        <v>91</v>
      </c>
      <c r="G149" s="65"/>
      <c r="H149" s="65"/>
      <c r="I149" s="65" t="s">
        <v>328</v>
      </c>
      <c r="J149" s="65" t="s">
        <v>128</v>
      </c>
      <c r="K149" s="65"/>
      <c r="L149" s="65"/>
      <c r="M149" s="65"/>
      <c r="N149" s="65"/>
      <c r="O149" s="65"/>
      <c r="P149" s="65"/>
      <c r="Q149" s="65"/>
      <c r="R149" s="65"/>
      <c r="S149" s="65"/>
      <c r="T149" s="65"/>
      <c r="U149" s="65"/>
      <c r="V149" s="65"/>
      <c r="W149" s="65"/>
      <c r="X149" s="65"/>
      <c r="Y149" s="65"/>
      <c r="Z149" s="65"/>
      <c r="AA149" s="65"/>
      <c r="AB149" s="65"/>
      <c r="AC149" s="65"/>
      <c r="AD149" s="65">
        <v>-536800.0</v>
      </c>
      <c r="AE149" s="65">
        <v>-535300.0</v>
      </c>
      <c r="AF149" s="65">
        <v>-3251000.0</v>
      </c>
      <c r="AG149" s="65">
        <v>-542400.0</v>
      </c>
      <c r="AH149" s="65">
        <v>-553300.0</v>
      </c>
      <c r="AI149" s="65">
        <v>-3242600.0</v>
      </c>
      <c r="AJ149" s="65">
        <v>-752080.0</v>
      </c>
      <c r="AK149" s="65">
        <v>-580000.0</v>
      </c>
      <c r="AL149" s="65">
        <v>-3508494.0</v>
      </c>
      <c r="AM149" s="65">
        <v>-540000.0</v>
      </c>
      <c r="AN149" s="65">
        <v>-543300.0</v>
      </c>
      <c r="AO149" s="65">
        <v>-3167198.0</v>
      </c>
      <c r="AP149" s="85">
        <v>-597931.0</v>
      </c>
      <c r="AQ149" s="85">
        <v>-540650.0</v>
      </c>
      <c r="AR149" s="85">
        <v>-3540650.0</v>
      </c>
      <c r="AS149" s="85">
        <v>-540650.0</v>
      </c>
      <c r="AT149" s="85">
        <v>-540650.0</v>
      </c>
      <c r="AU149" s="85">
        <v>-3540650.0</v>
      </c>
      <c r="AV149" s="85">
        <v>-540650.0</v>
      </c>
      <c r="AW149" s="85">
        <v>-540650.0</v>
      </c>
      <c r="AX149" s="85">
        <v>-3540650.0</v>
      </c>
      <c r="AY149" s="85">
        <v>-540650.0</v>
      </c>
      <c r="AZ149" s="85">
        <v>-540650.0</v>
      </c>
      <c r="BA149" s="85">
        <v>-3540650.0</v>
      </c>
      <c r="BB149" s="85"/>
      <c r="BC149" s="85"/>
      <c r="BD149" s="85"/>
      <c r="BE149" s="85"/>
      <c r="BF149" s="85"/>
      <c r="BG149" s="85"/>
      <c r="BH149" s="85"/>
      <c r="BI149" s="85"/>
      <c r="BJ149" s="85"/>
      <c r="BK149" s="85"/>
      <c r="BL149" s="85"/>
      <c r="BM149" s="85"/>
      <c r="BN149" s="85"/>
      <c r="BO149" s="85"/>
      <c r="BP149" s="85"/>
      <c r="BQ149" s="85"/>
      <c r="BR149" s="85"/>
      <c r="BS149" s="85"/>
      <c r="BT149" s="85"/>
      <c r="BU149" s="85"/>
      <c r="BV149" s="85"/>
      <c r="BW149" s="85"/>
      <c r="BX149" s="85"/>
      <c r="BY149" s="85"/>
      <c r="BZ149" s="85"/>
      <c r="CA149" s="85"/>
      <c r="CB149" s="85"/>
      <c r="CC149" s="85"/>
      <c r="CD149" s="85"/>
      <c r="CE149" s="85"/>
      <c r="CF149" s="85"/>
      <c r="CG149" s="85"/>
      <c r="CH149" s="85"/>
      <c r="CI149" s="85"/>
      <c r="CJ149" s="85"/>
      <c r="CK149" s="85"/>
      <c r="CL149" s="61"/>
      <c r="CM149" s="38" t="s">
        <v>91</v>
      </c>
      <c r="CN149" s="61"/>
      <c r="CO149" s="61"/>
      <c r="CP149" s="61"/>
    </row>
    <row r="150" ht="15.75" customHeight="1">
      <c r="A150" s="75"/>
      <c r="B150" s="59" t="str">
        <f t="array" ref="B150">XLOOKUP(D150, 'マスタ'!$C$2:$C$1000, 'マスタ'!$D$2:$D$1000, "マスタ未登録")</f>
        <v>消耗品費</v>
      </c>
      <c r="C150" s="53" t="str">
        <f>IF(AND(D150&lt;&gt;"", COUNTIF('マスタ'!$C:$C, D150)=0), "マスタ未登録", "")</f>
        <v/>
      </c>
      <c r="D150" s="84" t="str">
        <f t="shared" si="4"/>
        <v>消耗品費</v>
      </c>
      <c r="E150" s="65" t="s">
        <v>333</v>
      </c>
      <c r="F150" s="65" t="s">
        <v>86</v>
      </c>
      <c r="G150" s="65"/>
      <c r="H150" s="65"/>
      <c r="I150" s="65" t="s">
        <v>328</v>
      </c>
      <c r="J150" s="65" t="s">
        <v>128</v>
      </c>
      <c r="K150" s="65"/>
      <c r="L150" s="65"/>
      <c r="M150" s="65"/>
      <c r="N150" s="65"/>
      <c r="O150" s="65"/>
      <c r="P150" s="65"/>
      <c r="Q150" s="65"/>
      <c r="R150" s="65"/>
      <c r="S150" s="65"/>
      <c r="T150" s="65"/>
      <c r="U150" s="65"/>
      <c r="V150" s="65"/>
      <c r="W150" s="65"/>
      <c r="X150" s="65"/>
      <c r="Y150" s="65"/>
      <c r="Z150" s="65"/>
      <c r="AA150" s="65"/>
      <c r="AB150" s="65"/>
      <c r="AC150" s="65"/>
      <c r="AD150" s="65">
        <v>-234908.0</v>
      </c>
      <c r="AE150" s="65">
        <v>-56015.0</v>
      </c>
      <c r="AF150" s="65">
        <v>-83006.0</v>
      </c>
      <c r="AG150" s="65">
        <v>-59058.0</v>
      </c>
      <c r="AH150" s="65">
        <v>-336409.0</v>
      </c>
      <c r="AI150" s="65">
        <v>-83486.0</v>
      </c>
      <c r="AJ150" s="65">
        <v>-47256.0</v>
      </c>
      <c r="AK150" s="65">
        <v>-65182.0</v>
      </c>
      <c r="AL150" s="65">
        <v>-85583.0</v>
      </c>
      <c r="AM150" s="65">
        <v>-72168.0</v>
      </c>
      <c r="AN150" s="65">
        <v>-80204.0</v>
      </c>
      <c r="AO150" s="65">
        <v>-817143.0</v>
      </c>
      <c r="AP150" s="85">
        <v>-120248.0</v>
      </c>
      <c r="AQ150" s="85">
        <v>-126000.0</v>
      </c>
      <c r="AR150" s="85">
        <v>-126000.0</v>
      </c>
      <c r="AS150" s="85">
        <v>-126000.0</v>
      </c>
      <c r="AT150" s="85">
        <v>-126000.0</v>
      </c>
      <c r="AU150" s="85">
        <v>-126000.0</v>
      </c>
      <c r="AV150" s="85">
        <v>-126000.0</v>
      </c>
      <c r="AW150" s="85">
        <v>-126000.0</v>
      </c>
      <c r="AX150" s="85">
        <v>-126000.0</v>
      </c>
      <c r="AY150" s="85">
        <v>-126000.0</v>
      </c>
      <c r="AZ150" s="85">
        <v>-126000.0</v>
      </c>
      <c r="BA150" s="85">
        <v>-126000.0</v>
      </c>
      <c r="BB150" s="85"/>
      <c r="BC150" s="85"/>
      <c r="BD150" s="85"/>
      <c r="BE150" s="85"/>
      <c r="BF150" s="85"/>
      <c r="BG150" s="85"/>
      <c r="BH150" s="85"/>
      <c r="BI150" s="85"/>
      <c r="BJ150" s="85"/>
      <c r="BK150" s="85"/>
      <c r="BL150" s="85"/>
      <c r="BM150" s="85"/>
      <c r="BN150" s="85"/>
      <c r="BO150" s="85"/>
      <c r="BP150" s="85"/>
      <c r="BQ150" s="85"/>
      <c r="BR150" s="85"/>
      <c r="BS150" s="85"/>
      <c r="BT150" s="85"/>
      <c r="BU150" s="85"/>
      <c r="BV150" s="85"/>
      <c r="BW150" s="85"/>
      <c r="BX150" s="85"/>
      <c r="BY150" s="85"/>
      <c r="BZ150" s="85"/>
      <c r="CA150" s="85"/>
      <c r="CB150" s="85"/>
      <c r="CC150" s="85"/>
      <c r="CD150" s="85"/>
      <c r="CE150" s="85"/>
      <c r="CF150" s="85"/>
      <c r="CG150" s="85"/>
      <c r="CH150" s="85"/>
      <c r="CI150" s="85"/>
      <c r="CJ150" s="85"/>
      <c r="CK150" s="85"/>
      <c r="CL150" s="61"/>
      <c r="CM150" s="38" t="s">
        <v>86</v>
      </c>
      <c r="CN150" s="61"/>
      <c r="CO150" s="61"/>
      <c r="CP150" s="61"/>
    </row>
    <row r="151" ht="15.75" customHeight="1">
      <c r="A151" s="75"/>
      <c r="B151" s="59" t="str">
        <f t="array" ref="B151">XLOOKUP(D151, 'マスタ'!$C$2:$C$1000, 'マスタ'!$D$2:$D$1000, "マスタ未登録")</f>
        <v>通信費</v>
      </c>
      <c r="C151" s="53" t="str">
        <f>IF(AND(D151&lt;&gt;"", COUNTIF('マスタ'!$C:$C, D151)=0), "マスタ未登録", "")</f>
        <v/>
      </c>
      <c r="D151" s="84" t="str">
        <f t="shared" si="4"/>
        <v>通信費</v>
      </c>
      <c r="E151" s="65" t="s">
        <v>333</v>
      </c>
      <c r="F151" s="65" t="s">
        <v>84</v>
      </c>
      <c r="G151" s="65"/>
      <c r="H151" s="65"/>
      <c r="I151" s="65" t="s">
        <v>328</v>
      </c>
      <c r="J151" s="65" t="s">
        <v>128</v>
      </c>
      <c r="K151" s="65"/>
      <c r="L151" s="65"/>
      <c r="M151" s="65"/>
      <c r="N151" s="65"/>
      <c r="O151" s="65"/>
      <c r="P151" s="65"/>
      <c r="Q151" s="65"/>
      <c r="R151" s="65"/>
      <c r="S151" s="65"/>
      <c r="T151" s="65"/>
      <c r="U151" s="65"/>
      <c r="V151" s="65"/>
      <c r="W151" s="65"/>
      <c r="X151" s="65"/>
      <c r="Y151" s="65"/>
      <c r="Z151" s="65"/>
      <c r="AA151" s="65"/>
      <c r="AB151" s="65"/>
      <c r="AC151" s="65"/>
      <c r="AD151" s="65">
        <v>-1637783.0</v>
      </c>
      <c r="AE151" s="65">
        <v>-1602882.0</v>
      </c>
      <c r="AF151" s="65">
        <v>-1140060.0</v>
      </c>
      <c r="AG151" s="65">
        <v>-2326638.0</v>
      </c>
      <c r="AH151" s="65">
        <v>-1575600.0</v>
      </c>
      <c r="AI151" s="65">
        <v>-1636042.0</v>
      </c>
      <c r="AJ151" s="65">
        <v>-1605108.0</v>
      </c>
      <c r="AK151" s="65">
        <v>-1717635.0</v>
      </c>
      <c r="AL151" s="65">
        <v>-1619978.0</v>
      </c>
      <c r="AM151" s="65">
        <v>-1639614.0</v>
      </c>
      <c r="AN151" s="65">
        <v>-1534452.0</v>
      </c>
      <c r="AO151" s="65">
        <v>-1746612.0</v>
      </c>
      <c r="AP151" s="85">
        <v>-1612595.0</v>
      </c>
      <c r="AQ151" s="85">
        <v>-6568220.0</v>
      </c>
      <c r="AR151" s="85">
        <v>-6568220.0</v>
      </c>
      <c r="AS151" s="85">
        <v>-6568220.0</v>
      </c>
      <c r="AT151" s="85">
        <v>-6568220.0</v>
      </c>
      <c r="AU151" s="85">
        <v>-6568220.0</v>
      </c>
      <c r="AV151" s="85">
        <v>-6568220.0</v>
      </c>
      <c r="AW151" s="85">
        <v>-6568220.0</v>
      </c>
      <c r="AX151" s="85">
        <v>-6568220.0</v>
      </c>
      <c r="AY151" s="85">
        <v>-6568220.0</v>
      </c>
      <c r="AZ151" s="85">
        <v>-6568220.0</v>
      </c>
      <c r="BA151" s="85">
        <v>-6568221.0</v>
      </c>
      <c r="BB151" s="85"/>
      <c r="BC151" s="85"/>
      <c r="BD151" s="85"/>
      <c r="BE151" s="85"/>
      <c r="BF151" s="85"/>
      <c r="BG151" s="85"/>
      <c r="BH151" s="85"/>
      <c r="BI151" s="85"/>
      <c r="BJ151" s="85"/>
      <c r="BK151" s="85"/>
      <c r="BL151" s="85"/>
      <c r="BM151" s="85"/>
      <c r="BN151" s="85"/>
      <c r="BO151" s="85"/>
      <c r="BP151" s="85"/>
      <c r="BQ151" s="85"/>
      <c r="BR151" s="85"/>
      <c r="BS151" s="85"/>
      <c r="BT151" s="85"/>
      <c r="BU151" s="85"/>
      <c r="BV151" s="85"/>
      <c r="BW151" s="85"/>
      <c r="BX151" s="85"/>
      <c r="BY151" s="85"/>
      <c r="BZ151" s="85"/>
      <c r="CA151" s="85"/>
      <c r="CB151" s="85"/>
      <c r="CC151" s="85"/>
      <c r="CD151" s="85"/>
      <c r="CE151" s="85"/>
      <c r="CF151" s="85"/>
      <c r="CG151" s="85"/>
      <c r="CH151" s="85"/>
      <c r="CI151" s="85"/>
      <c r="CJ151" s="85"/>
      <c r="CK151" s="85"/>
      <c r="CL151" s="61"/>
      <c r="CM151" s="38" t="s">
        <v>84</v>
      </c>
      <c r="CN151" s="61"/>
      <c r="CO151" s="61"/>
      <c r="CP151" s="61"/>
    </row>
    <row r="152" ht="15.75" customHeight="1">
      <c r="A152" s="75"/>
      <c r="B152" s="59" t="str">
        <f t="array" ref="B152">XLOOKUP(D152, 'マスタ'!$C$2:$C$1000, 'マスタ'!$D$2:$D$1000, "マスタ未登録")</f>
        <v>旅費交通費</v>
      </c>
      <c r="C152" s="53" t="str">
        <f>IF(AND(D152&lt;&gt;"", COUNTIF('マスタ'!$C:$C, D152)=0), "マスタ未登録", "")</f>
        <v/>
      </c>
      <c r="D152" s="84" t="str">
        <f t="shared" si="4"/>
        <v>旅費交通費</v>
      </c>
      <c r="E152" s="65" t="s">
        <v>333</v>
      </c>
      <c r="F152" s="65" t="s">
        <v>83</v>
      </c>
      <c r="G152" s="65"/>
      <c r="H152" s="65"/>
      <c r="I152" s="65" t="s">
        <v>328</v>
      </c>
      <c r="J152" s="65" t="s">
        <v>128</v>
      </c>
      <c r="K152" s="65"/>
      <c r="L152" s="65"/>
      <c r="M152" s="65"/>
      <c r="N152" s="65"/>
      <c r="O152" s="65"/>
      <c r="P152" s="65"/>
      <c r="Q152" s="65"/>
      <c r="R152" s="65"/>
      <c r="S152" s="65"/>
      <c r="T152" s="65"/>
      <c r="U152" s="65"/>
      <c r="V152" s="65"/>
      <c r="W152" s="65"/>
      <c r="X152" s="65"/>
      <c r="Y152" s="65"/>
      <c r="Z152" s="65"/>
      <c r="AA152" s="65"/>
      <c r="AB152" s="65"/>
      <c r="AC152" s="65"/>
      <c r="AD152" s="65">
        <v>-171261.0</v>
      </c>
      <c r="AE152" s="65">
        <v>-217975.0</v>
      </c>
      <c r="AF152" s="65">
        <v>-237661.0</v>
      </c>
      <c r="AG152" s="65">
        <v>-169550.0</v>
      </c>
      <c r="AH152" s="65">
        <v>-158993.0</v>
      </c>
      <c r="AI152" s="65">
        <v>-450264.0</v>
      </c>
      <c r="AJ152" s="65">
        <v>-487103.0</v>
      </c>
      <c r="AK152" s="65">
        <v>-333234.0</v>
      </c>
      <c r="AL152" s="65">
        <v>-452893.0</v>
      </c>
      <c r="AM152" s="65">
        <v>-218583.0</v>
      </c>
      <c r="AN152" s="65">
        <v>-152863.0</v>
      </c>
      <c r="AO152" s="65">
        <v>-299003.0</v>
      </c>
      <c r="AP152" s="85">
        <v>-321080.0</v>
      </c>
      <c r="AQ152" s="85">
        <v>-210000.0</v>
      </c>
      <c r="AR152" s="85">
        <v>-210000.0</v>
      </c>
      <c r="AS152" s="85">
        <v>-210000.0</v>
      </c>
      <c r="AT152" s="85">
        <v>-210000.0</v>
      </c>
      <c r="AU152" s="85">
        <v>-210000.0</v>
      </c>
      <c r="AV152" s="85">
        <v>-210000.0</v>
      </c>
      <c r="AW152" s="85">
        <v>-210000.0</v>
      </c>
      <c r="AX152" s="85">
        <v>-210000.0</v>
      </c>
      <c r="AY152" s="85">
        <v>-210000.0</v>
      </c>
      <c r="AZ152" s="85">
        <v>-210000.0</v>
      </c>
      <c r="BA152" s="85">
        <v>-210000.0</v>
      </c>
      <c r="BB152" s="85"/>
      <c r="BC152" s="85"/>
      <c r="BD152" s="85"/>
      <c r="BE152" s="85"/>
      <c r="BF152" s="85"/>
      <c r="BG152" s="85"/>
      <c r="BH152" s="85"/>
      <c r="BI152" s="85"/>
      <c r="BJ152" s="85"/>
      <c r="BK152" s="85"/>
      <c r="BL152" s="85"/>
      <c r="BM152" s="85"/>
      <c r="BN152" s="85"/>
      <c r="BO152" s="85"/>
      <c r="BP152" s="85"/>
      <c r="BQ152" s="85"/>
      <c r="BR152" s="85"/>
      <c r="BS152" s="85"/>
      <c r="BT152" s="85"/>
      <c r="BU152" s="85"/>
      <c r="BV152" s="85"/>
      <c r="BW152" s="85"/>
      <c r="BX152" s="85"/>
      <c r="BY152" s="85"/>
      <c r="BZ152" s="85"/>
      <c r="CA152" s="85"/>
      <c r="CB152" s="85"/>
      <c r="CC152" s="85"/>
      <c r="CD152" s="85"/>
      <c r="CE152" s="85"/>
      <c r="CF152" s="85"/>
      <c r="CG152" s="85"/>
      <c r="CH152" s="85"/>
      <c r="CI152" s="85"/>
      <c r="CJ152" s="85"/>
      <c r="CK152" s="85"/>
      <c r="CL152" s="61"/>
      <c r="CM152" s="38" t="s">
        <v>83</v>
      </c>
      <c r="CN152" s="61"/>
      <c r="CO152" s="61"/>
      <c r="CP152" s="61"/>
    </row>
    <row r="153" ht="15.75" customHeight="1">
      <c r="A153" s="75"/>
      <c r="B153" s="59" t="str">
        <f t="array" ref="B153">XLOOKUP(D153, 'マスタ'!$C$2:$C$1000, 'マスタ'!$D$2:$D$1000, "マスタ未登録")</f>
        <v>支払報酬</v>
      </c>
      <c r="C153" s="53" t="str">
        <f>IF(AND(D153&lt;&gt;"", COUNTIF('マスタ'!$C:$C, D153)=0), "マスタ未登録", "")</f>
        <v/>
      </c>
      <c r="D153" s="84" t="str">
        <f t="shared" si="4"/>
        <v>支払報酬料</v>
      </c>
      <c r="E153" s="65" t="s">
        <v>333</v>
      </c>
      <c r="F153" s="65" t="s">
        <v>239</v>
      </c>
      <c r="G153" s="65"/>
      <c r="H153" s="65"/>
      <c r="I153" s="65" t="s">
        <v>328</v>
      </c>
      <c r="J153" s="65" t="s">
        <v>128</v>
      </c>
      <c r="K153" s="65"/>
      <c r="L153" s="65"/>
      <c r="M153" s="65"/>
      <c r="N153" s="65"/>
      <c r="O153" s="65"/>
      <c r="P153" s="65"/>
      <c r="Q153" s="65"/>
      <c r="R153" s="65"/>
      <c r="S153" s="65"/>
      <c r="T153" s="65"/>
      <c r="U153" s="65"/>
      <c r="V153" s="65"/>
      <c r="W153" s="65"/>
      <c r="X153" s="65"/>
      <c r="Y153" s="65"/>
      <c r="Z153" s="65"/>
      <c r="AA153" s="65"/>
      <c r="AB153" s="65"/>
      <c r="AC153" s="65"/>
      <c r="AD153" s="65">
        <v>-3235324.0</v>
      </c>
      <c r="AE153" s="65">
        <v>-3377314.0</v>
      </c>
      <c r="AF153" s="65">
        <v>-3062600.0</v>
      </c>
      <c r="AG153" s="65">
        <v>-802889.0</v>
      </c>
      <c r="AH153" s="65">
        <v>-1787000.0</v>
      </c>
      <c r="AI153" s="65">
        <v>-1608000.0</v>
      </c>
      <c r="AJ153" s="65">
        <v>-1028000.0</v>
      </c>
      <c r="AK153" s="65">
        <v>-3545972.0</v>
      </c>
      <c r="AL153" s="65">
        <v>-3434000.0</v>
      </c>
      <c r="AM153" s="65">
        <v>-3657620.0</v>
      </c>
      <c r="AN153" s="65">
        <v>-4073000.0</v>
      </c>
      <c r="AO153" s="65">
        <v>-4003000.0</v>
      </c>
      <c r="AP153" s="85">
        <v>-3785297.0</v>
      </c>
      <c r="AQ153" s="85">
        <v>-3660324.0</v>
      </c>
      <c r="AR153" s="85">
        <v>-4260324.0</v>
      </c>
      <c r="AS153" s="85">
        <v>-3460324.0</v>
      </c>
      <c r="AT153" s="85">
        <v>-800000.0</v>
      </c>
      <c r="AU153" s="85">
        <v>-800000.0</v>
      </c>
      <c r="AV153" s="85">
        <v>-800000.0</v>
      </c>
      <c r="AW153" s="85">
        <v>-3500972.0</v>
      </c>
      <c r="AX153" s="85">
        <v>-3500972.0</v>
      </c>
      <c r="AY153" s="85">
        <v>-3500972.0</v>
      </c>
      <c r="AZ153" s="85">
        <v>-3500972.0</v>
      </c>
      <c r="BA153" s="85">
        <v>-3500972.0</v>
      </c>
      <c r="BB153" s="85"/>
      <c r="BC153" s="85"/>
      <c r="BD153" s="85"/>
      <c r="BE153" s="85"/>
      <c r="BF153" s="85"/>
      <c r="BG153" s="85"/>
      <c r="BH153" s="85"/>
      <c r="BI153" s="85"/>
      <c r="BJ153" s="85"/>
      <c r="BK153" s="85"/>
      <c r="BL153" s="85"/>
      <c r="BM153" s="85"/>
      <c r="BN153" s="85"/>
      <c r="BO153" s="85"/>
      <c r="BP153" s="85"/>
      <c r="BQ153" s="85"/>
      <c r="BR153" s="85"/>
      <c r="BS153" s="85"/>
      <c r="BT153" s="85"/>
      <c r="BU153" s="85"/>
      <c r="BV153" s="85"/>
      <c r="BW153" s="85"/>
      <c r="BX153" s="85"/>
      <c r="BY153" s="85"/>
      <c r="BZ153" s="85"/>
      <c r="CA153" s="85"/>
      <c r="CB153" s="85"/>
      <c r="CC153" s="85"/>
      <c r="CD153" s="85"/>
      <c r="CE153" s="85"/>
      <c r="CF153" s="85"/>
      <c r="CG153" s="85"/>
      <c r="CH153" s="85"/>
      <c r="CI153" s="85"/>
      <c r="CJ153" s="85"/>
      <c r="CK153" s="85"/>
      <c r="CL153" s="61"/>
      <c r="CM153" s="38" t="s">
        <v>239</v>
      </c>
      <c r="CN153" s="61"/>
      <c r="CO153" s="61"/>
      <c r="CP153" s="61"/>
    </row>
    <row r="154" ht="15.75" customHeight="1">
      <c r="A154" s="75"/>
      <c r="B154" s="59" t="str">
        <f t="array" ref="B154">XLOOKUP(D154, 'マスタ'!$C$2:$C$1000, 'マスタ'!$D$2:$D$1000, "マスタ未登録")</f>
        <v>接待交際費</v>
      </c>
      <c r="C154" s="53" t="str">
        <f>IF(AND(D154&lt;&gt;"", COUNTIF('マスタ'!$C:$C, D154)=0), "マスタ未登録", "")</f>
        <v/>
      </c>
      <c r="D154" s="84" t="str">
        <f t="shared" si="4"/>
        <v>会議・交際費</v>
      </c>
      <c r="E154" s="65" t="s">
        <v>333</v>
      </c>
      <c r="F154" s="65" t="s">
        <v>335</v>
      </c>
      <c r="G154" s="65"/>
      <c r="H154" s="65"/>
      <c r="I154" s="65" t="s">
        <v>328</v>
      </c>
      <c r="J154" s="65" t="s">
        <v>128</v>
      </c>
      <c r="K154" s="65"/>
      <c r="L154" s="65"/>
      <c r="M154" s="65"/>
      <c r="N154" s="65"/>
      <c r="O154" s="65"/>
      <c r="P154" s="65"/>
      <c r="Q154" s="65"/>
      <c r="R154" s="65"/>
      <c r="S154" s="65"/>
      <c r="T154" s="65"/>
      <c r="U154" s="65"/>
      <c r="V154" s="65"/>
      <c r="W154" s="65"/>
      <c r="X154" s="65"/>
      <c r="Y154" s="65"/>
      <c r="Z154" s="65"/>
      <c r="AA154" s="65"/>
      <c r="AB154" s="65"/>
      <c r="AC154" s="65"/>
      <c r="AD154" s="65">
        <v>-134389.0</v>
      </c>
      <c r="AE154" s="65">
        <v>-604630.0</v>
      </c>
      <c r="AF154" s="65">
        <v>-678607.0</v>
      </c>
      <c r="AG154" s="65">
        <v>-330563.0</v>
      </c>
      <c r="AH154" s="65">
        <v>-324330.0</v>
      </c>
      <c r="AI154" s="65">
        <v>-323558.0</v>
      </c>
      <c r="AJ154" s="65">
        <v>-362786.0</v>
      </c>
      <c r="AK154" s="65">
        <v>-348608.0</v>
      </c>
      <c r="AL154" s="65">
        <v>-237543.0</v>
      </c>
      <c r="AM154" s="65">
        <v>-330442.0</v>
      </c>
      <c r="AN154" s="65">
        <v>-196939.0</v>
      </c>
      <c r="AO154" s="65">
        <v>-405211.0</v>
      </c>
      <c r="AP154" s="85">
        <v>-62278.0</v>
      </c>
      <c r="AQ154" s="85">
        <v>-210000.0</v>
      </c>
      <c r="AR154" s="85">
        <v>-210000.0</v>
      </c>
      <c r="AS154" s="85">
        <v>-210000.0</v>
      </c>
      <c r="AT154" s="85">
        <v>-210000.0</v>
      </c>
      <c r="AU154" s="85">
        <v>-210000.0</v>
      </c>
      <c r="AV154" s="85">
        <v>-210000.0</v>
      </c>
      <c r="AW154" s="85">
        <v>-210000.0</v>
      </c>
      <c r="AX154" s="85">
        <v>-210000.0</v>
      </c>
      <c r="AY154" s="85">
        <v>-210000.0</v>
      </c>
      <c r="AZ154" s="85">
        <v>-210000.0</v>
      </c>
      <c r="BA154" s="85">
        <v>-210000.0</v>
      </c>
      <c r="BB154" s="85"/>
      <c r="BC154" s="85"/>
      <c r="BD154" s="85"/>
      <c r="BE154" s="85"/>
      <c r="BF154" s="85"/>
      <c r="BG154" s="85"/>
      <c r="BH154" s="85"/>
      <c r="BI154" s="85"/>
      <c r="BJ154" s="85"/>
      <c r="BK154" s="85"/>
      <c r="BL154" s="85"/>
      <c r="BM154" s="85"/>
      <c r="BN154" s="85"/>
      <c r="BO154" s="85"/>
      <c r="BP154" s="85"/>
      <c r="BQ154" s="85"/>
      <c r="BR154" s="85"/>
      <c r="BS154" s="85"/>
      <c r="BT154" s="85"/>
      <c r="BU154" s="85"/>
      <c r="BV154" s="85"/>
      <c r="BW154" s="85"/>
      <c r="BX154" s="85"/>
      <c r="BY154" s="85"/>
      <c r="BZ154" s="85"/>
      <c r="CA154" s="85"/>
      <c r="CB154" s="85"/>
      <c r="CC154" s="85"/>
      <c r="CD154" s="85"/>
      <c r="CE154" s="85"/>
      <c r="CF154" s="85"/>
      <c r="CG154" s="85"/>
      <c r="CH154" s="85"/>
      <c r="CI154" s="85"/>
      <c r="CJ154" s="85"/>
      <c r="CK154" s="85"/>
      <c r="CL154" s="61"/>
      <c r="CM154" s="38" t="s">
        <v>335</v>
      </c>
      <c r="CN154" s="61"/>
      <c r="CO154" s="61"/>
      <c r="CP154" s="61"/>
    </row>
    <row r="155" ht="15.75" customHeight="1">
      <c r="A155" s="75"/>
      <c r="B155" s="59" t="str">
        <f t="array" ref="B155">XLOOKUP(D155, 'マスタ'!$C$2:$C$1000, 'マスタ'!$D$2:$D$1000, "マスタ未登録")</f>
        <v>採用教育費</v>
      </c>
      <c r="C155" s="53" t="str">
        <f>IF(AND(D155&lt;&gt;"", COUNTIF('マスタ'!$C:$C, D155)=0), "マスタ未登録", "")</f>
        <v/>
      </c>
      <c r="D155" s="84" t="str">
        <f t="shared" si="4"/>
        <v>採用教育費</v>
      </c>
      <c r="E155" s="65" t="s">
        <v>333</v>
      </c>
      <c r="F155" s="65" t="s">
        <v>77</v>
      </c>
      <c r="G155" s="65"/>
      <c r="H155" s="65"/>
      <c r="I155" s="65" t="s">
        <v>328</v>
      </c>
      <c r="J155" s="65" t="s">
        <v>128</v>
      </c>
      <c r="K155" s="65"/>
      <c r="L155" s="65"/>
      <c r="M155" s="65"/>
      <c r="N155" s="65"/>
      <c r="O155" s="65"/>
      <c r="P155" s="65"/>
      <c r="Q155" s="65"/>
      <c r="R155" s="65"/>
      <c r="S155" s="65"/>
      <c r="T155" s="65"/>
      <c r="U155" s="65"/>
      <c r="V155" s="65"/>
      <c r="W155" s="65"/>
      <c r="X155" s="65"/>
      <c r="Y155" s="65"/>
      <c r="Z155" s="65"/>
      <c r="AA155" s="65"/>
      <c r="AB155" s="65"/>
      <c r="AC155" s="65"/>
      <c r="AD155" s="65">
        <v>-1.0011299E7</v>
      </c>
      <c r="AE155" s="65">
        <v>-1881043.0</v>
      </c>
      <c r="AF155" s="65">
        <v>-2734007.0</v>
      </c>
      <c r="AG155" s="65">
        <v>-3025471.0</v>
      </c>
      <c r="AH155" s="65">
        <v>-4734685.0</v>
      </c>
      <c r="AI155" s="65">
        <v>-2323922.0</v>
      </c>
      <c r="AJ155" s="65">
        <v>-6178377.0</v>
      </c>
      <c r="AK155" s="65">
        <v>-1.1679683E7</v>
      </c>
      <c r="AL155" s="65">
        <v>-1918280.0</v>
      </c>
      <c r="AM155" s="65">
        <v>-4541657.0</v>
      </c>
      <c r="AN155" s="65">
        <v>-6359651.0</v>
      </c>
      <c r="AO155" s="65">
        <v>-3433685.0</v>
      </c>
      <c r="AP155" s="85">
        <v>-4550800.0</v>
      </c>
      <c r="AQ155" s="85">
        <v>-1548243.0</v>
      </c>
      <c r="AR155" s="85">
        <v>-4548243.0</v>
      </c>
      <c r="AS155" s="85">
        <v>-1548243.0</v>
      </c>
      <c r="AT155" s="85">
        <v>-1548243.0</v>
      </c>
      <c r="AU155" s="85">
        <v>-5048243.0</v>
      </c>
      <c r="AV155" s="85">
        <v>-1548243.0</v>
      </c>
      <c r="AW155" s="85">
        <v>-1548243.0</v>
      </c>
      <c r="AX155" s="85">
        <v>-4548243.0</v>
      </c>
      <c r="AY155" s="85">
        <v>-1548243.0</v>
      </c>
      <c r="AZ155" s="85">
        <v>-1548243.0</v>
      </c>
      <c r="BA155" s="85">
        <v>-5048243.0</v>
      </c>
      <c r="BB155" s="85"/>
      <c r="BC155" s="85"/>
      <c r="BD155" s="85"/>
      <c r="BE155" s="85"/>
      <c r="BF155" s="85"/>
      <c r="BG155" s="85"/>
      <c r="BH155" s="85"/>
      <c r="BI155" s="85"/>
      <c r="BJ155" s="85"/>
      <c r="BK155" s="85"/>
      <c r="BL155" s="85"/>
      <c r="BM155" s="85"/>
      <c r="BN155" s="85"/>
      <c r="BO155" s="85"/>
      <c r="BP155" s="85"/>
      <c r="BQ155" s="85"/>
      <c r="BR155" s="85"/>
      <c r="BS155" s="85"/>
      <c r="BT155" s="85"/>
      <c r="BU155" s="85"/>
      <c r="BV155" s="85"/>
      <c r="BW155" s="85"/>
      <c r="BX155" s="85"/>
      <c r="BY155" s="85"/>
      <c r="BZ155" s="85"/>
      <c r="CA155" s="85"/>
      <c r="CB155" s="85"/>
      <c r="CC155" s="85"/>
      <c r="CD155" s="85"/>
      <c r="CE155" s="85"/>
      <c r="CF155" s="85"/>
      <c r="CG155" s="85"/>
      <c r="CH155" s="85"/>
      <c r="CI155" s="85"/>
      <c r="CJ155" s="85"/>
      <c r="CK155" s="85"/>
      <c r="CL155" s="61"/>
      <c r="CM155" s="61" t="s">
        <v>336</v>
      </c>
      <c r="CN155" s="61"/>
      <c r="CO155" s="61"/>
      <c r="CP155" s="61"/>
    </row>
    <row r="156" ht="15.75" customHeight="1">
      <c r="A156" s="75"/>
      <c r="B156" s="59" t="str">
        <f t="array" ref="B156">XLOOKUP(D156, 'マスタ'!$C$2:$C$1000, 'マスタ'!$D$2:$D$1000, "マスタ未登録")</f>
        <v>水道光熱費</v>
      </c>
      <c r="C156" s="53" t="str">
        <f>IF(AND(D156&lt;&gt;"", COUNTIF('マスタ'!$C:$C, D156)=0), "マスタ未登録", "")</f>
        <v/>
      </c>
      <c r="D156" s="84" t="str">
        <f t="shared" si="4"/>
        <v>水道光熱費</v>
      </c>
      <c r="E156" s="65" t="s">
        <v>333</v>
      </c>
      <c r="F156" s="65" t="s">
        <v>178</v>
      </c>
      <c r="G156" s="65"/>
      <c r="H156" s="65"/>
      <c r="I156" s="65" t="s">
        <v>328</v>
      </c>
      <c r="J156" s="65" t="s">
        <v>128</v>
      </c>
      <c r="K156" s="65"/>
      <c r="L156" s="65"/>
      <c r="M156" s="65"/>
      <c r="N156" s="65"/>
      <c r="O156" s="65"/>
      <c r="P156" s="65"/>
      <c r="Q156" s="65"/>
      <c r="R156" s="65"/>
      <c r="S156" s="65"/>
      <c r="T156" s="65"/>
      <c r="U156" s="65"/>
      <c r="V156" s="65"/>
      <c r="W156" s="65"/>
      <c r="X156" s="65"/>
      <c r="Y156" s="65"/>
      <c r="Z156" s="65"/>
      <c r="AA156" s="65"/>
      <c r="AB156" s="65"/>
      <c r="AC156" s="65"/>
      <c r="AD156" s="65">
        <v>-50502.0</v>
      </c>
      <c r="AE156" s="65">
        <v>-47773.0</v>
      </c>
      <c r="AF156" s="65">
        <v>-57592.0</v>
      </c>
      <c r="AG156" s="65">
        <v>-51049.0</v>
      </c>
      <c r="AH156" s="65">
        <v>-64650.0</v>
      </c>
      <c r="AI156" s="65">
        <v>-57472.0</v>
      </c>
      <c r="AJ156" s="65">
        <v>-48170.0</v>
      </c>
      <c r="AK156" s="65">
        <v>-50241.0</v>
      </c>
      <c r="AL156" s="65">
        <v>-52802.0</v>
      </c>
      <c r="AM156" s="65">
        <v>-55618.0</v>
      </c>
      <c r="AN156" s="65">
        <v>-60788.0</v>
      </c>
      <c r="AO156" s="65">
        <v>-46408.0</v>
      </c>
      <c r="AP156" s="85">
        <v>-9535.0</v>
      </c>
      <c r="AQ156" s="85">
        <v>0.0</v>
      </c>
      <c r="AR156" s="85">
        <v>0.0</v>
      </c>
      <c r="AS156" s="85">
        <v>0.0</v>
      </c>
      <c r="AT156" s="85">
        <v>0.0</v>
      </c>
      <c r="AU156" s="85">
        <v>0.0</v>
      </c>
      <c r="AV156" s="85">
        <v>0.0</v>
      </c>
      <c r="AW156" s="85">
        <v>0.0</v>
      </c>
      <c r="AX156" s="85">
        <v>0.0</v>
      </c>
      <c r="AY156" s="85">
        <v>0.0</v>
      </c>
      <c r="AZ156" s="85">
        <v>0.0</v>
      </c>
      <c r="BA156" s="85">
        <v>0.0</v>
      </c>
      <c r="BB156" s="85"/>
      <c r="BC156" s="85"/>
      <c r="BD156" s="85"/>
      <c r="BE156" s="85"/>
      <c r="BF156" s="85"/>
      <c r="BG156" s="85"/>
      <c r="BH156" s="85"/>
      <c r="BI156" s="85"/>
      <c r="BJ156" s="85"/>
      <c r="BK156" s="85"/>
      <c r="BL156" s="85"/>
      <c r="BM156" s="85"/>
      <c r="BN156" s="85"/>
      <c r="BO156" s="85"/>
      <c r="BP156" s="85"/>
      <c r="BQ156" s="85"/>
      <c r="BR156" s="85"/>
      <c r="BS156" s="85"/>
      <c r="BT156" s="85"/>
      <c r="BU156" s="85"/>
      <c r="BV156" s="85"/>
      <c r="BW156" s="85"/>
      <c r="BX156" s="85"/>
      <c r="BY156" s="85"/>
      <c r="BZ156" s="85"/>
      <c r="CA156" s="85"/>
      <c r="CB156" s="85"/>
      <c r="CC156" s="85"/>
      <c r="CD156" s="85"/>
      <c r="CE156" s="85"/>
      <c r="CF156" s="85"/>
      <c r="CG156" s="85"/>
      <c r="CH156" s="85"/>
      <c r="CI156" s="85"/>
      <c r="CJ156" s="85"/>
      <c r="CK156" s="85"/>
      <c r="CL156" s="61"/>
      <c r="CM156" s="38" t="s">
        <v>178</v>
      </c>
      <c r="CN156" s="61"/>
      <c r="CO156" s="61"/>
      <c r="CP156" s="61"/>
    </row>
    <row r="157" ht="15.75" customHeight="1">
      <c r="A157" s="75"/>
      <c r="B157" s="59" t="str">
        <f t="array" ref="B157">XLOOKUP(D157, 'マスタ'!$C$2:$C$1000, 'マスタ'!$D$2:$D$1000, "マスタ未登録")</f>
        <v>のれん償却費</v>
      </c>
      <c r="C157" s="53" t="str">
        <f>IF(AND(D157&lt;&gt;"", COUNTIF('マスタ'!$C:$C, D157)=0), "マスタ未登録", "")</f>
        <v/>
      </c>
      <c r="D157" s="84" t="str">
        <f t="shared" si="4"/>
        <v>のれん償却費</v>
      </c>
      <c r="E157" s="65" t="s">
        <v>333</v>
      </c>
      <c r="F157" s="65" t="s">
        <v>337</v>
      </c>
      <c r="G157" s="65"/>
      <c r="H157" s="65"/>
      <c r="I157" s="65" t="s">
        <v>328</v>
      </c>
      <c r="J157" s="65" t="s">
        <v>128</v>
      </c>
      <c r="K157" s="65"/>
      <c r="L157" s="65"/>
      <c r="M157" s="65"/>
      <c r="N157" s="65"/>
      <c r="O157" s="65"/>
      <c r="P157" s="65"/>
      <c r="Q157" s="65"/>
      <c r="R157" s="65"/>
      <c r="S157" s="65"/>
      <c r="T157" s="65"/>
      <c r="U157" s="65"/>
      <c r="V157" s="65"/>
      <c r="W157" s="65"/>
      <c r="X157" s="65"/>
      <c r="Y157" s="65"/>
      <c r="Z157" s="65"/>
      <c r="AA157" s="65"/>
      <c r="AB157" s="65"/>
      <c r="AC157" s="65"/>
      <c r="AD157" s="65">
        <v>0.0</v>
      </c>
      <c r="AE157" s="65">
        <v>0.0</v>
      </c>
      <c r="AF157" s="65">
        <v>0.0</v>
      </c>
      <c r="AG157" s="65">
        <v>0.0</v>
      </c>
      <c r="AH157" s="65">
        <v>0.0</v>
      </c>
      <c r="AI157" s="65">
        <v>0.0</v>
      </c>
      <c r="AJ157" s="65">
        <v>0.0</v>
      </c>
      <c r="AK157" s="65">
        <v>0.0</v>
      </c>
      <c r="AL157" s="65">
        <v>0.0</v>
      </c>
      <c r="AM157" s="65">
        <v>0.0</v>
      </c>
      <c r="AN157" s="65">
        <v>0.0</v>
      </c>
      <c r="AO157" s="65">
        <v>0.0</v>
      </c>
      <c r="AP157" s="85">
        <v>0.0</v>
      </c>
      <c r="AQ157" s="85">
        <v>0.0</v>
      </c>
      <c r="AR157" s="85">
        <v>0.0</v>
      </c>
      <c r="AS157" s="85">
        <v>0.0</v>
      </c>
      <c r="AT157" s="85">
        <v>0.0</v>
      </c>
      <c r="AU157" s="85">
        <v>0.0</v>
      </c>
      <c r="AV157" s="85">
        <v>0.0</v>
      </c>
      <c r="AW157" s="85">
        <v>0.0</v>
      </c>
      <c r="AX157" s="85">
        <v>0.0</v>
      </c>
      <c r="AY157" s="85">
        <v>0.0</v>
      </c>
      <c r="AZ157" s="85">
        <v>0.0</v>
      </c>
      <c r="BA157" s="85">
        <v>0.0</v>
      </c>
      <c r="BB157" s="85"/>
      <c r="BC157" s="85"/>
      <c r="BD157" s="85"/>
      <c r="BE157" s="85"/>
      <c r="BF157" s="85"/>
      <c r="BG157" s="85"/>
      <c r="BH157" s="85"/>
      <c r="BI157" s="85"/>
      <c r="BJ157" s="85"/>
      <c r="BK157" s="85"/>
      <c r="BL157" s="85"/>
      <c r="BM157" s="85"/>
      <c r="BN157" s="85"/>
      <c r="BO157" s="85"/>
      <c r="BP157" s="85"/>
      <c r="BQ157" s="85"/>
      <c r="BR157" s="85"/>
      <c r="BS157" s="85"/>
      <c r="BT157" s="85"/>
      <c r="BU157" s="85"/>
      <c r="BV157" s="85"/>
      <c r="BW157" s="85"/>
      <c r="BX157" s="85"/>
      <c r="BY157" s="85"/>
      <c r="BZ157" s="85"/>
      <c r="CA157" s="85"/>
      <c r="CB157" s="85"/>
      <c r="CC157" s="85"/>
      <c r="CD157" s="85"/>
      <c r="CE157" s="85"/>
      <c r="CF157" s="85"/>
      <c r="CG157" s="85"/>
      <c r="CH157" s="85"/>
      <c r="CI157" s="85"/>
      <c r="CJ157" s="85"/>
      <c r="CK157" s="85"/>
      <c r="CL157" s="61"/>
      <c r="CM157" s="38" t="s">
        <v>337</v>
      </c>
      <c r="CN157" s="61"/>
      <c r="CO157" s="61"/>
      <c r="CP157" s="61"/>
    </row>
    <row r="158" ht="15.0" customHeight="1">
      <c r="A158" s="75"/>
      <c r="B158" s="59" t="str">
        <f t="array" ref="B158">XLOOKUP(D158, 'マスタ'!$C$2:$C$1000, 'マスタ'!$D$2:$D$1000, "マスタ未登録")</f>
        <v>雑費</v>
      </c>
      <c r="C158" s="53" t="str">
        <f>IF(AND(D158&lt;&gt;"", COUNTIF('マスタ'!$C:$C, D158)=0), "マスタ未登録", "")</f>
        <v/>
      </c>
      <c r="D158" s="84" t="str">
        <f t="shared" si="4"/>
        <v>その他(固)</v>
      </c>
      <c r="E158" s="65" t="s">
        <v>333</v>
      </c>
      <c r="F158" s="65" t="s">
        <v>346</v>
      </c>
      <c r="G158" s="65"/>
      <c r="H158" s="65"/>
      <c r="I158" s="65" t="s">
        <v>328</v>
      </c>
      <c r="J158" s="65" t="s">
        <v>128</v>
      </c>
      <c r="K158" s="65"/>
      <c r="L158" s="65"/>
      <c r="M158" s="65"/>
      <c r="N158" s="65"/>
      <c r="O158" s="65"/>
      <c r="P158" s="65"/>
      <c r="Q158" s="65"/>
      <c r="R158" s="65"/>
      <c r="S158" s="65"/>
      <c r="T158" s="65"/>
      <c r="U158" s="65"/>
      <c r="V158" s="65"/>
      <c r="W158" s="65"/>
      <c r="X158" s="65"/>
      <c r="Y158" s="65"/>
      <c r="Z158" s="65"/>
      <c r="AA158" s="65"/>
      <c r="AB158" s="65"/>
      <c r="AC158" s="65"/>
      <c r="AD158" s="65">
        <v>-154700.0</v>
      </c>
      <c r="AE158" s="65">
        <v>-92700.0</v>
      </c>
      <c r="AF158" s="65">
        <v>-665442.0</v>
      </c>
      <c r="AG158" s="65">
        <v>-31300.0</v>
      </c>
      <c r="AH158" s="65">
        <v>5500.0</v>
      </c>
      <c r="AI158" s="65">
        <v>-665517.0</v>
      </c>
      <c r="AJ158" s="65">
        <v>-26682.0</v>
      </c>
      <c r="AK158" s="65">
        <v>-14500.0</v>
      </c>
      <c r="AL158" s="65">
        <v>-5022691.0</v>
      </c>
      <c r="AM158" s="65">
        <v>-120835.0</v>
      </c>
      <c r="AN158" s="65">
        <v>-54167.0</v>
      </c>
      <c r="AO158" s="65">
        <v>705561.0</v>
      </c>
      <c r="AP158" s="85">
        <v>-454970.0</v>
      </c>
      <c r="AQ158" s="85">
        <v>-138000.0</v>
      </c>
      <c r="AR158" s="85">
        <v>-738000.0</v>
      </c>
      <c r="AS158" s="85">
        <v>-138000.0</v>
      </c>
      <c r="AT158" s="85">
        <v>-138000.0</v>
      </c>
      <c r="AU158" s="85">
        <v>-738000.0</v>
      </c>
      <c r="AV158" s="85">
        <v>-138000.0</v>
      </c>
      <c r="AW158" s="85">
        <v>-138000.0</v>
      </c>
      <c r="AX158" s="85">
        <v>-738000.0</v>
      </c>
      <c r="AY158" s="85">
        <v>-138000.0</v>
      </c>
      <c r="AZ158" s="85">
        <v>-138000.0</v>
      </c>
      <c r="BA158" s="85">
        <v>-738000.0</v>
      </c>
      <c r="BB158" s="85"/>
      <c r="BC158" s="85"/>
      <c r="BD158" s="85"/>
      <c r="BE158" s="85"/>
      <c r="BF158" s="85"/>
      <c r="BG158" s="85"/>
      <c r="BH158" s="85"/>
      <c r="BI158" s="85"/>
      <c r="BJ158" s="85"/>
      <c r="BK158" s="85"/>
      <c r="BL158" s="85"/>
      <c r="BM158" s="85"/>
      <c r="BN158" s="85"/>
      <c r="BO158" s="85"/>
      <c r="BP158" s="85"/>
      <c r="BQ158" s="85"/>
      <c r="BR158" s="85"/>
      <c r="BS158" s="85"/>
      <c r="BT158" s="85"/>
      <c r="BU158" s="85"/>
      <c r="BV158" s="85"/>
      <c r="BW158" s="85"/>
      <c r="BX158" s="85"/>
      <c r="BY158" s="85"/>
      <c r="BZ158" s="85"/>
      <c r="CA158" s="85"/>
      <c r="CB158" s="85"/>
      <c r="CC158" s="85"/>
      <c r="CD158" s="85"/>
      <c r="CE158" s="85"/>
      <c r="CF158" s="85"/>
      <c r="CG158" s="85"/>
      <c r="CH158" s="85"/>
      <c r="CI158" s="85"/>
      <c r="CJ158" s="85"/>
      <c r="CK158" s="85"/>
      <c r="CL158" s="61"/>
      <c r="CM158" s="61" t="s">
        <v>343</v>
      </c>
      <c r="CN158" s="61"/>
      <c r="CO158" s="61"/>
      <c r="CP158" s="61"/>
    </row>
    <row r="159" ht="15.75" customHeight="1">
      <c r="A159" s="75"/>
      <c r="B159" s="59" t="str">
        <f t="array" ref="B159">XLOOKUP(D159, 'マスタ'!$C$2:$C$1000, 'マスタ'!$D$2:$D$1000, "マスタ未登録")</f>
        <v>マスタ未登録</v>
      </c>
      <c r="C159" s="53" t="str">
        <f>IF(AND(D159&lt;&gt;"", COUNTIF('マスタ'!$C:$C, D159)=0), "マスタ未登録", "")</f>
        <v>マスタ未登録</v>
      </c>
      <c r="D159" s="84" t="str">
        <f t="shared" si="4"/>
        <v>ウタイテ配賦額</v>
      </c>
      <c r="E159" s="65" t="s">
        <v>333</v>
      </c>
      <c r="F159" s="65" t="s">
        <v>213</v>
      </c>
      <c r="G159" s="65"/>
      <c r="H159" s="65"/>
      <c r="I159" s="65" t="s">
        <v>328</v>
      </c>
      <c r="J159" s="65" t="s">
        <v>128</v>
      </c>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c r="BC159" s="65"/>
      <c r="BD159" s="65"/>
      <c r="BE159" s="65"/>
      <c r="BF159" s="65"/>
      <c r="BG159" s="65"/>
      <c r="BH159" s="65"/>
      <c r="BI159" s="65"/>
      <c r="BJ159" s="65"/>
      <c r="BK159" s="65"/>
      <c r="BL159" s="65"/>
      <c r="BM159" s="65"/>
      <c r="BN159" s="65"/>
      <c r="BO159" s="65"/>
      <c r="BP159" s="65"/>
      <c r="BQ159" s="65"/>
      <c r="BR159" s="65"/>
      <c r="BS159" s="65"/>
      <c r="BT159" s="65"/>
      <c r="BU159" s="65"/>
      <c r="BV159" s="65"/>
      <c r="BW159" s="65"/>
      <c r="BX159" s="65"/>
      <c r="BY159" s="65"/>
      <c r="BZ159" s="65"/>
      <c r="CA159" s="65"/>
      <c r="CB159" s="65"/>
      <c r="CC159" s="65"/>
      <c r="CD159" s="65"/>
      <c r="CE159" s="65"/>
      <c r="CF159" s="65"/>
      <c r="CG159" s="65"/>
      <c r="CH159" s="65"/>
      <c r="CI159" s="65"/>
      <c r="CJ159" s="65"/>
      <c r="CK159" s="65"/>
      <c r="CL159" s="61"/>
      <c r="CM159" s="38" t="s">
        <v>213</v>
      </c>
      <c r="CN159" s="61"/>
      <c r="CO159" s="61"/>
      <c r="CP159" s="61"/>
    </row>
    <row r="160" ht="15.75" customHeight="1">
      <c r="A160" s="75"/>
      <c r="B160" s="59" t="str">
        <f t="array" ref="B160">XLOOKUP(D160, 'マスタ'!$C$2:$C$1000, 'マスタ'!$D$2:$D$1000, "マスタ未登録")</f>
        <v>マスタ未登録</v>
      </c>
      <c r="C160" s="53" t="str">
        <f>IF(AND(D160&lt;&gt;"", COUNTIF('マスタ'!$C:$C, D160)=0), "マスタ未登録", "")</f>
        <v/>
      </c>
      <c r="D160" s="53" t="str">
        <f t="shared" si="4"/>
        <v/>
      </c>
      <c r="E160" s="61"/>
      <c r="F160" s="61"/>
      <c r="G160" s="65"/>
      <c r="H160" s="65"/>
      <c r="I160" s="65"/>
      <c r="J160" s="65" t="s">
        <v>128</v>
      </c>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85"/>
      <c r="AQ160" s="85"/>
      <c r="AR160" s="85"/>
      <c r="AS160" s="85"/>
      <c r="AT160" s="85"/>
      <c r="AU160" s="85"/>
      <c r="AV160" s="85"/>
      <c r="AW160" s="85"/>
      <c r="AX160" s="85"/>
      <c r="AY160" s="85"/>
      <c r="AZ160" s="85"/>
      <c r="BA160" s="85"/>
      <c r="BB160" s="85"/>
      <c r="BC160" s="85"/>
      <c r="BD160" s="85"/>
      <c r="BE160" s="85"/>
      <c r="BF160" s="85"/>
      <c r="BG160" s="85"/>
      <c r="BH160" s="85"/>
      <c r="BI160" s="85"/>
      <c r="BJ160" s="85"/>
      <c r="BK160" s="85"/>
      <c r="BL160" s="85"/>
      <c r="BM160" s="85"/>
      <c r="BN160" s="85"/>
      <c r="BO160" s="85"/>
      <c r="BP160" s="85"/>
      <c r="BQ160" s="85"/>
      <c r="BR160" s="85"/>
      <c r="BS160" s="85"/>
      <c r="BT160" s="85"/>
      <c r="BU160" s="85"/>
      <c r="BV160" s="85"/>
      <c r="BW160" s="85"/>
      <c r="BX160" s="85"/>
      <c r="BY160" s="85"/>
      <c r="BZ160" s="85"/>
      <c r="CA160" s="85"/>
      <c r="CB160" s="85"/>
      <c r="CC160" s="85"/>
      <c r="CD160" s="85"/>
      <c r="CE160" s="85"/>
      <c r="CF160" s="85"/>
      <c r="CG160" s="85"/>
      <c r="CH160" s="85"/>
      <c r="CI160" s="85"/>
      <c r="CJ160" s="85"/>
      <c r="CK160" s="85"/>
      <c r="CL160" s="61"/>
      <c r="CM160" s="61"/>
      <c r="CN160" s="61"/>
      <c r="CO160" s="61"/>
      <c r="CP160" s="61"/>
    </row>
    <row r="161" ht="15.75" customHeight="1">
      <c r="A161" s="75"/>
      <c r="B161" s="59" t="str">
        <f t="array" ref="B161">XLOOKUP(D161, 'マスタ'!$C$2:$C$1000, 'マスタ'!$D$2:$D$1000, "マスタ未登録")</f>
        <v>マスタ未登録</v>
      </c>
      <c r="C161" s="53" t="str">
        <f>IF(AND(D161&lt;&gt;"", COUNTIF('マスタ'!$C:$C, D161)=0), "マスタ未登録", "")</f>
        <v/>
      </c>
      <c r="D161" s="53" t="str">
        <f t="shared" si="4"/>
        <v/>
      </c>
      <c r="E161" s="76" t="s">
        <v>31</v>
      </c>
      <c r="F161" s="76"/>
      <c r="G161" s="77"/>
      <c r="H161" s="77">
        <v>1.0</v>
      </c>
      <c r="I161" s="77" t="s">
        <v>328</v>
      </c>
      <c r="J161" s="77" t="s">
        <v>128</v>
      </c>
      <c r="K161" s="77"/>
      <c r="L161" s="77"/>
      <c r="M161" s="77"/>
      <c r="N161" s="77"/>
      <c r="O161" s="77"/>
      <c r="P161" s="77"/>
      <c r="Q161" s="77"/>
      <c r="R161" s="77"/>
      <c r="S161" s="77"/>
      <c r="T161" s="77"/>
      <c r="U161" s="77"/>
      <c r="V161" s="77"/>
      <c r="W161" s="77"/>
      <c r="X161" s="77"/>
      <c r="Y161" s="77"/>
      <c r="Z161" s="77"/>
      <c r="AA161" s="77"/>
      <c r="AB161" s="77"/>
      <c r="AC161" s="77"/>
      <c r="AD161" s="77">
        <v>-3.2281764E7</v>
      </c>
      <c r="AE161" s="77">
        <v>-2.6347396E7</v>
      </c>
      <c r="AF161" s="77">
        <v>-2.994131E7</v>
      </c>
      <c r="AG161" s="77">
        <v>-2.7281785E7</v>
      </c>
      <c r="AH161" s="77">
        <v>-3.2093486E7</v>
      </c>
      <c r="AI161" s="77">
        <v>-3.0623544E7</v>
      </c>
      <c r="AJ161" s="77">
        <v>-3.0152416E7</v>
      </c>
      <c r="AK161" s="77">
        <v>-3.788969E7</v>
      </c>
      <c r="AL161" s="77">
        <v>-3.7379335E7</v>
      </c>
      <c r="AM161" s="77">
        <v>-3.2168537E7</v>
      </c>
      <c r="AN161" s="77">
        <v>-2.7495615E7</v>
      </c>
      <c r="AO161" s="77">
        <v>-3.6516446E7</v>
      </c>
      <c r="AP161" s="87">
        <v>-5.7873004E7</v>
      </c>
      <c r="AQ161" s="87">
        <v>-6.3780845E7</v>
      </c>
      <c r="AR161" s="87">
        <v>-7.1941533E7</v>
      </c>
      <c r="AS161" s="87">
        <v>-6.4541343E7</v>
      </c>
      <c r="AT161" s="87">
        <v>-6.1912045E7</v>
      </c>
      <c r="AU161" s="87">
        <v>-6.9860627E7</v>
      </c>
      <c r="AV161" s="87">
        <v>-6.2180309E7</v>
      </c>
      <c r="AW161" s="87">
        <v>-6.5262351E7</v>
      </c>
      <c r="AX161" s="87">
        <v>-7.1316672E7</v>
      </c>
      <c r="AY161" s="87">
        <v>-6.4783882E7</v>
      </c>
      <c r="AZ161" s="87">
        <v>-6.471759E7</v>
      </c>
      <c r="BA161" s="87">
        <v>-7.1695423E7</v>
      </c>
      <c r="BB161" s="87">
        <v>0.0</v>
      </c>
      <c r="BC161" s="87">
        <v>0.0</v>
      </c>
      <c r="BD161" s="87">
        <v>0.0</v>
      </c>
      <c r="BE161" s="87">
        <v>0.0</v>
      </c>
      <c r="BF161" s="87">
        <v>0.0</v>
      </c>
      <c r="BG161" s="87">
        <v>0.0</v>
      </c>
      <c r="BH161" s="87">
        <v>0.0</v>
      </c>
      <c r="BI161" s="87">
        <v>0.0</v>
      </c>
      <c r="BJ161" s="87">
        <v>0.0</v>
      </c>
      <c r="BK161" s="87">
        <v>0.0</v>
      </c>
      <c r="BL161" s="87">
        <v>0.0</v>
      </c>
      <c r="BM161" s="87">
        <v>0.0</v>
      </c>
      <c r="BN161" s="87">
        <v>0.0</v>
      </c>
      <c r="BO161" s="87">
        <v>0.0</v>
      </c>
      <c r="BP161" s="87">
        <v>0.0</v>
      </c>
      <c r="BQ161" s="87">
        <v>0.0</v>
      </c>
      <c r="BR161" s="87">
        <v>0.0</v>
      </c>
      <c r="BS161" s="87">
        <v>0.0</v>
      </c>
      <c r="BT161" s="87">
        <v>0.0</v>
      </c>
      <c r="BU161" s="87">
        <v>0.0</v>
      </c>
      <c r="BV161" s="87">
        <v>0.0</v>
      </c>
      <c r="BW161" s="87">
        <v>0.0</v>
      </c>
      <c r="BX161" s="87">
        <v>0.0</v>
      </c>
      <c r="BY161" s="87">
        <v>0.0</v>
      </c>
      <c r="BZ161" s="87">
        <v>0.0</v>
      </c>
      <c r="CA161" s="87">
        <v>0.0</v>
      </c>
      <c r="CB161" s="87">
        <v>0.0</v>
      </c>
      <c r="CC161" s="87">
        <v>0.0</v>
      </c>
      <c r="CD161" s="87">
        <v>0.0</v>
      </c>
      <c r="CE161" s="87">
        <v>0.0</v>
      </c>
      <c r="CF161" s="87">
        <v>0.0</v>
      </c>
      <c r="CG161" s="87">
        <v>0.0</v>
      </c>
      <c r="CH161" s="87">
        <v>0.0</v>
      </c>
      <c r="CI161" s="87">
        <v>0.0</v>
      </c>
      <c r="CJ161" s="87">
        <v>0.0</v>
      </c>
      <c r="CK161" s="87">
        <v>0.0</v>
      </c>
      <c r="CL161" s="61"/>
      <c r="CM161" s="88">
        <v>-7.89865625E8</v>
      </c>
      <c r="CN161" s="88">
        <v>-3.80171324E8</v>
      </c>
      <c r="CO161" s="61"/>
      <c r="CP161" s="61"/>
    </row>
    <row r="162" ht="15.75" customHeight="1">
      <c r="A162" s="75"/>
      <c r="B162" s="59" t="str">
        <f t="array" ref="B162">XLOOKUP(D162, 'マスタ'!$C$2:$C$1000, 'マスタ'!$D$2:$D$1000, "マスタ未登録")</f>
        <v>マスタ未登録</v>
      </c>
      <c r="C162" s="53" t="str">
        <f>IF(AND(D162&lt;&gt;"", COUNTIF('マスタ'!$C:$C, D162)=0), "マスタ未登録", "")</f>
        <v/>
      </c>
      <c r="D162" s="53" t="str">
        <f t="shared" si="4"/>
        <v/>
      </c>
      <c r="E162" s="69"/>
      <c r="F162" s="69"/>
      <c r="G162" s="82"/>
      <c r="H162" s="82">
        <v>1.0</v>
      </c>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c r="AK162" s="82"/>
      <c r="AL162" s="82"/>
      <c r="AM162" s="82"/>
      <c r="AN162" s="82"/>
      <c r="AO162" s="82"/>
      <c r="AP162" s="82"/>
      <c r="AQ162" s="82"/>
      <c r="AR162" s="82"/>
      <c r="AS162" s="82"/>
      <c r="AT162" s="82"/>
      <c r="AU162" s="82"/>
      <c r="AV162" s="82"/>
      <c r="AW162" s="82"/>
      <c r="AX162" s="82"/>
      <c r="AY162" s="82"/>
      <c r="AZ162" s="82"/>
      <c r="BA162" s="82"/>
      <c r="BB162" s="82"/>
      <c r="BC162" s="82"/>
      <c r="BD162" s="82"/>
      <c r="BE162" s="82"/>
      <c r="BF162" s="82"/>
      <c r="BG162" s="82"/>
      <c r="BH162" s="82"/>
      <c r="BI162" s="82"/>
      <c r="BJ162" s="82"/>
      <c r="BK162" s="82"/>
      <c r="BL162" s="82"/>
      <c r="BM162" s="82"/>
      <c r="BN162" s="82"/>
      <c r="BO162" s="82"/>
      <c r="BP162" s="82"/>
      <c r="BQ162" s="82"/>
      <c r="BR162" s="82"/>
      <c r="BS162" s="82"/>
      <c r="BT162" s="82"/>
      <c r="BU162" s="82"/>
      <c r="BV162" s="82"/>
      <c r="BW162" s="82"/>
      <c r="BX162" s="82"/>
      <c r="BY162" s="82"/>
      <c r="BZ162" s="82"/>
      <c r="CA162" s="82"/>
      <c r="CB162" s="82"/>
      <c r="CC162" s="82"/>
      <c r="CD162" s="82"/>
      <c r="CE162" s="82"/>
      <c r="CF162" s="82"/>
      <c r="CG162" s="82"/>
      <c r="CH162" s="82"/>
      <c r="CI162" s="82"/>
      <c r="CJ162" s="82"/>
      <c r="CK162" s="82"/>
      <c r="CL162" s="61"/>
      <c r="CM162" s="61"/>
      <c r="CN162" s="61"/>
      <c r="CO162" s="61"/>
      <c r="CP162" s="61"/>
    </row>
    <row r="163" ht="15.0"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1"/>
      <c r="BZ163" s="61"/>
      <c r="CA163" s="61"/>
      <c r="CB163" s="61"/>
      <c r="CC163" s="61"/>
      <c r="CD163" s="61"/>
      <c r="CE163" s="61"/>
      <c r="CF163" s="61"/>
      <c r="CG163" s="61"/>
      <c r="CH163" s="61"/>
      <c r="CI163" s="61"/>
      <c r="CJ163" s="61"/>
      <c r="CK163" s="61"/>
      <c r="CL163" s="61"/>
      <c r="CM163" s="88">
        <v>1.621103942E9</v>
      </c>
      <c r="CN163" s="88">
        <v>1.020343214E9</v>
      </c>
      <c r="CO163" s="61"/>
      <c r="CP163" s="61"/>
    </row>
    <row r="164" ht="15.0"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1"/>
      <c r="BZ164" s="61"/>
      <c r="CA164" s="61"/>
      <c r="CB164" s="61"/>
      <c r="CC164" s="61"/>
      <c r="CD164" s="61"/>
      <c r="CE164" s="61"/>
      <c r="CF164" s="61"/>
      <c r="CG164" s="61"/>
      <c r="CH164" s="61"/>
      <c r="CI164" s="61"/>
      <c r="CJ164" s="61"/>
      <c r="CK164" s="61"/>
      <c r="CL164" s="61"/>
      <c r="CM164" s="90">
        <v>1.409361746E9</v>
      </c>
      <c r="CN164" s="38">
        <v>1.081919299E9</v>
      </c>
      <c r="CO164" s="61"/>
      <c r="CP164" s="61"/>
    </row>
    <row r="165" ht="15.0"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1"/>
      <c r="BZ165" s="61"/>
      <c r="CA165" s="61"/>
      <c r="CB165" s="61"/>
      <c r="CC165" s="61"/>
      <c r="CD165" s="61"/>
      <c r="CE165" s="61"/>
      <c r="CF165" s="61"/>
      <c r="CG165" s="61"/>
      <c r="CH165" s="61"/>
      <c r="CI165" s="61"/>
      <c r="CJ165" s="61"/>
      <c r="CK165" s="61"/>
      <c r="CL165" s="61"/>
      <c r="CM165" s="88">
        <v>2.11742196E8</v>
      </c>
      <c r="CN165" s="88">
        <v>-6.1576085E7</v>
      </c>
      <c r="CO165" s="61"/>
      <c r="CP165" s="61"/>
    </row>
    <row r="166" ht="15.0"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1"/>
      <c r="BZ166" s="61"/>
      <c r="CA166" s="61"/>
      <c r="CB166" s="61"/>
      <c r="CC166" s="61"/>
      <c r="CD166" s="61"/>
      <c r="CE166" s="61"/>
      <c r="CF166" s="61"/>
      <c r="CG166" s="61"/>
      <c r="CH166" s="61"/>
      <c r="CI166" s="61"/>
      <c r="CJ166" s="61"/>
      <c r="CK166" s="61"/>
      <c r="CL166" s="61"/>
      <c r="CM166" s="91" t="s">
        <v>263</v>
      </c>
      <c r="CN166" s="92" t="s">
        <v>348</v>
      </c>
      <c r="CO166" s="61"/>
      <c r="CP166" s="61"/>
    </row>
    <row r="167" ht="15.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1"/>
      <c r="BZ167" s="61"/>
      <c r="CA167" s="61"/>
      <c r="CB167" s="61"/>
      <c r="CC167" s="61"/>
      <c r="CD167" s="61"/>
      <c r="CE167" s="61"/>
      <c r="CF167" s="61"/>
      <c r="CG167" s="61"/>
      <c r="CH167" s="61"/>
      <c r="CI167" s="61"/>
      <c r="CJ167" s="61"/>
      <c r="CK167" s="61"/>
      <c r="CL167" s="61"/>
      <c r="CM167" s="61"/>
      <c r="CN167" s="61"/>
      <c r="CO167" s="61"/>
      <c r="CP167" s="61"/>
    </row>
    <row r="168" ht="15.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1"/>
      <c r="BZ168" s="61"/>
      <c r="CA168" s="61"/>
      <c r="CB168" s="61"/>
      <c r="CC168" s="61"/>
      <c r="CD168" s="61"/>
      <c r="CE168" s="61"/>
      <c r="CF168" s="61"/>
      <c r="CG168" s="61"/>
      <c r="CH168" s="61"/>
      <c r="CI168" s="61"/>
      <c r="CJ168" s="61"/>
      <c r="CK168" s="61"/>
      <c r="CL168" s="61"/>
      <c r="CM168" s="61"/>
      <c r="CN168" s="61"/>
      <c r="CO168" s="61"/>
      <c r="CP168" s="61"/>
    </row>
    <row r="169" ht="15.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1"/>
      <c r="BZ169" s="61"/>
      <c r="CA169" s="61"/>
      <c r="CB169" s="61"/>
      <c r="CC169" s="61"/>
      <c r="CD169" s="61"/>
      <c r="CE169" s="61"/>
      <c r="CF169" s="61"/>
      <c r="CG169" s="61"/>
      <c r="CH169" s="61"/>
      <c r="CI169" s="61"/>
      <c r="CJ169" s="61"/>
      <c r="CK169" s="61"/>
      <c r="CL169" s="61"/>
      <c r="CM169" s="61"/>
      <c r="CN169" s="61"/>
      <c r="CO169" s="61"/>
      <c r="CP169" s="61"/>
    </row>
    <row r="170" ht="15.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1"/>
      <c r="BZ170" s="61"/>
      <c r="CA170" s="61"/>
      <c r="CB170" s="61"/>
      <c r="CC170" s="61"/>
      <c r="CD170" s="61"/>
      <c r="CE170" s="61"/>
      <c r="CF170" s="61"/>
      <c r="CG170" s="61"/>
      <c r="CH170" s="61"/>
      <c r="CI170" s="61"/>
      <c r="CJ170" s="61"/>
      <c r="CK170" s="61"/>
      <c r="CL170" s="61"/>
      <c r="CM170" s="61"/>
      <c r="CN170" s="61"/>
      <c r="CO170" s="61"/>
      <c r="CP170" s="61"/>
    </row>
    <row r="171" ht="15.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1"/>
      <c r="BZ171" s="61"/>
      <c r="CA171" s="61"/>
      <c r="CB171" s="61"/>
      <c r="CC171" s="61"/>
      <c r="CD171" s="61"/>
      <c r="CE171" s="61"/>
      <c r="CF171" s="61"/>
      <c r="CG171" s="61"/>
      <c r="CH171" s="61"/>
      <c r="CI171" s="61"/>
      <c r="CJ171" s="61"/>
      <c r="CK171" s="61"/>
      <c r="CL171" s="61"/>
      <c r="CM171" s="61"/>
      <c r="CN171" s="61"/>
      <c r="CO171" s="61"/>
      <c r="CP171" s="61"/>
    </row>
    <row r="172" ht="15.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1"/>
      <c r="BZ172" s="61"/>
      <c r="CA172" s="61"/>
      <c r="CB172" s="61"/>
      <c r="CC172" s="61"/>
      <c r="CD172" s="61"/>
      <c r="CE172" s="61"/>
      <c r="CF172" s="61"/>
      <c r="CG172" s="61"/>
      <c r="CH172" s="61"/>
      <c r="CI172" s="61"/>
      <c r="CJ172" s="61"/>
      <c r="CK172" s="61"/>
      <c r="CL172" s="61"/>
      <c r="CM172" s="61"/>
      <c r="CN172" s="61"/>
      <c r="CO172" s="61"/>
      <c r="CP172" s="61"/>
    </row>
    <row r="173" ht="15.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1"/>
      <c r="BZ173" s="61"/>
      <c r="CA173" s="61"/>
      <c r="CB173" s="61"/>
      <c r="CC173" s="61"/>
      <c r="CD173" s="61"/>
      <c r="CE173" s="61"/>
      <c r="CF173" s="61"/>
      <c r="CG173" s="61"/>
      <c r="CH173" s="61"/>
      <c r="CI173" s="61"/>
      <c r="CJ173" s="61"/>
      <c r="CK173" s="61"/>
      <c r="CL173" s="61"/>
      <c r="CM173" s="61"/>
      <c r="CN173" s="61"/>
      <c r="CO173" s="61"/>
      <c r="CP173" s="61"/>
    </row>
    <row r="174" ht="15.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1"/>
      <c r="BZ174" s="61"/>
      <c r="CA174" s="61"/>
      <c r="CB174" s="61"/>
      <c r="CC174" s="61"/>
      <c r="CD174" s="61"/>
      <c r="CE174" s="61"/>
      <c r="CF174" s="61"/>
      <c r="CG174" s="61"/>
      <c r="CH174" s="61"/>
      <c r="CI174" s="61"/>
      <c r="CJ174" s="61"/>
      <c r="CK174" s="61"/>
      <c r="CL174" s="61"/>
      <c r="CM174" s="61"/>
      <c r="CN174" s="61"/>
      <c r="CO174" s="61"/>
      <c r="CP174" s="61"/>
    </row>
    <row r="175" ht="15.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1"/>
      <c r="BZ175" s="61"/>
      <c r="CA175" s="61"/>
      <c r="CB175" s="61"/>
      <c r="CC175" s="61"/>
      <c r="CD175" s="61"/>
      <c r="CE175" s="61"/>
      <c r="CF175" s="61"/>
      <c r="CG175" s="61"/>
      <c r="CH175" s="61"/>
      <c r="CI175" s="61"/>
      <c r="CJ175" s="61"/>
      <c r="CK175" s="61"/>
      <c r="CL175" s="61"/>
      <c r="CM175" s="61"/>
      <c r="CN175" s="61"/>
      <c r="CO175" s="61"/>
      <c r="CP175" s="61"/>
    </row>
    <row r="176" ht="15.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1"/>
      <c r="BZ176" s="61"/>
      <c r="CA176" s="61"/>
      <c r="CB176" s="61"/>
      <c r="CC176" s="61"/>
      <c r="CD176" s="61"/>
      <c r="CE176" s="61"/>
      <c r="CF176" s="61"/>
      <c r="CG176" s="61"/>
      <c r="CH176" s="61"/>
      <c r="CI176" s="61"/>
      <c r="CJ176" s="61"/>
      <c r="CK176" s="61"/>
      <c r="CL176" s="61"/>
      <c r="CM176" s="61"/>
      <c r="CN176" s="61"/>
      <c r="CO176" s="61"/>
      <c r="CP176" s="61"/>
    </row>
    <row r="177" ht="15.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1"/>
      <c r="BZ177" s="61"/>
      <c r="CA177" s="61"/>
      <c r="CB177" s="61"/>
      <c r="CC177" s="61"/>
      <c r="CD177" s="61"/>
      <c r="CE177" s="61"/>
      <c r="CF177" s="61"/>
      <c r="CG177" s="61"/>
      <c r="CH177" s="61"/>
      <c r="CI177" s="61"/>
      <c r="CJ177" s="61"/>
      <c r="CK177" s="61"/>
      <c r="CL177" s="61"/>
      <c r="CM177" s="61"/>
      <c r="CN177" s="61"/>
      <c r="CO177" s="61"/>
      <c r="CP177" s="61"/>
    </row>
    <row r="178" ht="15.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1"/>
      <c r="BZ178" s="61"/>
      <c r="CA178" s="61"/>
      <c r="CB178" s="61"/>
      <c r="CC178" s="61"/>
      <c r="CD178" s="61"/>
      <c r="CE178" s="61"/>
      <c r="CF178" s="61"/>
      <c r="CG178" s="61"/>
      <c r="CH178" s="61"/>
      <c r="CI178" s="61"/>
      <c r="CJ178" s="61"/>
      <c r="CK178" s="61"/>
      <c r="CL178" s="61"/>
      <c r="CM178" s="61"/>
      <c r="CN178" s="61"/>
      <c r="CO178" s="61"/>
      <c r="CP178" s="61"/>
    </row>
    <row r="179" ht="15.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row>
    <row r="180" ht="15.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row>
    <row r="181" ht="15.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row>
    <row r="182" ht="15.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row>
    <row r="183" ht="15.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row>
    <row r="184" ht="15.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row>
    <row r="185" ht="15.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row>
    <row r="186" ht="15.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row>
    <row r="187" ht="15.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row>
    <row r="188" ht="15.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row>
    <row r="189" ht="15.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row>
    <row r="190" ht="15.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row>
    <row r="191" ht="15.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row>
    <row r="192" ht="15.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row>
    <row r="193" ht="15.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row>
    <row r="194" ht="15.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row>
    <row r="195" ht="15.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row>
    <row r="196" ht="15.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row>
    <row r="197" ht="15.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row>
    <row r="198" ht="15.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row>
    <row r="199" ht="15.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row>
    <row r="200" ht="15.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row>
    <row r="201" ht="15.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row>
    <row r="202" ht="15.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row>
    <row r="203" ht="15.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row>
    <row r="204" ht="15.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row>
    <row r="205" ht="15.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row>
    <row r="206" ht="15.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row>
    <row r="207" ht="15.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row>
    <row r="208" ht="15.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row>
    <row r="209" ht="15.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row>
    <row r="210" ht="15.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row>
    <row r="211" ht="15.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row>
    <row r="212" ht="15.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row>
    <row r="213" ht="15.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row>
    <row r="214" ht="15.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row>
    <row r="215" ht="15.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1"/>
      <c r="BZ215" s="61"/>
      <c r="CA215" s="61"/>
      <c r="CB215" s="61"/>
      <c r="CC215" s="61"/>
      <c r="CD215" s="61"/>
      <c r="CE215" s="61"/>
      <c r="CF215" s="61"/>
      <c r="CG215" s="61"/>
      <c r="CH215" s="61"/>
      <c r="CI215" s="61"/>
      <c r="CJ215" s="61"/>
      <c r="CK215" s="61"/>
      <c r="CL215" s="61"/>
      <c r="CM215" s="61"/>
      <c r="CN215" s="61"/>
      <c r="CO215" s="61"/>
      <c r="CP215" s="61"/>
    </row>
    <row r="216" ht="15.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row>
    <row r="217" ht="15.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row>
    <row r="218" ht="15.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row>
    <row r="219" ht="15.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row>
    <row r="220" ht="15.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row>
    <row r="221" ht="15.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row>
    <row r="222" ht="15.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row>
    <row r="223" ht="15.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row>
    <row r="224" ht="15.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row>
    <row r="225" ht="15.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row>
    <row r="226" ht="15.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row>
    <row r="227" ht="15.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row>
    <row r="228" ht="15.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row>
    <row r="229" ht="15.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row>
    <row r="230" ht="15.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row>
    <row r="231" ht="15.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row>
    <row r="232" ht="15.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row>
    <row r="233" ht="15.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row>
    <row r="234" ht="15.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row>
    <row r="235" ht="15.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row>
    <row r="236" ht="15.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row>
    <row r="237" ht="15.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row>
    <row r="238" ht="15.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row>
    <row r="239" ht="15.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row>
    <row r="240" ht="15.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row>
    <row r="241" ht="15.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row>
    <row r="242" ht="15.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row>
    <row r="243" ht="15.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row>
    <row r="244" ht="15.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row>
    <row r="245" ht="15.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row>
    <row r="246" ht="15.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row>
    <row r="247" ht="15.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row>
    <row r="248" ht="15.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row>
    <row r="249" ht="15.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row>
    <row r="250" ht="15.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row>
    <row r="251" ht="15.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row>
    <row r="252" ht="15.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row>
    <row r="253" ht="15.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row>
    <row r="254" ht="15.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row>
    <row r="255" ht="15.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row>
    <row r="256" ht="15.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row>
    <row r="257" ht="15.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row>
    <row r="258" ht="15.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row>
    <row r="259" ht="15.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row>
    <row r="260" ht="15.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row>
    <row r="261" ht="15.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row>
    <row r="262" ht="15.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row>
    <row r="263" ht="15.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row>
    <row r="264" ht="15.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row>
    <row r="265" ht="15.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row>
    <row r="266" ht="15.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row>
    <row r="267" ht="15.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row>
    <row r="268" ht="15.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row>
    <row r="269" ht="15.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row>
    <row r="270" ht="15.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row>
    <row r="271" ht="15.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row>
    <row r="272" ht="15.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row>
    <row r="273" ht="15.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row>
    <row r="274" ht="15.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row>
    <row r="275" ht="15.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row>
    <row r="276" ht="15.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row>
    <row r="277" ht="15.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row>
    <row r="278" ht="15.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row>
    <row r="279" ht="15.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row>
    <row r="280" ht="15.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row>
    <row r="281" ht="15.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row>
    <row r="282" ht="15.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row>
    <row r="283" ht="15.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row>
    <row r="284" ht="15.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row>
    <row r="285" ht="15.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row>
    <row r="286" ht="15.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row>
    <row r="287" ht="15.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row>
    <row r="288" ht="15.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row>
    <row r="289" ht="15.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row>
    <row r="290" ht="15.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row>
    <row r="291" ht="15.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row>
    <row r="292" ht="15.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row>
    <row r="293" ht="15.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row>
    <row r="294" ht="15.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row>
    <row r="295" ht="15.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row>
    <row r="296" ht="15.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row>
    <row r="297" ht="15.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row>
    <row r="298" ht="15.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row>
    <row r="299" ht="15.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row>
    <row r="300" ht="15.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row>
    <row r="301" ht="15.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row>
    <row r="302" ht="15.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row>
    <row r="303" ht="15.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row>
    <row r="304" ht="15.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row>
    <row r="305" ht="15.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row>
    <row r="306" ht="15.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row>
    <row r="307" ht="15.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row>
    <row r="308" ht="15.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row>
    <row r="309" ht="15.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row>
    <row r="310" ht="15.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row>
    <row r="311" ht="15.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row>
    <row r="312" ht="15.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row>
    <row r="313" ht="15.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row>
    <row r="314" ht="15.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row>
    <row r="315" ht="15.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row>
    <row r="316" ht="15.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row>
    <row r="317" ht="15.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row>
    <row r="318" ht="15.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row>
    <row r="319" ht="15.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row>
    <row r="320" ht="15.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row>
    <row r="321" ht="15.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row>
    <row r="322" ht="15.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row>
    <row r="323" ht="15.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row>
    <row r="324" ht="15.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row>
    <row r="325" ht="15.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row>
    <row r="326" ht="15.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row>
    <row r="327" ht="15.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row>
    <row r="328" ht="15.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row>
    <row r="329" ht="15.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c r="BU820" s="61"/>
      <c r="BV820" s="61"/>
      <c r="BW820" s="61"/>
      <c r="BX820" s="61"/>
      <c r="BY820" s="61"/>
      <c r="BZ820" s="61"/>
      <c r="CA820" s="61"/>
      <c r="CB820" s="61"/>
      <c r="CC820" s="61"/>
      <c r="CD820" s="61"/>
      <c r="CE820" s="61"/>
      <c r="CF820" s="61"/>
      <c r="CG820" s="61"/>
      <c r="CH820" s="61"/>
      <c r="CI820" s="61"/>
      <c r="CJ820" s="61"/>
      <c r="CK820" s="61"/>
      <c r="CL820" s="61"/>
      <c r="CM820" s="61"/>
      <c r="CN820" s="61"/>
      <c r="CO820" s="61"/>
      <c r="CP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c r="BU821" s="61"/>
      <c r="BV821" s="61"/>
      <c r="BW821" s="61"/>
      <c r="BX821" s="61"/>
      <c r="BY821" s="61"/>
      <c r="BZ821" s="61"/>
      <c r="CA821" s="61"/>
      <c r="CB821" s="61"/>
      <c r="CC821" s="61"/>
      <c r="CD821" s="61"/>
      <c r="CE821" s="61"/>
      <c r="CF821" s="61"/>
      <c r="CG821" s="61"/>
      <c r="CH821" s="61"/>
      <c r="CI821" s="61"/>
      <c r="CJ821" s="61"/>
      <c r="CK821" s="61"/>
      <c r="CL821" s="61"/>
      <c r="CM821" s="61"/>
      <c r="CN821" s="61"/>
      <c r="CO821" s="61"/>
      <c r="CP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c r="BU822" s="61"/>
      <c r="BV822" s="61"/>
      <c r="BW822" s="61"/>
      <c r="BX822" s="61"/>
      <c r="BY822" s="61"/>
      <c r="BZ822" s="61"/>
      <c r="CA822" s="61"/>
      <c r="CB822" s="61"/>
      <c r="CC822" s="61"/>
      <c r="CD822" s="61"/>
      <c r="CE822" s="61"/>
      <c r="CF822" s="61"/>
      <c r="CG822" s="61"/>
      <c r="CH822" s="61"/>
      <c r="CI822" s="61"/>
      <c r="CJ822" s="61"/>
      <c r="CK822" s="61"/>
      <c r="CL822" s="61"/>
      <c r="CM822" s="61"/>
      <c r="CN822" s="61"/>
      <c r="CO822" s="61"/>
      <c r="CP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c r="BU823" s="61"/>
      <c r="BV823" s="61"/>
      <c r="BW823" s="61"/>
      <c r="BX823" s="61"/>
      <c r="BY823" s="61"/>
      <c r="BZ823" s="61"/>
      <c r="CA823" s="61"/>
      <c r="CB823" s="61"/>
      <c r="CC823" s="61"/>
      <c r="CD823" s="61"/>
      <c r="CE823" s="61"/>
      <c r="CF823" s="61"/>
      <c r="CG823" s="61"/>
      <c r="CH823" s="61"/>
      <c r="CI823" s="61"/>
      <c r="CJ823" s="61"/>
      <c r="CK823" s="61"/>
      <c r="CL823" s="61"/>
      <c r="CM823" s="61"/>
      <c r="CN823" s="61"/>
      <c r="CO823" s="61"/>
      <c r="CP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c r="BU824" s="61"/>
      <c r="BV824" s="61"/>
      <c r="BW824" s="61"/>
      <c r="BX824" s="61"/>
      <c r="BY824" s="61"/>
      <c r="BZ824" s="61"/>
      <c r="CA824" s="61"/>
      <c r="CB824" s="61"/>
      <c r="CC824" s="61"/>
      <c r="CD824" s="61"/>
      <c r="CE824" s="61"/>
      <c r="CF824" s="61"/>
      <c r="CG824" s="61"/>
      <c r="CH824" s="61"/>
      <c r="CI824" s="61"/>
      <c r="CJ824" s="61"/>
      <c r="CK824" s="61"/>
      <c r="CL824" s="61"/>
      <c r="CM824" s="61"/>
      <c r="CN824" s="61"/>
      <c r="CO824" s="61"/>
      <c r="CP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c r="BU825" s="61"/>
      <c r="BV825" s="61"/>
      <c r="BW825" s="61"/>
      <c r="BX825" s="61"/>
      <c r="BY825" s="61"/>
      <c r="BZ825" s="61"/>
      <c r="CA825" s="61"/>
      <c r="CB825" s="61"/>
      <c r="CC825" s="61"/>
      <c r="CD825" s="61"/>
      <c r="CE825" s="61"/>
      <c r="CF825" s="61"/>
      <c r="CG825" s="61"/>
      <c r="CH825" s="61"/>
      <c r="CI825" s="61"/>
      <c r="CJ825" s="61"/>
      <c r="CK825" s="61"/>
      <c r="CL825" s="61"/>
      <c r="CM825" s="61"/>
      <c r="CN825" s="61"/>
      <c r="CO825" s="61"/>
      <c r="CP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c r="BU826" s="61"/>
      <c r="BV826" s="61"/>
      <c r="BW826" s="61"/>
      <c r="BX826" s="61"/>
      <c r="BY826" s="61"/>
      <c r="BZ826" s="61"/>
      <c r="CA826" s="61"/>
      <c r="CB826" s="61"/>
      <c r="CC826" s="61"/>
      <c r="CD826" s="61"/>
      <c r="CE826" s="61"/>
      <c r="CF826" s="61"/>
      <c r="CG826" s="61"/>
      <c r="CH826" s="61"/>
      <c r="CI826" s="61"/>
      <c r="CJ826" s="61"/>
      <c r="CK826" s="61"/>
      <c r="CL826" s="61"/>
      <c r="CM826" s="61"/>
      <c r="CN826" s="61"/>
      <c r="CO826" s="61"/>
      <c r="CP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1"/>
      <c r="BX827" s="61"/>
      <c r="BY827" s="61"/>
      <c r="BZ827" s="61"/>
      <c r="CA827" s="61"/>
      <c r="CB827" s="61"/>
      <c r="CC827" s="61"/>
      <c r="CD827" s="61"/>
      <c r="CE827" s="61"/>
      <c r="CF827" s="61"/>
      <c r="CG827" s="61"/>
      <c r="CH827" s="61"/>
      <c r="CI827" s="61"/>
      <c r="CJ827" s="61"/>
      <c r="CK827" s="61"/>
      <c r="CL827" s="61"/>
      <c r="CM827" s="61"/>
      <c r="CN827" s="61"/>
      <c r="CO827" s="61"/>
      <c r="CP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c r="BU828" s="61"/>
      <c r="BV828" s="61"/>
      <c r="BW828" s="61"/>
      <c r="BX828" s="61"/>
      <c r="BY828" s="61"/>
      <c r="BZ828" s="61"/>
      <c r="CA828" s="61"/>
      <c r="CB828" s="61"/>
      <c r="CC828" s="61"/>
      <c r="CD828" s="61"/>
      <c r="CE828" s="61"/>
      <c r="CF828" s="61"/>
      <c r="CG828" s="61"/>
      <c r="CH828" s="61"/>
      <c r="CI828" s="61"/>
      <c r="CJ828" s="61"/>
      <c r="CK828" s="61"/>
      <c r="CL828" s="61"/>
      <c r="CM828" s="61"/>
      <c r="CN828" s="61"/>
      <c r="CO828" s="61"/>
      <c r="CP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c r="BU829" s="61"/>
      <c r="BV829" s="61"/>
      <c r="BW829" s="61"/>
      <c r="BX829" s="61"/>
      <c r="BY829" s="61"/>
      <c r="BZ829" s="61"/>
      <c r="CA829" s="61"/>
      <c r="CB829" s="61"/>
      <c r="CC829" s="61"/>
      <c r="CD829" s="61"/>
      <c r="CE829" s="61"/>
      <c r="CF829" s="61"/>
      <c r="CG829" s="61"/>
      <c r="CH829" s="61"/>
      <c r="CI829" s="61"/>
      <c r="CJ829" s="61"/>
      <c r="CK829" s="61"/>
      <c r="CL829" s="61"/>
      <c r="CM829" s="61"/>
      <c r="CN829" s="61"/>
      <c r="CO829" s="61"/>
      <c r="CP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c r="BU830" s="61"/>
      <c r="BV830" s="61"/>
      <c r="BW830" s="61"/>
      <c r="BX830" s="61"/>
      <c r="BY830" s="61"/>
      <c r="BZ830" s="61"/>
      <c r="CA830" s="61"/>
      <c r="CB830" s="61"/>
      <c r="CC830" s="61"/>
      <c r="CD830" s="61"/>
      <c r="CE830" s="61"/>
      <c r="CF830" s="61"/>
      <c r="CG830" s="61"/>
      <c r="CH830" s="61"/>
      <c r="CI830" s="61"/>
      <c r="CJ830" s="61"/>
      <c r="CK830" s="61"/>
      <c r="CL830" s="61"/>
      <c r="CM830" s="61"/>
      <c r="CN830" s="61"/>
      <c r="CO830" s="61"/>
      <c r="CP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c r="BU831" s="61"/>
      <c r="BV831" s="61"/>
      <c r="BW831" s="61"/>
      <c r="BX831" s="61"/>
      <c r="BY831" s="61"/>
      <c r="BZ831" s="61"/>
      <c r="CA831" s="61"/>
      <c r="CB831" s="61"/>
      <c r="CC831" s="61"/>
      <c r="CD831" s="61"/>
      <c r="CE831" s="61"/>
      <c r="CF831" s="61"/>
      <c r="CG831" s="61"/>
      <c r="CH831" s="61"/>
      <c r="CI831" s="61"/>
      <c r="CJ831" s="61"/>
      <c r="CK831" s="61"/>
      <c r="CL831" s="61"/>
      <c r="CM831" s="61"/>
      <c r="CN831" s="61"/>
      <c r="CO831" s="61"/>
      <c r="CP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c r="BU832" s="61"/>
      <c r="BV832" s="61"/>
      <c r="BW832" s="61"/>
      <c r="BX832" s="61"/>
      <c r="BY832" s="61"/>
      <c r="BZ832" s="61"/>
      <c r="CA832" s="61"/>
      <c r="CB832" s="61"/>
      <c r="CC832" s="61"/>
      <c r="CD832" s="61"/>
      <c r="CE832" s="61"/>
      <c r="CF832" s="61"/>
      <c r="CG832" s="61"/>
      <c r="CH832" s="61"/>
      <c r="CI832" s="61"/>
      <c r="CJ832" s="61"/>
      <c r="CK832" s="61"/>
      <c r="CL832" s="61"/>
      <c r="CM832" s="61"/>
      <c r="CN832" s="61"/>
      <c r="CO832" s="61"/>
      <c r="CP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c r="BU833" s="61"/>
      <c r="BV833" s="61"/>
      <c r="BW833" s="61"/>
      <c r="BX833" s="61"/>
      <c r="BY833" s="61"/>
      <c r="BZ833" s="61"/>
      <c r="CA833" s="61"/>
      <c r="CB833" s="61"/>
      <c r="CC833" s="61"/>
      <c r="CD833" s="61"/>
      <c r="CE833" s="61"/>
      <c r="CF833" s="61"/>
      <c r="CG833" s="61"/>
      <c r="CH833" s="61"/>
      <c r="CI833" s="61"/>
      <c r="CJ833" s="61"/>
      <c r="CK833" s="61"/>
      <c r="CL833" s="61"/>
      <c r="CM833" s="61"/>
      <c r="CN833" s="61"/>
      <c r="CO833" s="61"/>
      <c r="CP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c r="BU834" s="61"/>
      <c r="BV834" s="61"/>
      <c r="BW834" s="61"/>
      <c r="BX834" s="61"/>
      <c r="BY834" s="61"/>
      <c r="BZ834" s="61"/>
      <c r="CA834" s="61"/>
      <c r="CB834" s="61"/>
      <c r="CC834" s="61"/>
      <c r="CD834" s="61"/>
      <c r="CE834" s="61"/>
      <c r="CF834" s="61"/>
      <c r="CG834" s="61"/>
      <c r="CH834" s="61"/>
      <c r="CI834" s="61"/>
      <c r="CJ834" s="61"/>
      <c r="CK834" s="61"/>
      <c r="CL834" s="61"/>
      <c r="CM834" s="61"/>
      <c r="CN834" s="61"/>
      <c r="CO834" s="61"/>
      <c r="CP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c r="BU835" s="61"/>
      <c r="BV835" s="61"/>
      <c r="BW835" s="61"/>
      <c r="BX835" s="61"/>
      <c r="BY835" s="61"/>
      <c r="BZ835" s="61"/>
      <c r="CA835" s="61"/>
      <c r="CB835" s="61"/>
      <c r="CC835" s="61"/>
      <c r="CD835" s="61"/>
      <c r="CE835" s="61"/>
      <c r="CF835" s="61"/>
      <c r="CG835" s="61"/>
      <c r="CH835" s="61"/>
      <c r="CI835" s="61"/>
      <c r="CJ835" s="61"/>
      <c r="CK835" s="61"/>
      <c r="CL835" s="61"/>
      <c r="CM835" s="61"/>
      <c r="CN835" s="61"/>
      <c r="CO835" s="61"/>
      <c r="CP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c r="BU836" s="61"/>
      <c r="BV836" s="61"/>
      <c r="BW836" s="61"/>
      <c r="BX836" s="61"/>
      <c r="BY836" s="61"/>
      <c r="BZ836" s="61"/>
      <c r="CA836" s="61"/>
      <c r="CB836" s="61"/>
      <c r="CC836" s="61"/>
      <c r="CD836" s="61"/>
      <c r="CE836" s="61"/>
      <c r="CF836" s="61"/>
      <c r="CG836" s="61"/>
      <c r="CH836" s="61"/>
      <c r="CI836" s="61"/>
      <c r="CJ836" s="61"/>
      <c r="CK836" s="61"/>
      <c r="CL836" s="61"/>
      <c r="CM836" s="61"/>
      <c r="CN836" s="61"/>
      <c r="CO836" s="61"/>
      <c r="CP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c r="BU837" s="61"/>
      <c r="BV837" s="61"/>
      <c r="BW837" s="61"/>
      <c r="BX837" s="61"/>
      <c r="BY837" s="61"/>
      <c r="BZ837" s="61"/>
      <c r="CA837" s="61"/>
      <c r="CB837" s="61"/>
      <c r="CC837" s="61"/>
      <c r="CD837" s="61"/>
      <c r="CE837" s="61"/>
      <c r="CF837" s="61"/>
      <c r="CG837" s="61"/>
      <c r="CH837" s="61"/>
      <c r="CI837" s="61"/>
      <c r="CJ837" s="61"/>
      <c r="CK837" s="61"/>
      <c r="CL837" s="61"/>
      <c r="CM837" s="61"/>
      <c r="CN837" s="61"/>
      <c r="CO837" s="61"/>
      <c r="CP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c r="BU838" s="61"/>
      <c r="BV838" s="61"/>
      <c r="BW838" s="61"/>
      <c r="BX838" s="61"/>
      <c r="BY838" s="61"/>
      <c r="BZ838" s="61"/>
      <c r="CA838" s="61"/>
      <c r="CB838" s="61"/>
      <c r="CC838" s="61"/>
      <c r="CD838" s="61"/>
      <c r="CE838" s="61"/>
      <c r="CF838" s="61"/>
      <c r="CG838" s="61"/>
      <c r="CH838" s="61"/>
      <c r="CI838" s="61"/>
      <c r="CJ838" s="61"/>
      <c r="CK838" s="61"/>
      <c r="CL838" s="61"/>
      <c r="CM838" s="61"/>
      <c r="CN838" s="61"/>
      <c r="CO838" s="61"/>
      <c r="CP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c r="BU839" s="61"/>
      <c r="BV839" s="61"/>
      <c r="BW839" s="61"/>
      <c r="BX839" s="61"/>
      <c r="BY839" s="61"/>
      <c r="BZ839" s="61"/>
      <c r="CA839" s="61"/>
      <c r="CB839" s="61"/>
      <c r="CC839" s="61"/>
      <c r="CD839" s="61"/>
      <c r="CE839" s="61"/>
      <c r="CF839" s="61"/>
      <c r="CG839" s="61"/>
      <c r="CH839" s="61"/>
      <c r="CI839" s="61"/>
      <c r="CJ839" s="61"/>
      <c r="CK839" s="61"/>
      <c r="CL839" s="61"/>
      <c r="CM839" s="61"/>
      <c r="CN839" s="61"/>
      <c r="CO839" s="61"/>
      <c r="CP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c r="BU840" s="61"/>
      <c r="BV840" s="61"/>
      <c r="BW840" s="61"/>
      <c r="BX840" s="61"/>
      <c r="BY840" s="61"/>
      <c r="BZ840" s="61"/>
      <c r="CA840" s="61"/>
      <c r="CB840" s="61"/>
      <c r="CC840" s="61"/>
      <c r="CD840" s="61"/>
      <c r="CE840" s="61"/>
      <c r="CF840" s="61"/>
      <c r="CG840" s="61"/>
      <c r="CH840" s="61"/>
      <c r="CI840" s="61"/>
      <c r="CJ840" s="61"/>
      <c r="CK840" s="61"/>
      <c r="CL840" s="61"/>
      <c r="CM840" s="61"/>
      <c r="CN840" s="61"/>
      <c r="CO840" s="61"/>
      <c r="CP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c r="BU841" s="61"/>
      <c r="BV841" s="61"/>
      <c r="BW841" s="61"/>
      <c r="BX841" s="61"/>
      <c r="BY841" s="61"/>
      <c r="BZ841" s="61"/>
      <c r="CA841" s="61"/>
      <c r="CB841" s="61"/>
      <c r="CC841" s="61"/>
      <c r="CD841" s="61"/>
      <c r="CE841" s="61"/>
      <c r="CF841" s="61"/>
      <c r="CG841" s="61"/>
      <c r="CH841" s="61"/>
      <c r="CI841" s="61"/>
      <c r="CJ841" s="61"/>
      <c r="CK841" s="61"/>
      <c r="CL841" s="61"/>
      <c r="CM841" s="61"/>
      <c r="CN841" s="61"/>
      <c r="CO841" s="61"/>
      <c r="CP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c r="BU842" s="61"/>
      <c r="BV842" s="61"/>
      <c r="BW842" s="61"/>
      <c r="BX842" s="61"/>
      <c r="BY842" s="61"/>
      <c r="BZ842" s="61"/>
      <c r="CA842" s="61"/>
      <c r="CB842" s="61"/>
      <c r="CC842" s="61"/>
      <c r="CD842" s="61"/>
      <c r="CE842" s="61"/>
      <c r="CF842" s="61"/>
      <c r="CG842" s="61"/>
      <c r="CH842" s="61"/>
      <c r="CI842" s="61"/>
      <c r="CJ842" s="61"/>
      <c r="CK842" s="61"/>
      <c r="CL842" s="61"/>
      <c r="CM842" s="61"/>
      <c r="CN842" s="61"/>
      <c r="CO842" s="61"/>
      <c r="CP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c r="BU843" s="61"/>
      <c r="BV843" s="61"/>
      <c r="BW843" s="61"/>
      <c r="BX843" s="61"/>
      <c r="BY843" s="61"/>
      <c r="BZ843" s="61"/>
      <c r="CA843" s="61"/>
      <c r="CB843" s="61"/>
      <c r="CC843" s="61"/>
      <c r="CD843" s="61"/>
      <c r="CE843" s="61"/>
      <c r="CF843" s="61"/>
      <c r="CG843" s="61"/>
      <c r="CH843" s="61"/>
      <c r="CI843" s="61"/>
      <c r="CJ843" s="61"/>
      <c r="CK843" s="61"/>
      <c r="CL843" s="61"/>
      <c r="CM843" s="61"/>
      <c r="CN843" s="61"/>
      <c r="CO843" s="61"/>
      <c r="CP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c r="BU844" s="61"/>
      <c r="BV844" s="61"/>
      <c r="BW844" s="61"/>
      <c r="BX844" s="61"/>
      <c r="BY844" s="61"/>
      <c r="BZ844" s="61"/>
      <c r="CA844" s="61"/>
      <c r="CB844" s="61"/>
      <c r="CC844" s="61"/>
      <c r="CD844" s="61"/>
      <c r="CE844" s="61"/>
      <c r="CF844" s="61"/>
      <c r="CG844" s="61"/>
      <c r="CH844" s="61"/>
      <c r="CI844" s="61"/>
      <c r="CJ844" s="61"/>
      <c r="CK844" s="61"/>
      <c r="CL844" s="61"/>
      <c r="CM844" s="61"/>
      <c r="CN844" s="61"/>
      <c r="CO844" s="61"/>
      <c r="CP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c r="BU845" s="61"/>
      <c r="BV845" s="61"/>
      <c r="BW845" s="61"/>
      <c r="BX845" s="61"/>
      <c r="BY845" s="61"/>
      <c r="BZ845" s="61"/>
      <c r="CA845" s="61"/>
      <c r="CB845" s="61"/>
      <c r="CC845" s="61"/>
      <c r="CD845" s="61"/>
      <c r="CE845" s="61"/>
      <c r="CF845" s="61"/>
      <c r="CG845" s="61"/>
      <c r="CH845" s="61"/>
      <c r="CI845" s="61"/>
      <c r="CJ845" s="61"/>
      <c r="CK845" s="61"/>
      <c r="CL845" s="61"/>
      <c r="CM845" s="61"/>
      <c r="CN845" s="61"/>
      <c r="CO845" s="61"/>
      <c r="CP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c r="BU846" s="61"/>
      <c r="BV846" s="61"/>
      <c r="BW846" s="61"/>
      <c r="BX846" s="61"/>
      <c r="BY846" s="61"/>
      <c r="BZ846" s="61"/>
      <c r="CA846" s="61"/>
      <c r="CB846" s="61"/>
      <c r="CC846" s="61"/>
      <c r="CD846" s="61"/>
      <c r="CE846" s="61"/>
      <c r="CF846" s="61"/>
      <c r="CG846" s="61"/>
      <c r="CH846" s="61"/>
      <c r="CI846" s="61"/>
      <c r="CJ846" s="61"/>
      <c r="CK846" s="61"/>
      <c r="CL846" s="61"/>
      <c r="CM846" s="61"/>
      <c r="CN846" s="61"/>
      <c r="CO846" s="61"/>
      <c r="CP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c r="BU847" s="61"/>
      <c r="BV847" s="61"/>
      <c r="BW847" s="61"/>
      <c r="BX847" s="61"/>
      <c r="BY847" s="61"/>
      <c r="BZ847" s="61"/>
      <c r="CA847" s="61"/>
      <c r="CB847" s="61"/>
      <c r="CC847" s="61"/>
      <c r="CD847" s="61"/>
      <c r="CE847" s="61"/>
      <c r="CF847" s="61"/>
      <c r="CG847" s="61"/>
      <c r="CH847" s="61"/>
      <c r="CI847" s="61"/>
      <c r="CJ847" s="61"/>
      <c r="CK847" s="61"/>
      <c r="CL847" s="61"/>
      <c r="CM847" s="61"/>
      <c r="CN847" s="61"/>
      <c r="CO847" s="61"/>
      <c r="CP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c r="BU848" s="61"/>
      <c r="BV848" s="61"/>
      <c r="BW848" s="61"/>
      <c r="BX848" s="61"/>
      <c r="BY848" s="61"/>
      <c r="BZ848" s="61"/>
      <c r="CA848" s="61"/>
      <c r="CB848" s="61"/>
      <c r="CC848" s="61"/>
      <c r="CD848" s="61"/>
      <c r="CE848" s="61"/>
      <c r="CF848" s="61"/>
      <c r="CG848" s="61"/>
      <c r="CH848" s="61"/>
      <c r="CI848" s="61"/>
      <c r="CJ848" s="61"/>
      <c r="CK848" s="61"/>
      <c r="CL848" s="61"/>
      <c r="CM848" s="61"/>
      <c r="CN848" s="61"/>
      <c r="CO848" s="61"/>
      <c r="CP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c r="BU849" s="61"/>
      <c r="BV849" s="61"/>
      <c r="BW849" s="61"/>
      <c r="BX849" s="61"/>
      <c r="BY849" s="61"/>
      <c r="BZ849" s="61"/>
      <c r="CA849" s="61"/>
      <c r="CB849" s="61"/>
      <c r="CC849" s="61"/>
      <c r="CD849" s="61"/>
      <c r="CE849" s="61"/>
      <c r="CF849" s="61"/>
      <c r="CG849" s="61"/>
      <c r="CH849" s="61"/>
      <c r="CI849" s="61"/>
      <c r="CJ849" s="61"/>
      <c r="CK849" s="61"/>
      <c r="CL849" s="61"/>
      <c r="CM849" s="61"/>
      <c r="CN849" s="61"/>
      <c r="CO849" s="61"/>
      <c r="CP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c r="BU850" s="61"/>
      <c r="BV850" s="61"/>
      <c r="BW850" s="61"/>
      <c r="BX850" s="61"/>
      <c r="BY850" s="61"/>
      <c r="BZ850" s="61"/>
      <c r="CA850" s="61"/>
      <c r="CB850" s="61"/>
      <c r="CC850" s="61"/>
      <c r="CD850" s="61"/>
      <c r="CE850" s="61"/>
      <c r="CF850" s="61"/>
      <c r="CG850" s="61"/>
      <c r="CH850" s="61"/>
      <c r="CI850" s="61"/>
      <c r="CJ850" s="61"/>
      <c r="CK850" s="61"/>
      <c r="CL850" s="61"/>
      <c r="CM850" s="61"/>
      <c r="CN850" s="61"/>
      <c r="CO850" s="61"/>
      <c r="CP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c r="BU851" s="61"/>
      <c r="BV851" s="61"/>
      <c r="BW851" s="61"/>
      <c r="BX851" s="61"/>
      <c r="BY851" s="61"/>
      <c r="BZ851" s="61"/>
      <c r="CA851" s="61"/>
      <c r="CB851" s="61"/>
      <c r="CC851" s="61"/>
      <c r="CD851" s="61"/>
      <c r="CE851" s="61"/>
      <c r="CF851" s="61"/>
      <c r="CG851" s="61"/>
      <c r="CH851" s="61"/>
      <c r="CI851" s="61"/>
      <c r="CJ851" s="61"/>
      <c r="CK851" s="61"/>
      <c r="CL851" s="61"/>
      <c r="CM851" s="61"/>
      <c r="CN851" s="61"/>
      <c r="CO851" s="61"/>
      <c r="CP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c r="BU852" s="61"/>
      <c r="BV852" s="61"/>
      <c r="BW852" s="61"/>
      <c r="BX852" s="61"/>
      <c r="BY852" s="61"/>
      <c r="BZ852" s="61"/>
      <c r="CA852" s="61"/>
      <c r="CB852" s="61"/>
      <c r="CC852" s="61"/>
      <c r="CD852" s="61"/>
      <c r="CE852" s="61"/>
      <c r="CF852" s="61"/>
      <c r="CG852" s="61"/>
      <c r="CH852" s="61"/>
      <c r="CI852" s="61"/>
      <c r="CJ852" s="61"/>
      <c r="CK852" s="61"/>
      <c r="CL852" s="61"/>
      <c r="CM852" s="61"/>
      <c r="CN852" s="61"/>
      <c r="CO852" s="61"/>
      <c r="CP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c r="BU853" s="61"/>
      <c r="BV853" s="61"/>
      <c r="BW853" s="61"/>
      <c r="BX853" s="61"/>
      <c r="BY853" s="61"/>
      <c r="BZ853" s="61"/>
      <c r="CA853" s="61"/>
      <c r="CB853" s="61"/>
      <c r="CC853" s="61"/>
      <c r="CD853" s="61"/>
      <c r="CE853" s="61"/>
      <c r="CF853" s="61"/>
      <c r="CG853" s="61"/>
      <c r="CH853" s="61"/>
      <c r="CI853" s="61"/>
      <c r="CJ853" s="61"/>
      <c r="CK853" s="61"/>
      <c r="CL853" s="61"/>
      <c r="CM853" s="61"/>
      <c r="CN853" s="61"/>
      <c r="CO853" s="61"/>
      <c r="CP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1"/>
      <c r="BZ854" s="61"/>
      <c r="CA854" s="61"/>
      <c r="CB854" s="61"/>
      <c r="CC854" s="61"/>
      <c r="CD854" s="61"/>
      <c r="CE854" s="61"/>
      <c r="CF854" s="61"/>
      <c r="CG854" s="61"/>
      <c r="CH854" s="61"/>
      <c r="CI854" s="61"/>
      <c r="CJ854" s="61"/>
      <c r="CK854" s="61"/>
      <c r="CL854" s="61"/>
      <c r="CM854" s="61"/>
      <c r="CN854" s="61"/>
      <c r="CO854" s="61"/>
      <c r="CP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1"/>
      <c r="BZ855" s="61"/>
      <c r="CA855" s="61"/>
      <c r="CB855" s="61"/>
      <c r="CC855" s="61"/>
      <c r="CD855" s="61"/>
      <c r="CE855" s="61"/>
      <c r="CF855" s="61"/>
      <c r="CG855" s="61"/>
      <c r="CH855" s="61"/>
      <c r="CI855" s="61"/>
      <c r="CJ855" s="61"/>
      <c r="CK855" s="61"/>
      <c r="CL855" s="61"/>
      <c r="CM855" s="61"/>
      <c r="CN855" s="61"/>
      <c r="CO855" s="61"/>
      <c r="CP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1"/>
      <c r="BZ856" s="61"/>
      <c r="CA856" s="61"/>
      <c r="CB856" s="61"/>
      <c r="CC856" s="61"/>
      <c r="CD856" s="61"/>
      <c r="CE856" s="61"/>
      <c r="CF856" s="61"/>
      <c r="CG856" s="61"/>
      <c r="CH856" s="61"/>
      <c r="CI856" s="61"/>
      <c r="CJ856" s="61"/>
      <c r="CK856" s="61"/>
      <c r="CL856" s="61"/>
      <c r="CM856" s="61"/>
      <c r="CN856" s="61"/>
      <c r="CO856" s="61"/>
      <c r="CP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c r="BU857" s="61"/>
      <c r="BV857" s="61"/>
      <c r="BW857" s="61"/>
      <c r="BX857" s="61"/>
      <c r="BY857" s="61"/>
      <c r="BZ857" s="61"/>
      <c r="CA857" s="61"/>
      <c r="CB857" s="61"/>
      <c r="CC857" s="61"/>
      <c r="CD857" s="61"/>
      <c r="CE857" s="61"/>
      <c r="CF857" s="61"/>
      <c r="CG857" s="61"/>
      <c r="CH857" s="61"/>
      <c r="CI857" s="61"/>
      <c r="CJ857" s="61"/>
      <c r="CK857" s="61"/>
      <c r="CL857" s="61"/>
      <c r="CM857" s="61"/>
      <c r="CN857" s="61"/>
      <c r="CO857" s="61"/>
      <c r="CP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c r="BU858" s="61"/>
      <c r="BV858" s="61"/>
      <c r="BW858" s="61"/>
      <c r="BX858" s="61"/>
      <c r="BY858" s="61"/>
      <c r="BZ858" s="61"/>
      <c r="CA858" s="61"/>
      <c r="CB858" s="61"/>
      <c r="CC858" s="61"/>
      <c r="CD858" s="61"/>
      <c r="CE858" s="61"/>
      <c r="CF858" s="61"/>
      <c r="CG858" s="61"/>
      <c r="CH858" s="61"/>
      <c r="CI858" s="61"/>
      <c r="CJ858" s="61"/>
      <c r="CK858" s="61"/>
      <c r="CL858" s="61"/>
      <c r="CM858" s="61"/>
      <c r="CN858" s="61"/>
      <c r="CO858" s="61"/>
      <c r="CP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c r="BU859" s="61"/>
      <c r="BV859" s="61"/>
      <c r="BW859" s="61"/>
      <c r="BX859" s="61"/>
      <c r="BY859" s="61"/>
      <c r="BZ859" s="61"/>
      <c r="CA859" s="61"/>
      <c r="CB859" s="61"/>
      <c r="CC859" s="61"/>
      <c r="CD859" s="61"/>
      <c r="CE859" s="61"/>
      <c r="CF859" s="61"/>
      <c r="CG859" s="61"/>
      <c r="CH859" s="61"/>
      <c r="CI859" s="61"/>
      <c r="CJ859" s="61"/>
      <c r="CK859" s="61"/>
      <c r="CL859" s="61"/>
      <c r="CM859" s="61"/>
      <c r="CN859" s="61"/>
      <c r="CO859" s="61"/>
      <c r="CP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c r="BU860" s="61"/>
      <c r="BV860" s="61"/>
      <c r="BW860" s="61"/>
      <c r="BX860" s="61"/>
      <c r="BY860" s="61"/>
      <c r="BZ860" s="61"/>
      <c r="CA860" s="61"/>
      <c r="CB860" s="61"/>
      <c r="CC860" s="61"/>
      <c r="CD860" s="61"/>
      <c r="CE860" s="61"/>
      <c r="CF860" s="61"/>
      <c r="CG860" s="61"/>
      <c r="CH860" s="61"/>
      <c r="CI860" s="61"/>
      <c r="CJ860" s="61"/>
      <c r="CK860" s="61"/>
      <c r="CL860" s="61"/>
      <c r="CM860" s="61"/>
      <c r="CN860" s="61"/>
      <c r="CO860" s="61"/>
      <c r="CP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c r="BU861" s="61"/>
      <c r="BV861" s="61"/>
      <c r="BW861" s="61"/>
      <c r="BX861" s="61"/>
      <c r="BY861" s="61"/>
      <c r="BZ861" s="61"/>
      <c r="CA861" s="61"/>
      <c r="CB861" s="61"/>
      <c r="CC861" s="61"/>
      <c r="CD861" s="61"/>
      <c r="CE861" s="61"/>
      <c r="CF861" s="61"/>
      <c r="CG861" s="61"/>
      <c r="CH861" s="61"/>
      <c r="CI861" s="61"/>
      <c r="CJ861" s="61"/>
      <c r="CK861" s="61"/>
      <c r="CL861" s="61"/>
      <c r="CM861" s="61"/>
      <c r="CN861" s="61"/>
      <c r="CO861" s="61"/>
      <c r="CP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c r="BU862" s="61"/>
      <c r="BV862" s="61"/>
      <c r="BW862" s="61"/>
      <c r="BX862" s="61"/>
      <c r="BY862" s="61"/>
      <c r="BZ862" s="61"/>
      <c r="CA862" s="61"/>
      <c r="CB862" s="61"/>
      <c r="CC862" s="61"/>
      <c r="CD862" s="61"/>
      <c r="CE862" s="61"/>
      <c r="CF862" s="61"/>
      <c r="CG862" s="61"/>
      <c r="CH862" s="61"/>
      <c r="CI862" s="61"/>
      <c r="CJ862" s="61"/>
      <c r="CK862" s="61"/>
      <c r="CL862" s="61"/>
      <c r="CM862" s="61"/>
      <c r="CN862" s="61"/>
      <c r="CO862" s="61"/>
      <c r="CP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c r="BU863" s="61"/>
      <c r="BV863" s="61"/>
      <c r="BW863" s="61"/>
      <c r="BX863" s="61"/>
      <c r="BY863" s="61"/>
      <c r="BZ863" s="61"/>
      <c r="CA863" s="61"/>
      <c r="CB863" s="61"/>
      <c r="CC863" s="61"/>
      <c r="CD863" s="61"/>
      <c r="CE863" s="61"/>
      <c r="CF863" s="61"/>
      <c r="CG863" s="61"/>
      <c r="CH863" s="61"/>
      <c r="CI863" s="61"/>
      <c r="CJ863" s="61"/>
      <c r="CK863" s="61"/>
      <c r="CL863" s="61"/>
      <c r="CM863" s="61"/>
      <c r="CN863" s="61"/>
      <c r="CO863" s="61"/>
      <c r="CP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c r="BU864" s="61"/>
      <c r="BV864" s="61"/>
      <c r="BW864" s="61"/>
      <c r="BX864" s="61"/>
      <c r="BY864" s="61"/>
      <c r="BZ864" s="61"/>
      <c r="CA864" s="61"/>
      <c r="CB864" s="61"/>
      <c r="CC864" s="61"/>
      <c r="CD864" s="61"/>
      <c r="CE864" s="61"/>
      <c r="CF864" s="61"/>
      <c r="CG864" s="61"/>
      <c r="CH864" s="61"/>
      <c r="CI864" s="61"/>
      <c r="CJ864" s="61"/>
      <c r="CK864" s="61"/>
      <c r="CL864" s="61"/>
      <c r="CM864" s="61"/>
      <c r="CN864" s="61"/>
      <c r="CO864" s="61"/>
      <c r="CP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c r="BU865" s="61"/>
      <c r="BV865" s="61"/>
      <c r="BW865" s="61"/>
      <c r="BX865" s="61"/>
      <c r="BY865" s="61"/>
      <c r="BZ865" s="61"/>
      <c r="CA865" s="61"/>
      <c r="CB865" s="61"/>
      <c r="CC865" s="61"/>
      <c r="CD865" s="61"/>
      <c r="CE865" s="61"/>
      <c r="CF865" s="61"/>
      <c r="CG865" s="61"/>
      <c r="CH865" s="61"/>
      <c r="CI865" s="61"/>
      <c r="CJ865" s="61"/>
      <c r="CK865" s="61"/>
      <c r="CL865" s="61"/>
      <c r="CM865" s="61"/>
      <c r="CN865" s="61"/>
      <c r="CO865" s="61"/>
      <c r="CP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c r="BU866" s="61"/>
      <c r="BV866" s="61"/>
      <c r="BW866" s="61"/>
      <c r="BX866" s="61"/>
      <c r="BY866" s="61"/>
      <c r="BZ866" s="61"/>
      <c r="CA866" s="61"/>
      <c r="CB866" s="61"/>
      <c r="CC866" s="61"/>
      <c r="CD866" s="61"/>
      <c r="CE866" s="61"/>
      <c r="CF866" s="61"/>
      <c r="CG866" s="61"/>
      <c r="CH866" s="61"/>
      <c r="CI866" s="61"/>
      <c r="CJ866" s="61"/>
      <c r="CK866" s="61"/>
      <c r="CL866" s="61"/>
      <c r="CM866" s="61"/>
      <c r="CN866" s="61"/>
      <c r="CO866" s="61"/>
      <c r="CP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c r="BU867" s="61"/>
      <c r="BV867" s="61"/>
      <c r="BW867" s="61"/>
      <c r="BX867" s="61"/>
      <c r="BY867" s="61"/>
      <c r="BZ867" s="61"/>
      <c r="CA867" s="61"/>
      <c r="CB867" s="61"/>
      <c r="CC867" s="61"/>
      <c r="CD867" s="61"/>
      <c r="CE867" s="61"/>
      <c r="CF867" s="61"/>
      <c r="CG867" s="61"/>
      <c r="CH867" s="61"/>
      <c r="CI867" s="61"/>
      <c r="CJ867" s="61"/>
      <c r="CK867" s="61"/>
      <c r="CL867" s="61"/>
      <c r="CM867" s="61"/>
      <c r="CN867" s="61"/>
      <c r="CO867" s="61"/>
      <c r="CP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c r="BU868" s="61"/>
      <c r="BV868" s="61"/>
      <c r="BW868" s="61"/>
      <c r="BX868" s="61"/>
      <c r="BY868" s="61"/>
      <c r="BZ868" s="61"/>
      <c r="CA868" s="61"/>
      <c r="CB868" s="61"/>
      <c r="CC868" s="61"/>
      <c r="CD868" s="61"/>
      <c r="CE868" s="61"/>
      <c r="CF868" s="61"/>
      <c r="CG868" s="61"/>
      <c r="CH868" s="61"/>
      <c r="CI868" s="61"/>
      <c r="CJ868" s="61"/>
      <c r="CK868" s="61"/>
      <c r="CL868" s="61"/>
      <c r="CM868" s="61"/>
      <c r="CN868" s="61"/>
      <c r="CO868" s="61"/>
      <c r="CP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c r="BU869" s="61"/>
      <c r="BV869" s="61"/>
      <c r="BW869" s="61"/>
      <c r="BX869" s="61"/>
      <c r="BY869" s="61"/>
      <c r="BZ869" s="61"/>
      <c r="CA869" s="61"/>
      <c r="CB869" s="61"/>
      <c r="CC869" s="61"/>
      <c r="CD869" s="61"/>
      <c r="CE869" s="61"/>
      <c r="CF869" s="61"/>
      <c r="CG869" s="61"/>
      <c r="CH869" s="61"/>
      <c r="CI869" s="61"/>
      <c r="CJ869" s="61"/>
      <c r="CK869" s="61"/>
      <c r="CL869" s="61"/>
      <c r="CM869" s="61"/>
      <c r="CN869" s="61"/>
      <c r="CO869" s="61"/>
      <c r="CP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c r="BU870" s="61"/>
      <c r="BV870" s="61"/>
      <c r="BW870" s="61"/>
      <c r="BX870" s="61"/>
      <c r="BY870" s="61"/>
      <c r="BZ870" s="61"/>
      <c r="CA870" s="61"/>
      <c r="CB870" s="61"/>
      <c r="CC870" s="61"/>
      <c r="CD870" s="61"/>
      <c r="CE870" s="61"/>
      <c r="CF870" s="61"/>
      <c r="CG870" s="61"/>
      <c r="CH870" s="61"/>
      <c r="CI870" s="61"/>
      <c r="CJ870" s="61"/>
      <c r="CK870" s="61"/>
      <c r="CL870" s="61"/>
      <c r="CM870" s="61"/>
      <c r="CN870" s="61"/>
      <c r="CO870" s="61"/>
      <c r="CP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c r="BU871" s="61"/>
      <c r="BV871" s="61"/>
      <c r="BW871" s="61"/>
      <c r="BX871" s="61"/>
      <c r="BY871" s="61"/>
      <c r="BZ871" s="61"/>
      <c r="CA871" s="61"/>
      <c r="CB871" s="61"/>
      <c r="CC871" s="61"/>
      <c r="CD871" s="61"/>
      <c r="CE871" s="61"/>
      <c r="CF871" s="61"/>
      <c r="CG871" s="61"/>
      <c r="CH871" s="61"/>
      <c r="CI871" s="61"/>
      <c r="CJ871" s="61"/>
      <c r="CK871" s="61"/>
      <c r="CL871" s="61"/>
      <c r="CM871" s="61"/>
      <c r="CN871" s="61"/>
      <c r="CO871" s="61"/>
      <c r="CP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c r="BU872" s="61"/>
      <c r="BV872" s="61"/>
      <c r="BW872" s="61"/>
      <c r="BX872" s="61"/>
      <c r="BY872" s="61"/>
      <c r="BZ872" s="61"/>
      <c r="CA872" s="61"/>
      <c r="CB872" s="61"/>
      <c r="CC872" s="61"/>
      <c r="CD872" s="61"/>
      <c r="CE872" s="61"/>
      <c r="CF872" s="61"/>
      <c r="CG872" s="61"/>
      <c r="CH872" s="61"/>
      <c r="CI872" s="61"/>
      <c r="CJ872" s="61"/>
      <c r="CK872" s="61"/>
      <c r="CL872" s="61"/>
      <c r="CM872" s="61"/>
      <c r="CN872" s="61"/>
      <c r="CO872" s="61"/>
      <c r="CP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c r="BU873" s="61"/>
      <c r="BV873" s="61"/>
      <c r="BW873" s="61"/>
      <c r="BX873" s="61"/>
      <c r="BY873" s="61"/>
      <c r="BZ873" s="61"/>
      <c r="CA873" s="61"/>
      <c r="CB873" s="61"/>
      <c r="CC873" s="61"/>
      <c r="CD873" s="61"/>
      <c r="CE873" s="61"/>
      <c r="CF873" s="61"/>
      <c r="CG873" s="61"/>
      <c r="CH873" s="61"/>
      <c r="CI873" s="61"/>
      <c r="CJ873" s="61"/>
      <c r="CK873" s="61"/>
      <c r="CL873" s="61"/>
      <c r="CM873" s="61"/>
      <c r="CN873" s="61"/>
      <c r="CO873" s="61"/>
      <c r="CP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c r="BU874" s="61"/>
      <c r="BV874" s="61"/>
      <c r="BW874" s="61"/>
      <c r="BX874" s="61"/>
      <c r="BY874" s="61"/>
      <c r="BZ874" s="61"/>
      <c r="CA874" s="61"/>
      <c r="CB874" s="61"/>
      <c r="CC874" s="61"/>
      <c r="CD874" s="61"/>
      <c r="CE874" s="61"/>
      <c r="CF874" s="61"/>
      <c r="CG874" s="61"/>
      <c r="CH874" s="61"/>
      <c r="CI874" s="61"/>
      <c r="CJ874" s="61"/>
      <c r="CK874" s="61"/>
      <c r="CL874" s="61"/>
      <c r="CM874" s="61"/>
      <c r="CN874" s="61"/>
      <c r="CO874" s="61"/>
      <c r="CP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c r="BU875" s="61"/>
      <c r="BV875" s="61"/>
      <c r="BW875" s="61"/>
      <c r="BX875" s="61"/>
      <c r="BY875" s="61"/>
      <c r="BZ875" s="61"/>
      <c r="CA875" s="61"/>
      <c r="CB875" s="61"/>
      <c r="CC875" s="61"/>
      <c r="CD875" s="61"/>
      <c r="CE875" s="61"/>
      <c r="CF875" s="61"/>
      <c r="CG875" s="61"/>
      <c r="CH875" s="61"/>
      <c r="CI875" s="61"/>
      <c r="CJ875" s="61"/>
      <c r="CK875" s="61"/>
      <c r="CL875" s="61"/>
      <c r="CM875" s="61"/>
      <c r="CN875" s="61"/>
      <c r="CO875" s="61"/>
      <c r="CP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c r="BU876" s="61"/>
      <c r="BV876" s="61"/>
      <c r="BW876" s="61"/>
      <c r="BX876" s="61"/>
      <c r="BY876" s="61"/>
      <c r="BZ876" s="61"/>
      <c r="CA876" s="61"/>
      <c r="CB876" s="61"/>
      <c r="CC876" s="61"/>
      <c r="CD876" s="61"/>
      <c r="CE876" s="61"/>
      <c r="CF876" s="61"/>
      <c r="CG876" s="61"/>
      <c r="CH876" s="61"/>
      <c r="CI876" s="61"/>
      <c r="CJ876" s="61"/>
      <c r="CK876" s="61"/>
      <c r="CL876" s="61"/>
      <c r="CM876" s="61"/>
      <c r="CN876" s="61"/>
      <c r="CO876" s="61"/>
      <c r="CP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c r="BU877" s="61"/>
      <c r="BV877" s="61"/>
      <c r="BW877" s="61"/>
      <c r="BX877" s="61"/>
      <c r="BY877" s="61"/>
      <c r="BZ877" s="61"/>
      <c r="CA877" s="61"/>
      <c r="CB877" s="61"/>
      <c r="CC877" s="61"/>
      <c r="CD877" s="61"/>
      <c r="CE877" s="61"/>
      <c r="CF877" s="61"/>
      <c r="CG877" s="61"/>
      <c r="CH877" s="61"/>
      <c r="CI877" s="61"/>
      <c r="CJ877" s="61"/>
      <c r="CK877" s="61"/>
      <c r="CL877" s="61"/>
      <c r="CM877" s="61"/>
      <c r="CN877" s="61"/>
      <c r="CO877" s="61"/>
      <c r="CP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c r="BU878" s="61"/>
      <c r="BV878" s="61"/>
      <c r="BW878" s="61"/>
      <c r="BX878" s="61"/>
      <c r="BY878" s="61"/>
      <c r="BZ878" s="61"/>
      <c r="CA878" s="61"/>
      <c r="CB878" s="61"/>
      <c r="CC878" s="61"/>
      <c r="CD878" s="61"/>
      <c r="CE878" s="61"/>
      <c r="CF878" s="61"/>
      <c r="CG878" s="61"/>
      <c r="CH878" s="61"/>
      <c r="CI878" s="61"/>
      <c r="CJ878" s="61"/>
      <c r="CK878" s="61"/>
      <c r="CL878" s="61"/>
      <c r="CM878" s="61"/>
      <c r="CN878" s="61"/>
      <c r="CO878" s="61"/>
      <c r="CP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c r="BU879" s="61"/>
      <c r="BV879" s="61"/>
      <c r="BW879" s="61"/>
      <c r="BX879" s="61"/>
      <c r="BY879" s="61"/>
      <c r="BZ879" s="61"/>
      <c r="CA879" s="61"/>
      <c r="CB879" s="61"/>
      <c r="CC879" s="61"/>
      <c r="CD879" s="61"/>
      <c r="CE879" s="61"/>
      <c r="CF879" s="61"/>
      <c r="CG879" s="61"/>
      <c r="CH879" s="61"/>
      <c r="CI879" s="61"/>
      <c r="CJ879" s="61"/>
      <c r="CK879" s="61"/>
      <c r="CL879" s="61"/>
      <c r="CM879" s="61"/>
      <c r="CN879" s="61"/>
      <c r="CO879" s="61"/>
      <c r="CP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c r="BU880" s="61"/>
      <c r="BV880" s="61"/>
      <c r="BW880" s="61"/>
      <c r="BX880" s="61"/>
      <c r="BY880" s="61"/>
      <c r="BZ880" s="61"/>
      <c r="CA880" s="61"/>
      <c r="CB880" s="61"/>
      <c r="CC880" s="61"/>
      <c r="CD880" s="61"/>
      <c r="CE880" s="61"/>
      <c r="CF880" s="61"/>
      <c r="CG880" s="61"/>
      <c r="CH880" s="61"/>
      <c r="CI880" s="61"/>
      <c r="CJ880" s="61"/>
      <c r="CK880" s="61"/>
      <c r="CL880" s="61"/>
      <c r="CM880" s="61"/>
      <c r="CN880" s="61"/>
      <c r="CO880" s="61"/>
      <c r="CP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c r="BU881" s="61"/>
      <c r="BV881" s="61"/>
      <c r="BW881" s="61"/>
      <c r="BX881" s="61"/>
      <c r="BY881" s="61"/>
      <c r="BZ881" s="61"/>
      <c r="CA881" s="61"/>
      <c r="CB881" s="61"/>
      <c r="CC881" s="61"/>
      <c r="CD881" s="61"/>
      <c r="CE881" s="61"/>
      <c r="CF881" s="61"/>
      <c r="CG881" s="61"/>
      <c r="CH881" s="61"/>
      <c r="CI881" s="61"/>
      <c r="CJ881" s="61"/>
      <c r="CK881" s="61"/>
      <c r="CL881" s="61"/>
      <c r="CM881" s="61"/>
      <c r="CN881" s="61"/>
      <c r="CO881" s="61"/>
      <c r="CP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c r="BU882" s="61"/>
      <c r="BV882" s="61"/>
      <c r="BW882" s="61"/>
      <c r="BX882" s="61"/>
      <c r="BY882" s="61"/>
      <c r="BZ882" s="61"/>
      <c r="CA882" s="61"/>
      <c r="CB882" s="61"/>
      <c r="CC882" s="61"/>
      <c r="CD882" s="61"/>
      <c r="CE882" s="61"/>
      <c r="CF882" s="61"/>
      <c r="CG882" s="61"/>
      <c r="CH882" s="61"/>
      <c r="CI882" s="61"/>
      <c r="CJ882" s="61"/>
      <c r="CK882" s="61"/>
      <c r="CL882" s="61"/>
      <c r="CM882" s="61"/>
      <c r="CN882" s="61"/>
      <c r="CO882" s="61"/>
      <c r="CP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c r="BU883" s="61"/>
      <c r="BV883" s="61"/>
      <c r="BW883" s="61"/>
      <c r="BX883" s="61"/>
      <c r="BY883" s="61"/>
      <c r="BZ883" s="61"/>
      <c r="CA883" s="61"/>
      <c r="CB883" s="61"/>
      <c r="CC883" s="61"/>
      <c r="CD883" s="61"/>
      <c r="CE883" s="61"/>
      <c r="CF883" s="61"/>
      <c r="CG883" s="61"/>
      <c r="CH883" s="61"/>
      <c r="CI883" s="61"/>
      <c r="CJ883" s="61"/>
      <c r="CK883" s="61"/>
      <c r="CL883" s="61"/>
      <c r="CM883" s="61"/>
      <c r="CN883" s="61"/>
      <c r="CO883" s="61"/>
      <c r="CP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c r="BU884" s="61"/>
      <c r="BV884" s="61"/>
      <c r="BW884" s="61"/>
      <c r="BX884" s="61"/>
      <c r="BY884" s="61"/>
      <c r="BZ884" s="61"/>
      <c r="CA884" s="61"/>
      <c r="CB884" s="61"/>
      <c r="CC884" s="61"/>
      <c r="CD884" s="61"/>
      <c r="CE884" s="61"/>
      <c r="CF884" s="61"/>
      <c r="CG884" s="61"/>
      <c r="CH884" s="61"/>
      <c r="CI884" s="61"/>
      <c r="CJ884" s="61"/>
      <c r="CK884" s="61"/>
      <c r="CL884" s="61"/>
      <c r="CM884" s="61"/>
      <c r="CN884" s="61"/>
      <c r="CO884" s="61"/>
      <c r="CP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c r="BU885" s="61"/>
      <c r="BV885" s="61"/>
      <c r="BW885" s="61"/>
      <c r="BX885" s="61"/>
      <c r="BY885" s="61"/>
      <c r="BZ885" s="61"/>
      <c r="CA885" s="61"/>
      <c r="CB885" s="61"/>
      <c r="CC885" s="61"/>
      <c r="CD885" s="61"/>
      <c r="CE885" s="61"/>
      <c r="CF885" s="61"/>
      <c r="CG885" s="61"/>
      <c r="CH885" s="61"/>
      <c r="CI885" s="61"/>
      <c r="CJ885" s="61"/>
      <c r="CK885" s="61"/>
      <c r="CL885" s="61"/>
      <c r="CM885" s="61"/>
      <c r="CN885" s="61"/>
      <c r="CO885" s="61"/>
      <c r="CP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c r="BU886" s="61"/>
      <c r="BV886" s="61"/>
      <c r="BW886" s="61"/>
      <c r="BX886" s="61"/>
      <c r="BY886" s="61"/>
      <c r="BZ886" s="61"/>
      <c r="CA886" s="61"/>
      <c r="CB886" s="61"/>
      <c r="CC886" s="61"/>
      <c r="CD886" s="61"/>
      <c r="CE886" s="61"/>
      <c r="CF886" s="61"/>
      <c r="CG886" s="61"/>
      <c r="CH886" s="61"/>
      <c r="CI886" s="61"/>
      <c r="CJ886" s="61"/>
      <c r="CK886" s="61"/>
      <c r="CL886" s="61"/>
      <c r="CM886" s="61"/>
      <c r="CN886" s="61"/>
      <c r="CO886" s="61"/>
      <c r="CP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c r="BU887" s="61"/>
      <c r="BV887" s="61"/>
      <c r="BW887" s="61"/>
      <c r="BX887" s="61"/>
      <c r="BY887" s="61"/>
      <c r="BZ887" s="61"/>
      <c r="CA887" s="61"/>
      <c r="CB887" s="61"/>
      <c r="CC887" s="61"/>
      <c r="CD887" s="61"/>
      <c r="CE887" s="61"/>
      <c r="CF887" s="61"/>
      <c r="CG887" s="61"/>
      <c r="CH887" s="61"/>
      <c r="CI887" s="61"/>
      <c r="CJ887" s="61"/>
      <c r="CK887" s="61"/>
      <c r="CL887" s="61"/>
      <c r="CM887" s="61"/>
      <c r="CN887" s="61"/>
      <c r="CO887" s="61"/>
      <c r="CP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c r="BU888" s="61"/>
      <c r="BV888" s="61"/>
      <c r="BW888" s="61"/>
      <c r="BX888" s="61"/>
      <c r="BY888" s="61"/>
      <c r="BZ888" s="61"/>
      <c r="CA888" s="61"/>
      <c r="CB888" s="61"/>
      <c r="CC888" s="61"/>
      <c r="CD888" s="61"/>
      <c r="CE888" s="61"/>
      <c r="CF888" s="61"/>
      <c r="CG888" s="61"/>
      <c r="CH888" s="61"/>
      <c r="CI888" s="61"/>
      <c r="CJ888" s="61"/>
      <c r="CK888" s="61"/>
      <c r="CL888" s="61"/>
      <c r="CM888" s="61"/>
      <c r="CN888" s="61"/>
      <c r="CO888" s="61"/>
      <c r="CP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c r="BU889" s="61"/>
      <c r="BV889" s="61"/>
      <c r="BW889" s="61"/>
      <c r="BX889" s="61"/>
      <c r="BY889" s="61"/>
      <c r="BZ889" s="61"/>
      <c r="CA889" s="61"/>
      <c r="CB889" s="61"/>
      <c r="CC889" s="61"/>
      <c r="CD889" s="61"/>
      <c r="CE889" s="61"/>
      <c r="CF889" s="61"/>
      <c r="CG889" s="61"/>
      <c r="CH889" s="61"/>
      <c r="CI889" s="61"/>
      <c r="CJ889" s="61"/>
      <c r="CK889" s="61"/>
      <c r="CL889" s="61"/>
      <c r="CM889" s="61"/>
      <c r="CN889" s="61"/>
      <c r="CO889" s="61"/>
      <c r="CP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c r="BU890" s="61"/>
      <c r="BV890" s="61"/>
      <c r="BW890" s="61"/>
      <c r="BX890" s="61"/>
      <c r="BY890" s="61"/>
      <c r="BZ890" s="61"/>
      <c r="CA890" s="61"/>
      <c r="CB890" s="61"/>
      <c r="CC890" s="61"/>
      <c r="CD890" s="61"/>
      <c r="CE890" s="61"/>
      <c r="CF890" s="61"/>
      <c r="CG890" s="61"/>
      <c r="CH890" s="61"/>
      <c r="CI890" s="61"/>
      <c r="CJ890" s="61"/>
      <c r="CK890" s="61"/>
      <c r="CL890" s="61"/>
      <c r="CM890" s="61"/>
      <c r="CN890" s="61"/>
      <c r="CO890" s="61"/>
      <c r="CP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c r="BU891" s="61"/>
      <c r="BV891" s="61"/>
      <c r="BW891" s="61"/>
      <c r="BX891" s="61"/>
      <c r="BY891" s="61"/>
      <c r="BZ891" s="61"/>
      <c r="CA891" s="61"/>
      <c r="CB891" s="61"/>
      <c r="CC891" s="61"/>
      <c r="CD891" s="61"/>
      <c r="CE891" s="61"/>
      <c r="CF891" s="61"/>
      <c r="CG891" s="61"/>
      <c r="CH891" s="61"/>
      <c r="CI891" s="61"/>
      <c r="CJ891" s="61"/>
      <c r="CK891" s="61"/>
      <c r="CL891" s="61"/>
      <c r="CM891" s="61"/>
      <c r="CN891" s="61"/>
      <c r="CO891" s="61"/>
      <c r="CP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c r="BU892" s="61"/>
      <c r="BV892" s="61"/>
      <c r="BW892" s="61"/>
      <c r="BX892" s="61"/>
      <c r="BY892" s="61"/>
      <c r="BZ892" s="61"/>
      <c r="CA892" s="61"/>
      <c r="CB892" s="61"/>
      <c r="CC892" s="61"/>
      <c r="CD892" s="61"/>
      <c r="CE892" s="61"/>
      <c r="CF892" s="61"/>
      <c r="CG892" s="61"/>
      <c r="CH892" s="61"/>
      <c r="CI892" s="61"/>
      <c r="CJ892" s="61"/>
      <c r="CK892" s="61"/>
      <c r="CL892" s="61"/>
      <c r="CM892" s="61"/>
      <c r="CN892" s="61"/>
      <c r="CO892" s="61"/>
      <c r="CP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c r="BU893" s="61"/>
      <c r="BV893" s="61"/>
      <c r="BW893" s="61"/>
      <c r="BX893" s="61"/>
      <c r="BY893" s="61"/>
      <c r="BZ893" s="61"/>
      <c r="CA893" s="61"/>
      <c r="CB893" s="61"/>
      <c r="CC893" s="61"/>
      <c r="CD893" s="61"/>
      <c r="CE893" s="61"/>
      <c r="CF893" s="61"/>
      <c r="CG893" s="61"/>
      <c r="CH893" s="61"/>
      <c r="CI893" s="61"/>
      <c r="CJ893" s="61"/>
      <c r="CK893" s="61"/>
      <c r="CL893" s="61"/>
      <c r="CM893" s="61"/>
      <c r="CN893" s="61"/>
      <c r="CO893" s="61"/>
      <c r="CP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c r="BU894" s="61"/>
      <c r="BV894" s="61"/>
      <c r="BW894" s="61"/>
      <c r="BX894" s="61"/>
      <c r="BY894" s="61"/>
      <c r="BZ894" s="61"/>
      <c r="CA894" s="61"/>
      <c r="CB894" s="61"/>
      <c r="CC894" s="61"/>
      <c r="CD894" s="61"/>
      <c r="CE894" s="61"/>
      <c r="CF894" s="61"/>
      <c r="CG894" s="61"/>
      <c r="CH894" s="61"/>
      <c r="CI894" s="61"/>
      <c r="CJ894" s="61"/>
      <c r="CK894" s="61"/>
      <c r="CL894" s="61"/>
      <c r="CM894" s="61"/>
      <c r="CN894" s="61"/>
      <c r="CO894" s="61"/>
      <c r="CP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c r="BU895" s="61"/>
      <c r="BV895" s="61"/>
      <c r="BW895" s="61"/>
      <c r="BX895" s="61"/>
      <c r="BY895" s="61"/>
      <c r="BZ895" s="61"/>
      <c r="CA895" s="61"/>
      <c r="CB895" s="61"/>
      <c r="CC895" s="61"/>
      <c r="CD895" s="61"/>
      <c r="CE895" s="61"/>
      <c r="CF895" s="61"/>
      <c r="CG895" s="61"/>
      <c r="CH895" s="61"/>
      <c r="CI895" s="61"/>
      <c r="CJ895" s="61"/>
      <c r="CK895" s="61"/>
      <c r="CL895" s="61"/>
      <c r="CM895" s="61"/>
      <c r="CN895" s="61"/>
      <c r="CO895" s="61"/>
      <c r="CP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c r="BU896" s="61"/>
      <c r="BV896" s="61"/>
      <c r="BW896" s="61"/>
      <c r="BX896" s="61"/>
      <c r="BY896" s="61"/>
      <c r="BZ896" s="61"/>
      <c r="CA896" s="61"/>
      <c r="CB896" s="61"/>
      <c r="CC896" s="61"/>
      <c r="CD896" s="61"/>
      <c r="CE896" s="61"/>
      <c r="CF896" s="61"/>
      <c r="CG896" s="61"/>
      <c r="CH896" s="61"/>
      <c r="CI896" s="61"/>
      <c r="CJ896" s="61"/>
      <c r="CK896" s="61"/>
      <c r="CL896" s="61"/>
      <c r="CM896" s="61"/>
      <c r="CN896" s="61"/>
      <c r="CO896" s="61"/>
      <c r="CP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c r="BU897" s="61"/>
      <c r="BV897" s="61"/>
      <c r="BW897" s="61"/>
      <c r="BX897" s="61"/>
      <c r="BY897" s="61"/>
      <c r="BZ897" s="61"/>
      <c r="CA897" s="61"/>
      <c r="CB897" s="61"/>
      <c r="CC897" s="61"/>
      <c r="CD897" s="61"/>
      <c r="CE897" s="61"/>
      <c r="CF897" s="61"/>
      <c r="CG897" s="61"/>
      <c r="CH897" s="61"/>
      <c r="CI897" s="61"/>
      <c r="CJ897" s="61"/>
      <c r="CK897" s="61"/>
      <c r="CL897" s="61"/>
      <c r="CM897" s="61"/>
      <c r="CN897" s="61"/>
      <c r="CO897" s="61"/>
      <c r="CP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c r="BU898" s="61"/>
      <c r="BV898" s="61"/>
      <c r="BW898" s="61"/>
      <c r="BX898" s="61"/>
      <c r="BY898" s="61"/>
      <c r="BZ898" s="61"/>
      <c r="CA898" s="61"/>
      <c r="CB898" s="61"/>
      <c r="CC898" s="61"/>
      <c r="CD898" s="61"/>
      <c r="CE898" s="61"/>
      <c r="CF898" s="61"/>
      <c r="CG898" s="61"/>
      <c r="CH898" s="61"/>
      <c r="CI898" s="61"/>
      <c r="CJ898" s="61"/>
      <c r="CK898" s="61"/>
      <c r="CL898" s="61"/>
      <c r="CM898" s="61"/>
      <c r="CN898" s="61"/>
      <c r="CO898" s="61"/>
      <c r="CP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c r="BU899" s="61"/>
      <c r="BV899" s="61"/>
      <c r="BW899" s="61"/>
      <c r="BX899" s="61"/>
      <c r="BY899" s="61"/>
      <c r="BZ899" s="61"/>
      <c r="CA899" s="61"/>
      <c r="CB899" s="61"/>
      <c r="CC899" s="61"/>
      <c r="CD899" s="61"/>
      <c r="CE899" s="61"/>
      <c r="CF899" s="61"/>
      <c r="CG899" s="61"/>
      <c r="CH899" s="61"/>
      <c r="CI899" s="61"/>
      <c r="CJ899" s="61"/>
      <c r="CK899" s="61"/>
      <c r="CL899" s="61"/>
      <c r="CM899" s="61"/>
      <c r="CN899" s="61"/>
      <c r="CO899" s="61"/>
      <c r="CP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c r="BU900" s="61"/>
      <c r="BV900" s="61"/>
      <c r="BW900" s="61"/>
      <c r="BX900" s="61"/>
      <c r="BY900" s="61"/>
      <c r="BZ900" s="61"/>
      <c r="CA900" s="61"/>
      <c r="CB900" s="61"/>
      <c r="CC900" s="61"/>
      <c r="CD900" s="61"/>
      <c r="CE900" s="61"/>
      <c r="CF900" s="61"/>
      <c r="CG900" s="61"/>
      <c r="CH900" s="61"/>
      <c r="CI900" s="61"/>
      <c r="CJ900" s="61"/>
      <c r="CK900" s="61"/>
      <c r="CL900" s="61"/>
      <c r="CM900" s="61"/>
      <c r="CN900" s="61"/>
      <c r="CO900" s="61"/>
      <c r="CP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c r="BU901" s="61"/>
      <c r="BV901" s="61"/>
      <c r="BW901" s="61"/>
      <c r="BX901" s="61"/>
      <c r="BY901" s="61"/>
      <c r="BZ901" s="61"/>
      <c r="CA901" s="61"/>
      <c r="CB901" s="61"/>
      <c r="CC901" s="61"/>
      <c r="CD901" s="61"/>
      <c r="CE901" s="61"/>
      <c r="CF901" s="61"/>
      <c r="CG901" s="61"/>
      <c r="CH901" s="61"/>
      <c r="CI901" s="61"/>
      <c r="CJ901" s="61"/>
      <c r="CK901" s="61"/>
      <c r="CL901" s="61"/>
      <c r="CM901" s="61"/>
      <c r="CN901" s="61"/>
      <c r="CO901" s="61"/>
      <c r="CP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c r="BU902" s="61"/>
      <c r="BV902" s="61"/>
      <c r="BW902" s="61"/>
      <c r="BX902" s="61"/>
      <c r="BY902" s="61"/>
      <c r="BZ902" s="61"/>
      <c r="CA902" s="61"/>
      <c r="CB902" s="61"/>
      <c r="CC902" s="61"/>
      <c r="CD902" s="61"/>
      <c r="CE902" s="61"/>
      <c r="CF902" s="61"/>
      <c r="CG902" s="61"/>
      <c r="CH902" s="61"/>
      <c r="CI902" s="61"/>
      <c r="CJ902" s="61"/>
      <c r="CK902" s="61"/>
      <c r="CL902" s="61"/>
      <c r="CM902" s="61"/>
      <c r="CN902" s="61"/>
      <c r="CO902" s="61"/>
      <c r="CP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c r="BU903" s="61"/>
      <c r="BV903" s="61"/>
      <c r="BW903" s="61"/>
      <c r="BX903" s="61"/>
      <c r="BY903" s="61"/>
      <c r="BZ903" s="61"/>
      <c r="CA903" s="61"/>
      <c r="CB903" s="61"/>
      <c r="CC903" s="61"/>
      <c r="CD903" s="61"/>
      <c r="CE903" s="61"/>
      <c r="CF903" s="61"/>
      <c r="CG903" s="61"/>
      <c r="CH903" s="61"/>
      <c r="CI903" s="61"/>
      <c r="CJ903" s="61"/>
      <c r="CK903" s="61"/>
      <c r="CL903" s="61"/>
      <c r="CM903" s="61"/>
      <c r="CN903" s="61"/>
      <c r="CO903" s="61"/>
      <c r="CP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c r="BU904" s="61"/>
      <c r="BV904" s="61"/>
      <c r="BW904" s="61"/>
      <c r="BX904" s="61"/>
      <c r="BY904" s="61"/>
      <c r="BZ904" s="61"/>
      <c r="CA904" s="61"/>
      <c r="CB904" s="61"/>
      <c r="CC904" s="61"/>
      <c r="CD904" s="61"/>
      <c r="CE904" s="61"/>
      <c r="CF904" s="61"/>
      <c r="CG904" s="61"/>
      <c r="CH904" s="61"/>
      <c r="CI904" s="61"/>
      <c r="CJ904" s="61"/>
      <c r="CK904" s="61"/>
      <c r="CL904" s="61"/>
      <c r="CM904" s="61"/>
      <c r="CN904" s="61"/>
      <c r="CO904" s="61"/>
      <c r="CP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c r="BU905" s="61"/>
      <c r="BV905" s="61"/>
      <c r="BW905" s="61"/>
      <c r="BX905" s="61"/>
      <c r="BY905" s="61"/>
      <c r="BZ905" s="61"/>
      <c r="CA905" s="61"/>
      <c r="CB905" s="61"/>
      <c r="CC905" s="61"/>
      <c r="CD905" s="61"/>
      <c r="CE905" s="61"/>
      <c r="CF905" s="61"/>
      <c r="CG905" s="61"/>
      <c r="CH905" s="61"/>
      <c r="CI905" s="61"/>
      <c r="CJ905" s="61"/>
      <c r="CK905" s="61"/>
      <c r="CL905" s="61"/>
      <c r="CM905" s="61"/>
      <c r="CN905" s="61"/>
      <c r="CO905" s="61"/>
      <c r="CP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c r="BU906" s="61"/>
      <c r="BV906" s="61"/>
      <c r="BW906" s="61"/>
      <c r="BX906" s="61"/>
      <c r="BY906" s="61"/>
      <c r="BZ906" s="61"/>
      <c r="CA906" s="61"/>
      <c r="CB906" s="61"/>
      <c r="CC906" s="61"/>
      <c r="CD906" s="61"/>
      <c r="CE906" s="61"/>
      <c r="CF906" s="61"/>
      <c r="CG906" s="61"/>
      <c r="CH906" s="61"/>
      <c r="CI906" s="61"/>
      <c r="CJ906" s="61"/>
      <c r="CK906" s="61"/>
      <c r="CL906" s="61"/>
      <c r="CM906" s="61"/>
      <c r="CN906" s="61"/>
      <c r="CO906" s="61"/>
      <c r="CP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c r="BU907" s="61"/>
      <c r="BV907" s="61"/>
      <c r="BW907" s="61"/>
      <c r="BX907" s="61"/>
      <c r="BY907" s="61"/>
      <c r="BZ907" s="61"/>
      <c r="CA907" s="61"/>
      <c r="CB907" s="61"/>
      <c r="CC907" s="61"/>
      <c r="CD907" s="61"/>
      <c r="CE907" s="61"/>
      <c r="CF907" s="61"/>
      <c r="CG907" s="61"/>
      <c r="CH907" s="61"/>
      <c r="CI907" s="61"/>
      <c r="CJ907" s="61"/>
      <c r="CK907" s="61"/>
      <c r="CL907" s="61"/>
      <c r="CM907" s="61"/>
      <c r="CN907" s="61"/>
      <c r="CO907" s="61"/>
      <c r="CP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c r="BU908" s="61"/>
      <c r="BV908" s="61"/>
      <c r="BW908" s="61"/>
      <c r="BX908" s="61"/>
      <c r="BY908" s="61"/>
      <c r="BZ908" s="61"/>
      <c r="CA908" s="61"/>
      <c r="CB908" s="61"/>
      <c r="CC908" s="61"/>
      <c r="CD908" s="61"/>
      <c r="CE908" s="61"/>
      <c r="CF908" s="61"/>
      <c r="CG908" s="61"/>
      <c r="CH908" s="61"/>
      <c r="CI908" s="61"/>
      <c r="CJ908" s="61"/>
      <c r="CK908" s="61"/>
      <c r="CL908" s="61"/>
      <c r="CM908" s="61"/>
      <c r="CN908" s="61"/>
      <c r="CO908" s="61"/>
      <c r="CP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c r="BU909" s="61"/>
      <c r="BV909" s="61"/>
      <c r="BW909" s="61"/>
      <c r="BX909" s="61"/>
      <c r="BY909" s="61"/>
      <c r="BZ909" s="61"/>
      <c r="CA909" s="61"/>
      <c r="CB909" s="61"/>
      <c r="CC909" s="61"/>
      <c r="CD909" s="61"/>
      <c r="CE909" s="61"/>
      <c r="CF909" s="61"/>
      <c r="CG909" s="61"/>
      <c r="CH909" s="61"/>
      <c r="CI909" s="61"/>
      <c r="CJ909" s="61"/>
      <c r="CK909" s="61"/>
      <c r="CL909" s="61"/>
      <c r="CM909" s="61"/>
      <c r="CN909" s="61"/>
      <c r="CO909" s="61"/>
      <c r="CP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c r="BU910" s="61"/>
      <c r="BV910" s="61"/>
      <c r="BW910" s="61"/>
      <c r="BX910" s="61"/>
      <c r="BY910" s="61"/>
      <c r="BZ910" s="61"/>
      <c r="CA910" s="61"/>
      <c r="CB910" s="61"/>
      <c r="CC910" s="61"/>
      <c r="CD910" s="61"/>
      <c r="CE910" s="61"/>
      <c r="CF910" s="61"/>
      <c r="CG910" s="61"/>
      <c r="CH910" s="61"/>
      <c r="CI910" s="61"/>
      <c r="CJ910" s="61"/>
      <c r="CK910" s="61"/>
      <c r="CL910" s="61"/>
      <c r="CM910" s="61"/>
      <c r="CN910" s="61"/>
      <c r="CO910" s="61"/>
      <c r="CP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c r="BU911" s="61"/>
      <c r="BV911" s="61"/>
      <c r="BW911" s="61"/>
      <c r="BX911" s="61"/>
      <c r="BY911" s="61"/>
      <c r="BZ911" s="61"/>
      <c r="CA911" s="61"/>
      <c r="CB911" s="61"/>
      <c r="CC911" s="61"/>
      <c r="CD911" s="61"/>
      <c r="CE911" s="61"/>
      <c r="CF911" s="61"/>
      <c r="CG911" s="61"/>
      <c r="CH911" s="61"/>
      <c r="CI911" s="61"/>
      <c r="CJ911" s="61"/>
      <c r="CK911" s="61"/>
      <c r="CL911" s="61"/>
      <c r="CM911" s="61"/>
      <c r="CN911" s="61"/>
      <c r="CO911" s="61"/>
      <c r="CP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c r="BU912" s="61"/>
      <c r="BV912" s="61"/>
      <c r="BW912" s="61"/>
      <c r="BX912" s="61"/>
      <c r="BY912" s="61"/>
      <c r="BZ912" s="61"/>
      <c r="CA912" s="61"/>
      <c r="CB912" s="61"/>
      <c r="CC912" s="61"/>
      <c r="CD912" s="61"/>
      <c r="CE912" s="61"/>
      <c r="CF912" s="61"/>
      <c r="CG912" s="61"/>
      <c r="CH912" s="61"/>
      <c r="CI912" s="61"/>
      <c r="CJ912" s="61"/>
      <c r="CK912" s="61"/>
      <c r="CL912" s="61"/>
      <c r="CM912" s="61"/>
      <c r="CN912" s="61"/>
      <c r="CO912" s="61"/>
      <c r="CP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c r="BU913" s="61"/>
      <c r="BV913" s="61"/>
      <c r="BW913" s="61"/>
      <c r="BX913" s="61"/>
      <c r="BY913" s="61"/>
      <c r="BZ913" s="61"/>
      <c r="CA913" s="61"/>
      <c r="CB913" s="61"/>
      <c r="CC913" s="61"/>
      <c r="CD913" s="61"/>
      <c r="CE913" s="61"/>
      <c r="CF913" s="61"/>
      <c r="CG913" s="61"/>
      <c r="CH913" s="61"/>
      <c r="CI913" s="61"/>
      <c r="CJ913" s="61"/>
      <c r="CK913" s="61"/>
      <c r="CL913" s="61"/>
      <c r="CM913" s="61"/>
      <c r="CN913" s="61"/>
      <c r="CO913" s="61"/>
      <c r="CP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c r="BU914" s="61"/>
      <c r="BV914" s="61"/>
      <c r="BW914" s="61"/>
      <c r="BX914" s="61"/>
      <c r="BY914" s="61"/>
      <c r="BZ914" s="61"/>
      <c r="CA914" s="61"/>
      <c r="CB914" s="61"/>
      <c r="CC914" s="61"/>
      <c r="CD914" s="61"/>
      <c r="CE914" s="61"/>
      <c r="CF914" s="61"/>
      <c r="CG914" s="61"/>
      <c r="CH914" s="61"/>
      <c r="CI914" s="61"/>
      <c r="CJ914" s="61"/>
      <c r="CK914" s="61"/>
      <c r="CL914" s="61"/>
      <c r="CM914" s="61"/>
      <c r="CN914" s="61"/>
      <c r="CO914" s="61"/>
      <c r="CP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c r="BU915" s="61"/>
      <c r="BV915" s="61"/>
      <c r="BW915" s="61"/>
      <c r="BX915" s="61"/>
      <c r="BY915" s="61"/>
      <c r="BZ915" s="61"/>
      <c r="CA915" s="61"/>
      <c r="CB915" s="61"/>
      <c r="CC915" s="61"/>
      <c r="CD915" s="61"/>
      <c r="CE915" s="61"/>
      <c r="CF915" s="61"/>
      <c r="CG915" s="61"/>
      <c r="CH915" s="61"/>
      <c r="CI915" s="61"/>
      <c r="CJ915" s="61"/>
      <c r="CK915" s="61"/>
      <c r="CL915" s="61"/>
      <c r="CM915" s="61"/>
      <c r="CN915" s="61"/>
      <c r="CO915" s="61"/>
      <c r="CP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c r="BU916" s="61"/>
      <c r="BV916" s="61"/>
      <c r="BW916" s="61"/>
      <c r="BX916" s="61"/>
      <c r="BY916" s="61"/>
      <c r="BZ916" s="61"/>
      <c r="CA916" s="61"/>
      <c r="CB916" s="61"/>
      <c r="CC916" s="61"/>
      <c r="CD916" s="61"/>
      <c r="CE916" s="61"/>
      <c r="CF916" s="61"/>
      <c r="CG916" s="61"/>
      <c r="CH916" s="61"/>
      <c r="CI916" s="61"/>
      <c r="CJ916" s="61"/>
      <c r="CK916" s="61"/>
      <c r="CL916" s="61"/>
      <c r="CM916" s="61"/>
      <c r="CN916" s="61"/>
      <c r="CO916" s="61"/>
      <c r="CP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c r="BU917" s="61"/>
      <c r="BV917" s="61"/>
      <c r="BW917" s="61"/>
      <c r="BX917" s="61"/>
      <c r="BY917" s="61"/>
      <c r="BZ917" s="61"/>
      <c r="CA917" s="61"/>
      <c r="CB917" s="61"/>
      <c r="CC917" s="61"/>
      <c r="CD917" s="61"/>
      <c r="CE917" s="61"/>
      <c r="CF917" s="61"/>
      <c r="CG917" s="61"/>
      <c r="CH917" s="61"/>
      <c r="CI917" s="61"/>
      <c r="CJ917" s="61"/>
      <c r="CK917" s="61"/>
      <c r="CL917" s="61"/>
      <c r="CM917" s="61"/>
      <c r="CN917" s="61"/>
      <c r="CO917" s="61"/>
      <c r="CP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c r="BU918" s="61"/>
      <c r="BV918" s="61"/>
      <c r="BW918" s="61"/>
      <c r="BX918" s="61"/>
      <c r="BY918" s="61"/>
      <c r="BZ918" s="61"/>
      <c r="CA918" s="61"/>
      <c r="CB918" s="61"/>
      <c r="CC918" s="61"/>
      <c r="CD918" s="61"/>
      <c r="CE918" s="61"/>
      <c r="CF918" s="61"/>
      <c r="CG918" s="61"/>
      <c r="CH918" s="61"/>
      <c r="CI918" s="61"/>
      <c r="CJ918" s="61"/>
      <c r="CK918" s="61"/>
      <c r="CL918" s="61"/>
      <c r="CM918" s="61"/>
      <c r="CN918" s="61"/>
      <c r="CO918" s="61"/>
      <c r="CP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c r="BU919" s="61"/>
      <c r="BV919" s="61"/>
      <c r="BW919" s="61"/>
      <c r="BX919" s="61"/>
      <c r="BY919" s="61"/>
      <c r="BZ919" s="61"/>
      <c r="CA919" s="61"/>
      <c r="CB919" s="61"/>
      <c r="CC919" s="61"/>
      <c r="CD919" s="61"/>
      <c r="CE919" s="61"/>
      <c r="CF919" s="61"/>
      <c r="CG919" s="61"/>
      <c r="CH919" s="61"/>
      <c r="CI919" s="61"/>
      <c r="CJ919" s="61"/>
      <c r="CK919" s="61"/>
      <c r="CL919" s="61"/>
      <c r="CM919" s="61"/>
      <c r="CN919" s="61"/>
      <c r="CO919" s="61"/>
      <c r="CP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c r="BU920" s="61"/>
      <c r="BV920" s="61"/>
      <c r="BW920" s="61"/>
      <c r="BX920" s="61"/>
      <c r="BY920" s="61"/>
      <c r="BZ920" s="61"/>
      <c r="CA920" s="61"/>
      <c r="CB920" s="61"/>
      <c r="CC920" s="61"/>
      <c r="CD920" s="61"/>
      <c r="CE920" s="61"/>
      <c r="CF920" s="61"/>
      <c r="CG920" s="61"/>
      <c r="CH920" s="61"/>
      <c r="CI920" s="61"/>
      <c r="CJ920" s="61"/>
      <c r="CK920" s="61"/>
      <c r="CL920" s="61"/>
      <c r="CM920" s="61"/>
      <c r="CN920" s="61"/>
      <c r="CO920" s="61"/>
      <c r="CP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c r="BU921" s="61"/>
      <c r="BV921" s="61"/>
      <c r="BW921" s="61"/>
      <c r="BX921" s="61"/>
      <c r="BY921" s="61"/>
      <c r="BZ921" s="61"/>
      <c r="CA921" s="61"/>
      <c r="CB921" s="61"/>
      <c r="CC921" s="61"/>
      <c r="CD921" s="61"/>
      <c r="CE921" s="61"/>
      <c r="CF921" s="61"/>
      <c r="CG921" s="61"/>
      <c r="CH921" s="61"/>
      <c r="CI921" s="61"/>
      <c r="CJ921" s="61"/>
      <c r="CK921" s="61"/>
      <c r="CL921" s="61"/>
      <c r="CM921" s="61"/>
      <c r="CN921" s="61"/>
      <c r="CO921" s="61"/>
      <c r="CP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c r="BU922" s="61"/>
      <c r="BV922" s="61"/>
      <c r="BW922" s="61"/>
      <c r="BX922" s="61"/>
      <c r="BY922" s="61"/>
      <c r="BZ922" s="61"/>
      <c r="CA922" s="61"/>
      <c r="CB922" s="61"/>
      <c r="CC922" s="61"/>
      <c r="CD922" s="61"/>
      <c r="CE922" s="61"/>
      <c r="CF922" s="61"/>
      <c r="CG922" s="61"/>
      <c r="CH922" s="61"/>
      <c r="CI922" s="61"/>
      <c r="CJ922" s="61"/>
      <c r="CK922" s="61"/>
      <c r="CL922" s="61"/>
      <c r="CM922" s="61"/>
      <c r="CN922" s="61"/>
      <c r="CO922" s="61"/>
      <c r="CP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c r="BU923" s="61"/>
      <c r="BV923" s="61"/>
      <c r="BW923" s="61"/>
      <c r="BX923" s="61"/>
      <c r="BY923" s="61"/>
      <c r="BZ923" s="61"/>
      <c r="CA923" s="61"/>
      <c r="CB923" s="61"/>
      <c r="CC923" s="61"/>
      <c r="CD923" s="61"/>
      <c r="CE923" s="61"/>
      <c r="CF923" s="61"/>
      <c r="CG923" s="61"/>
      <c r="CH923" s="61"/>
      <c r="CI923" s="61"/>
      <c r="CJ923" s="61"/>
      <c r="CK923" s="61"/>
      <c r="CL923" s="61"/>
      <c r="CM923" s="61"/>
      <c r="CN923" s="61"/>
      <c r="CO923" s="61"/>
      <c r="CP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c r="BU924" s="61"/>
      <c r="BV924" s="61"/>
      <c r="BW924" s="61"/>
      <c r="BX924" s="61"/>
      <c r="BY924" s="61"/>
      <c r="BZ924" s="61"/>
      <c r="CA924" s="61"/>
      <c r="CB924" s="61"/>
      <c r="CC924" s="61"/>
      <c r="CD924" s="61"/>
      <c r="CE924" s="61"/>
      <c r="CF924" s="61"/>
      <c r="CG924" s="61"/>
      <c r="CH924" s="61"/>
      <c r="CI924" s="61"/>
      <c r="CJ924" s="61"/>
      <c r="CK924" s="61"/>
      <c r="CL924" s="61"/>
      <c r="CM924" s="61"/>
      <c r="CN924" s="61"/>
      <c r="CO924" s="61"/>
      <c r="CP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c r="BU925" s="61"/>
      <c r="BV925" s="61"/>
      <c r="BW925" s="61"/>
      <c r="BX925" s="61"/>
      <c r="BY925" s="61"/>
      <c r="BZ925" s="61"/>
      <c r="CA925" s="61"/>
      <c r="CB925" s="61"/>
      <c r="CC925" s="61"/>
      <c r="CD925" s="61"/>
      <c r="CE925" s="61"/>
      <c r="CF925" s="61"/>
      <c r="CG925" s="61"/>
      <c r="CH925" s="61"/>
      <c r="CI925" s="61"/>
      <c r="CJ925" s="61"/>
      <c r="CK925" s="61"/>
      <c r="CL925" s="61"/>
      <c r="CM925" s="61"/>
      <c r="CN925" s="61"/>
      <c r="CO925" s="61"/>
      <c r="CP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c r="BU926" s="61"/>
      <c r="BV926" s="61"/>
      <c r="BW926" s="61"/>
      <c r="BX926" s="61"/>
      <c r="BY926" s="61"/>
      <c r="BZ926" s="61"/>
      <c r="CA926" s="61"/>
      <c r="CB926" s="61"/>
      <c r="CC926" s="61"/>
      <c r="CD926" s="61"/>
      <c r="CE926" s="61"/>
      <c r="CF926" s="61"/>
      <c r="CG926" s="61"/>
      <c r="CH926" s="61"/>
      <c r="CI926" s="61"/>
      <c r="CJ926" s="61"/>
      <c r="CK926" s="61"/>
      <c r="CL926" s="61"/>
      <c r="CM926" s="61"/>
      <c r="CN926" s="61"/>
      <c r="CO926" s="61"/>
      <c r="CP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c r="BU927" s="61"/>
      <c r="BV927" s="61"/>
      <c r="BW927" s="61"/>
      <c r="BX927" s="61"/>
      <c r="BY927" s="61"/>
      <c r="BZ927" s="61"/>
      <c r="CA927" s="61"/>
      <c r="CB927" s="61"/>
      <c r="CC927" s="61"/>
      <c r="CD927" s="61"/>
      <c r="CE927" s="61"/>
      <c r="CF927" s="61"/>
      <c r="CG927" s="61"/>
      <c r="CH927" s="61"/>
      <c r="CI927" s="61"/>
      <c r="CJ927" s="61"/>
      <c r="CK927" s="61"/>
      <c r="CL927" s="61"/>
      <c r="CM927" s="61"/>
      <c r="CN927" s="61"/>
      <c r="CO927" s="61"/>
      <c r="CP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c r="BU928" s="61"/>
      <c r="BV928" s="61"/>
      <c r="BW928" s="61"/>
      <c r="BX928" s="61"/>
      <c r="BY928" s="61"/>
      <c r="BZ928" s="61"/>
      <c r="CA928" s="61"/>
      <c r="CB928" s="61"/>
      <c r="CC928" s="61"/>
      <c r="CD928" s="61"/>
      <c r="CE928" s="61"/>
      <c r="CF928" s="61"/>
      <c r="CG928" s="61"/>
      <c r="CH928" s="61"/>
      <c r="CI928" s="61"/>
      <c r="CJ928" s="61"/>
      <c r="CK928" s="61"/>
      <c r="CL928" s="61"/>
      <c r="CM928" s="61"/>
      <c r="CN928" s="61"/>
      <c r="CO928" s="61"/>
      <c r="CP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c r="BU929" s="61"/>
      <c r="BV929" s="61"/>
      <c r="BW929" s="61"/>
      <c r="BX929" s="61"/>
      <c r="BY929" s="61"/>
      <c r="BZ929" s="61"/>
      <c r="CA929" s="61"/>
      <c r="CB929" s="61"/>
      <c r="CC929" s="61"/>
      <c r="CD929" s="61"/>
      <c r="CE929" s="61"/>
      <c r="CF929" s="61"/>
      <c r="CG929" s="61"/>
      <c r="CH929" s="61"/>
      <c r="CI929" s="61"/>
      <c r="CJ929" s="61"/>
      <c r="CK929" s="61"/>
      <c r="CL929" s="61"/>
      <c r="CM929" s="61"/>
      <c r="CN929" s="61"/>
      <c r="CO929" s="61"/>
      <c r="CP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c r="BU930" s="61"/>
      <c r="BV930" s="61"/>
      <c r="BW930" s="61"/>
      <c r="BX930" s="61"/>
      <c r="BY930" s="61"/>
      <c r="BZ930" s="61"/>
      <c r="CA930" s="61"/>
      <c r="CB930" s="61"/>
      <c r="CC930" s="61"/>
      <c r="CD930" s="61"/>
      <c r="CE930" s="61"/>
      <c r="CF930" s="61"/>
      <c r="CG930" s="61"/>
      <c r="CH930" s="61"/>
      <c r="CI930" s="61"/>
      <c r="CJ930" s="61"/>
      <c r="CK930" s="61"/>
      <c r="CL930" s="61"/>
      <c r="CM930" s="61"/>
      <c r="CN930" s="61"/>
      <c r="CO930" s="61"/>
      <c r="CP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c r="BU931" s="61"/>
      <c r="BV931" s="61"/>
      <c r="BW931" s="61"/>
      <c r="BX931" s="61"/>
      <c r="BY931" s="61"/>
      <c r="BZ931" s="61"/>
      <c r="CA931" s="61"/>
      <c r="CB931" s="61"/>
      <c r="CC931" s="61"/>
      <c r="CD931" s="61"/>
      <c r="CE931" s="61"/>
      <c r="CF931" s="61"/>
      <c r="CG931" s="61"/>
      <c r="CH931" s="61"/>
      <c r="CI931" s="61"/>
      <c r="CJ931" s="61"/>
      <c r="CK931" s="61"/>
      <c r="CL931" s="61"/>
      <c r="CM931" s="61"/>
      <c r="CN931" s="61"/>
      <c r="CO931" s="61"/>
      <c r="CP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c r="BU932" s="61"/>
      <c r="BV932" s="61"/>
      <c r="BW932" s="61"/>
      <c r="BX932" s="61"/>
      <c r="BY932" s="61"/>
      <c r="BZ932" s="61"/>
      <c r="CA932" s="61"/>
      <c r="CB932" s="61"/>
      <c r="CC932" s="61"/>
      <c r="CD932" s="61"/>
      <c r="CE932" s="61"/>
      <c r="CF932" s="61"/>
      <c r="CG932" s="61"/>
      <c r="CH932" s="61"/>
      <c r="CI932" s="61"/>
      <c r="CJ932" s="61"/>
      <c r="CK932" s="61"/>
      <c r="CL932" s="61"/>
      <c r="CM932" s="61"/>
      <c r="CN932" s="61"/>
      <c r="CO932" s="61"/>
      <c r="CP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c r="BU933" s="61"/>
      <c r="BV933" s="61"/>
      <c r="BW933" s="61"/>
      <c r="BX933" s="61"/>
      <c r="BY933" s="61"/>
      <c r="BZ933" s="61"/>
      <c r="CA933" s="61"/>
      <c r="CB933" s="61"/>
      <c r="CC933" s="61"/>
      <c r="CD933" s="61"/>
      <c r="CE933" s="61"/>
      <c r="CF933" s="61"/>
      <c r="CG933" s="61"/>
      <c r="CH933" s="61"/>
      <c r="CI933" s="61"/>
      <c r="CJ933" s="61"/>
      <c r="CK933" s="61"/>
      <c r="CL933" s="61"/>
      <c r="CM933" s="61"/>
      <c r="CN933" s="61"/>
      <c r="CO933" s="61"/>
      <c r="CP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c r="BU934" s="61"/>
      <c r="BV934" s="61"/>
      <c r="BW934" s="61"/>
      <c r="BX934" s="61"/>
      <c r="BY934" s="61"/>
      <c r="BZ934" s="61"/>
      <c r="CA934" s="61"/>
      <c r="CB934" s="61"/>
      <c r="CC934" s="61"/>
      <c r="CD934" s="61"/>
      <c r="CE934" s="61"/>
      <c r="CF934" s="61"/>
      <c r="CG934" s="61"/>
      <c r="CH934" s="61"/>
      <c r="CI934" s="61"/>
      <c r="CJ934" s="61"/>
      <c r="CK934" s="61"/>
      <c r="CL934" s="61"/>
      <c r="CM934" s="61"/>
      <c r="CN934" s="61"/>
      <c r="CO934" s="61"/>
      <c r="CP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c r="BU935" s="61"/>
      <c r="BV935" s="61"/>
      <c r="BW935" s="61"/>
      <c r="BX935" s="61"/>
      <c r="BY935" s="61"/>
      <c r="BZ935" s="61"/>
      <c r="CA935" s="61"/>
      <c r="CB935" s="61"/>
      <c r="CC935" s="61"/>
      <c r="CD935" s="61"/>
      <c r="CE935" s="61"/>
      <c r="CF935" s="61"/>
      <c r="CG935" s="61"/>
      <c r="CH935" s="61"/>
      <c r="CI935" s="61"/>
      <c r="CJ935" s="61"/>
      <c r="CK935" s="61"/>
      <c r="CL935" s="61"/>
      <c r="CM935" s="61"/>
      <c r="CN935" s="61"/>
      <c r="CO935" s="61"/>
      <c r="CP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c r="BU936" s="61"/>
      <c r="BV936" s="61"/>
      <c r="BW936" s="61"/>
      <c r="BX936" s="61"/>
      <c r="BY936" s="61"/>
      <c r="BZ936" s="61"/>
      <c r="CA936" s="61"/>
      <c r="CB936" s="61"/>
      <c r="CC936" s="61"/>
      <c r="CD936" s="61"/>
      <c r="CE936" s="61"/>
      <c r="CF936" s="61"/>
      <c r="CG936" s="61"/>
      <c r="CH936" s="61"/>
      <c r="CI936" s="61"/>
      <c r="CJ936" s="61"/>
      <c r="CK936" s="61"/>
      <c r="CL936" s="61"/>
      <c r="CM936" s="61"/>
      <c r="CN936" s="61"/>
      <c r="CO936" s="61"/>
      <c r="CP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c r="BU937" s="61"/>
      <c r="BV937" s="61"/>
      <c r="BW937" s="61"/>
      <c r="BX937" s="61"/>
      <c r="BY937" s="61"/>
      <c r="BZ937" s="61"/>
      <c r="CA937" s="61"/>
      <c r="CB937" s="61"/>
      <c r="CC937" s="61"/>
      <c r="CD937" s="61"/>
      <c r="CE937" s="61"/>
      <c r="CF937" s="61"/>
      <c r="CG937" s="61"/>
      <c r="CH937" s="61"/>
      <c r="CI937" s="61"/>
      <c r="CJ937" s="61"/>
      <c r="CK937" s="61"/>
      <c r="CL937" s="61"/>
      <c r="CM937" s="61"/>
      <c r="CN937" s="61"/>
      <c r="CO937" s="61"/>
      <c r="CP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c r="BU938" s="61"/>
      <c r="BV938" s="61"/>
      <c r="BW938" s="61"/>
      <c r="BX938" s="61"/>
      <c r="BY938" s="61"/>
      <c r="BZ938" s="61"/>
      <c r="CA938" s="61"/>
      <c r="CB938" s="61"/>
      <c r="CC938" s="61"/>
      <c r="CD938" s="61"/>
      <c r="CE938" s="61"/>
      <c r="CF938" s="61"/>
      <c r="CG938" s="61"/>
      <c r="CH938" s="61"/>
      <c r="CI938" s="61"/>
      <c r="CJ938" s="61"/>
      <c r="CK938" s="61"/>
      <c r="CL938" s="61"/>
      <c r="CM938" s="61"/>
      <c r="CN938" s="61"/>
      <c r="CO938" s="61"/>
      <c r="CP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c r="BU939" s="61"/>
      <c r="BV939" s="61"/>
      <c r="BW939" s="61"/>
      <c r="BX939" s="61"/>
      <c r="BY939" s="61"/>
      <c r="BZ939" s="61"/>
      <c r="CA939" s="61"/>
      <c r="CB939" s="61"/>
      <c r="CC939" s="61"/>
      <c r="CD939" s="61"/>
      <c r="CE939" s="61"/>
      <c r="CF939" s="61"/>
      <c r="CG939" s="61"/>
      <c r="CH939" s="61"/>
      <c r="CI939" s="61"/>
      <c r="CJ939" s="61"/>
      <c r="CK939" s="61"/>
      <c r="CL939" s="61"/>
      <c r="CM939" s="61"/>
      <c r="CN939" s="61"/>
      <c r="CO939" s="61"/>
      <c r="CP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c r="BU940" s="61"/>
      <c r="BV940" s="61"/>
      <c r="BW940" s="61"/>
      <c r="BX940" s="61"/>
      <c r="BY940" s="61"/>
      <c r="BZ940" s="61"/>
      <c r="CA940" s="61"/>
      <c r="CB940" s="61"/>
      <c r="CC940" s="61"/>
      <c r="CD940" s="61"/>
      <c r="CE940" s="61"/>
      <c r="CF940" s="61"/>
      <c r="CG940" s="61"/>
      <c r="CH940" s="61"/>
      <c r="CI940" s="61"/>
      <c r="CJ940" s="61"/>
      <c r="CK940" s="61"/>
      <c r="CL940" s="61"/>
      <c r="CM940" s="61"/>
      <c r="CN940" s="61"/>
      <c r="CO940" s="61"/>
      <c r="CP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c r="BU941" s="61"/>
      <c r="BV941" s="61"/>
      <c r="BW941" s="61"/>
      <c r="BX941" s="61"/>
      <c r="BY941" s="61"/>
      <c r="BZ941" s="61"/>
      <c r="CA941" s="61"/>
      <c r="CB941" s="61"/>
      <c r="CC941" s="61"/>
      <c r="CD941" s="61"/>
      <c r="CE941" s="61"/>
      <c r="CF941" s="61"/>
      <c r="CG941" s="61"/>
      <c r="CH941" s="61"/>
      <c r="CI941" s="61"/>
      <c r="CJ941" s="61"/>
      <c r="CK941" s="61"/>
      <c r="CL941" s="61"/>
      <c r="CM941" s="61"/>
      <c r="CN941" s="61"/>
      <c r="CO941" s="61"/>
      <c r="CP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c r="BU942" s="61"/>
      <c r="BV942" s="61"/>
      <c r="BW942" s="61"/>
      <c r="BX942" s="61"/>
      <c r="BY942" s="61"/>
      <c r="BZ942" s="61"/>
      <c r="CA942" s="61"/>
      <c r="CB942" s="61"/>
      <c r="CC942" s="61"/>
      <c r="CD942" s="61"/>
      <c r="CE942" s="61"/>
      <c r="CF942" s="61"/>
      <c r="CG942" s="61"/>
      <c r="CH942" s="61"/>
      <c r="CI942" s="61"/>
      <c r="CJ942" s="61"/>
      <c r="CK942" s="61"/>
      <c r="CL942" s="61"/>
      <c r="CM942" s="61"/>
      <c r="CN942" s="61"/>
      <c r="CO942" s="61"/>
      <c r="CP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c r="BU943" s="61"/>
      <c r="BV943" s="61"/>
      <c r="BW943" s="61"/>
      <c r="BX943" s="61"/>
      <c r="BY943" s="61"/>
      <c r="BZ943" s="61"/>
      <c r="CA943" s="61"/>
      <c r="CB943" s="61"/>
      <c r="CC943" s="61"/>
      <c r="CD943" s="61"/>
      <c r="CE943" s="61"/>
      <c r="CF943" s="61"/>
      <c r="CG943" s="61"/>
      <c r="CH943" s="61"/>
      <c r="CI943" s="61"/>
      <c r="CJ943" s="61"/>
      <c r="CK943" s="61"/>
      <c r="CL943" s="61"/>
      <c r="CM943" s="61"/>
      <c r="CN943" s="61"/>
      <c r="CO943" s="61"/>
      <c r="CP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c r="BU944" s="61"/>
      <c r="BV944" s="61"/>
      <c r="BW944" s="61"/>
      <c r="BX944" s="61"/>
      <c r="BY944" s="61"/>
      <c r="BZ944" s="61"/>
      <c r="CA944" s="61"/>
      <c r="CB944" s="61"/>
      <c r="CC944" s="61"/>
      <c r="CD944" s="61"/>
      <c r="CE944" s="61"/>
      <c r="CF944" s="61"/>
      <c r="CG944" s="61"/>
      <c r="CH944" s="61"/>
      <c r="CI944" s="61"/>
      <c r="CJ944" s="61"/>
      <c r="CK944" s="61"/>
      <c r="CL944" s="61"/>
      <c r="CM944" s="61"/>
      <c r="CN944" s="61"/>
      <c r="CO944" s="61"/>
      <c r="CP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c r="BU945" s="61"/>
      <c r="BV945" s="61"/>
      <c r="BW945" s="61"/>
      <c r="BX945" s="61"/>
      <c r="BY945" s="61"/>
      <c r="BZ945" s="61"/>
      <c r="CA945" s="61"/>
      <c r="CB945" s="61"/>
      <c r="CC945" s="61"/>
      <c r="CD945" s="61"/>
      <c r="CE945" s="61"/>
      <c r="CF945" s="61"/>
      <c r="CG945" s="61"/>
      <c r="CH945" s="61"/>
      <c r="CI945" s="61"/>
      <c r="CJ945" s="61"/>
      <c r="CK945" s="61"/>
      <c r="CL945" s="61"/>
      <c r="CM945" s="61"/>
      <c r="CN945" s="61"/>
      <c r="CO945" s="61"/>
      <c r="CP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c r="BU946" s="61"/>
      <c r="BV946" s="61"/>
      <c r="BW946" s="61"/>
      <c r="BX946" s="61"/>
      <c r="BY946" s="61"/>
      <c r="BZ946" s="61"/>
      <c r="CA946" s="61"/>
      <c r="CB946" s="61"/>
      <c r="CC946" s="61"/>
      <c r="CD946" s="61"/>
      <c r="CE946" s="61"/>
      <c r="CF946" s="61"/>
      <c r="CG946" s="61"/>
      <c r="CH946" s="61"/>
      <c r="CI946" s="61"/>
      <c r="CJ946" s="61"/>
      <c r="CK946" s="61"/>
      <c r="CL946" s="61"/>
      <c r="CM946" s="61"/>
      <c r="CN946" s="61"/>
      <c r="CO946" s="61"/>
      <c r="CP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c r="BU947" s="61"/>
      <c r="BV947" s="61"/>
      <c r="BW947" s="61"/>
      <c r="BX947" s="61"/>
      <c r="BY947" s="61"/>
      <c r="BZ947" s="61"/>
      <c r="CA947" s="61"/>
      <c r="CB947" s="61"/>
      <c r="CC947" s="61"/>
      <c r="CD947" s="61"/>
      <c r="CE947" s="61"/>
      <c r="CF947" s="61"/>
      <c r="CG947" s="61"/>
      <c r="CH947" s="61"/>
      <c r="CI947" s="61"/>
      <c r="CJ947" s="61"/>
      <c r="CK947" s="61"/>
      <c r="CL947" s="61"/>
      <c r="CM947" s="61"/>
      <c r="CN947" s="61"/>
      <c r="CO947" s="61"/>
      <c r="CP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c r="BU948" s="61"/>
      <c r="BV948" s="61"/>
      <c r="BW948" s="61"/>
      <c r="BX948" s="61"/>
      <c r="BY948" s="61"/>
      <c r="BZ948" s="61"/>
      <c r="CA948" s="61"/>
      <c r="CB948" s="61"/>
      <c r="CC948" s="61"/>
      <c r="CD948" s="61"/>
      <c r="CE948" s="61"/>
      <c r="CF948" s="61"/>
      <c r="CG948" s="61"/>
      <c r="CH948" s="61"/>
      <c r="CI948" s="61"/>
      <c r="CJ948" s="61"/>
      <c r="CK948" s="61"/>
      <c r="CL948" s="61"/>
      <c r="CM948" s="61"/>
      <c r="CN948" s="61"/>
      <c r="CO948" s="61"/>
      <c r="CP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c r="BU949" s="61"/>
      <c r="BV949" s="61"/>
      <c r="BW949" s="61"/>
      <c r="BX949" s="61"/>
      <c r="BY949" s="61"/>
      <c r="BZ949" s="61"/>
      <c r="CA949" s="61"/>
      <c r="CB949" s="61"/>
      <c r="CC949" s="61"/>
      <c r="CD949" s="61"/>
      <c r="CE949" s="61"/>
      <c r="CF949" s="61"/>
      <c r="CG949" s="61"/>
      <c r="CH949" s="61"/>
      <c r="CI949" s="61"/>
      <c r="CJ949" s="61"/>
      <c r="CK949" s="61"/>
      <c r="CL949" s="61"/>
      <c r="CM949" s="61"/>
      <c r="CN949" s="61"/>
      <c r="CO949" s="61"/>
      <c r="CP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c r="BU950" s="61"/>
      <c r="BV950" s="61"/>
      <c r="BW950" s="61"/>
      <c r="BX950" s="61"/>
      <c r="BY950" s="61"/>
      <c r="BZ950" s="61"/>
      <c r="CA950" s="61"/>
      <c r="CB950" s="61"/>
      <c r="CC950" s="61"/>
      <c r="CD950" s="61"/>
      <c r="CE950" s="61"/>
      <c r="CF950" s="61"/>
      <c r="CG950" s="61"/>
      <c r="CH950" s="61"/>
      <c r="CI950" s="61"/>
      <c r="CJ950" s="61"/>
      <c r="CK950" s="61"/>
      <c r="CL950" s="61"/>
      <c r="CM950" s="61"/>
      <c r="CN950" s="61"/>
      <c r="CO950" s="61"/>
      <c r="CP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c r="BU951" s="61"/>
      <c r="BV951" s="61"/>
      <c r="BW951" s="61"/>
      <c r="BX951" s="61"/>
      <c r="BY951" s="61"/>
      <c r="BZ951" s="61"/>
      <c r="CA951" s="61"/>
      <c r="CB951" s="61"/>
      <c r="CC951" s="61"/>
      <c r="CD951" s="61"/>
      <c r="CE951" s="61"/>
      <c r="CF951" s="61"/>
      <c r="CG951" s="61"/>
      <c r="CH951" s="61"/>
      <c r="CI951" s="61"/>
      <c r="CJ951" s="61"/>
      <c r="CK951" s="61"/>
      <c r="CL951" s="61"/>
      <c r="CM951" s="61"/>
      <c r="CN951" s="61"/>
      <c r="CO951" s="61"/>
      <c r="CP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c r="BU952" s="61"/>
      <c r="BV952" s="61"/>
      <c r="BW952" s="61"/>
      <c r="BX952" s="61"/>
      <c r="BY952" s="61"/>
      <c r="BZ952" s="61"/>
      <c r="CA952" s="61"/>
      <c r="CB952" s="61"/>
      <c r="CC952" s="61"/>
      <c r="CD952" s="61"/>
      <c r="CE952" s="61"/>
      <c r="CF952" s="61"/>
      <c r="CG952" s="61"/>
      <c r="CH952" s="61"/>
      <c r="CI952" s="61"/>
      <c r="CJ952" s="61"/>
      <c r="CK952" s="61"/>
      <c r="CL952" s="61"/>
      <c r="CM952" s="61"/>
      <c r="CN952" s="61"/>
      <c r="CO952" s="61"/>
      <c r="CP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c r="BU953" s="61"/>
      <c r="BV953" s="61"/>
      <c r="BW953" s="61"/>
      <c r="BX953" s="61"/>
      <c r="BY953" s="61"/>
      <c r="BZ953" s="61"/>
      <c r="CA953" s="61"/>
      <c r="CB953" s="61"/>
      <c r="CC953" s="61"/>
      <c r="CD953" s="61"/>
      <c r="CE953" s="61"/>
      <c r="CF953" s="61"/>
      <c r="CG953" s="61"/>
      <c r="CH953" s="61"/>
      <c r="CI953" s="61"/>
      <c r="CJ953" s="61"/>
      <c r="CK953" s="61"/>
      <c r="CL953" s="61"/>
      <c r="CM953" s="61"/>
      <c r="CN953" s="61"/>
      <c r="CO953" s="61"/>
      <c r="CP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c r="BU954" s="61"/>
      <c r="BV954" s="61"/>
      <c r="BW954" s="61"/>
      <c r="BX954" s="61"/>
      <c r="BY954" s="61"/>
      <c r="BZ954" s="61"/>
      <c r="CA954" s="61"/>
      <c r="CB954" s="61"/>
      <c r="CC954" s="61"/>
      <c r="CD954" s="61"/>
      <c r="CE954" s="61"/>
      <c r="CF954" s="61"/>
      <c r="CG954" s="61"/>
      <c r="CH954" s="61"/>
      <c r="CI954" s="61"/>
      <c r="CJ954" s="61"/>
      <c r="CK954" s="61"/>
      <c r="CL954" s="61"/>
      <c r="CM954" s="61"/>
      <c r="CN954" s="61"/>
      <c r="CO954" s="61"/>
      <c r="CP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c r="BU955" s="61"/>
      <c r="BV955" s="61"/>
      <c r="BW955" s="61"/>
      <c r="BX955" s="61"/>
      <c r="BY955" s="61"/>
      <c r="BZ955" s="61"/>
      <c r="CA955" s="61"/>
      <c r="CB955" s="61"/>
      <c r="CC955" s="61"/>
      <c r="CD955" s="61"/>
      <c r="CE955" s="61"/>
      <c r="CF955" s="61"/>
      <c r="CG955" s="61"/>
      <c r="CH955" s="61"/>
      <c r="CI955" s="61"/>
      <c r="CJ955" s="61"/>
      <c r="CK955" s="61"/>
      <c r="CL955" s="61"/>
      <c r="CM955" s="61"/>
      <c r="CN955" s="61"/>
      <c r="CO955" s="61"/>
      <c r="CP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c r="BU956" s="61"/>
      <c r="BV956" s="61"/>
      <c r="BW956" s="61"/>
      <c r="BX956" s="61"/>
      <c r="BY956" s="61"/>
      <c r="BZ956" s="61"/>
      <c r="CA956" s="61"/>
      <c r="CB956" s="61"/>
      <c r="CC956" s="61"/>
      <c r="CD956" s="61"/>
      <c r="CE956" s="61"/>
      <c r="CF956" s="61"/>
      <c r="CG956" s="61"/>
      <c r="CH956" s="61"/>
      <c r="CI956" s="61"/>
      <c r="CJ956" s="61"/>
      <c r="CK956" s="61"/>
      <c r="CL956" s="61"/>
      <c r="CM956" s="61"/>
      <c r="CN956" s="61"/>
      <c r="CO956" s="61"/>
      <c r="CP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c r="BU957" s="61"/>
      <c r="BV957" s="61"/>
      <c r="BW957" s="61"/>
      <c r="BX957" s="61"/>
      <c r="BY957" s="61"/>
      <c r="BZ957" s="61"/>
      <c r="CA957" s="61"/>
      <c r="CB957" s="61"/>
      <c r="CC957" s="61"/>
      <c r="CD957" s="61"/>
      <c r="CE957" s="61"/>
      <c r="CF957" s="61"/>
      <c r="CG957" s="61"/>
      <c r="CH957" s="61"/>
      <c r="CI957" s="61"/>
      <c r="CJ957" s="61"/>
      <c r="CK957" s="61"/>
      <c r="CL957" s="61"/>
      <c r="CM957" s="61"/>
      <c r="CN957" s="61"/>
      <c r="CO957" s="61"/>
      <c r="CP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c r="BU958" s="61"/>
      <c r="BV958" s="61"/>
      <c r="BW958" s="61"/>
      <c r="BX958" s="61"/>
      <c r="BY958" s="61"/>
      <c r="BZ958" s="61"/>
      <c r="CA958" s="61"/>
      <c r="CB958" s="61"/>
      <c r="CC958" s="61"/>
      <c r="CD958" s="61"/>
      <c r="CE958" s="61"/>
      <c r="CF958" s="61"/>
      <c r="CG958" s="61"/>
      <c r="CH958" s="61"/>
      <c r="CI958" s="61"/>
      <c r="CJ958" s="61"/>
      <c r="CK958" s="61"/>
      <c r="CL958" s="61"/>
      <c r="CM958" s="61"/>
      <c r="CN958" s="61"/>
      <c r="CO958" s="61"/>
      <c r="CP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c r="BU959" s="61"/>
      <c r="BV959" s="61"/>
      <c r="BW959" s="61"/>
      <c r="BX959" s="61"/>
      <c r="BY959" s="61"/>
      <c r="BZ959" s="61"/>
      <c r="CA959" s="61"/>
      <c r="CB959" s="61"/>
      <c r="CC959" s="61"/>
      <c r="CD959" s="61"/>
      <c r="CE959" s="61"/>
      <c r="CF959" s="61"/>
      <c r="CG959" s="61"/>
      <c r="CH959" s="61"/>
      <c r="CI959" s="61"/>
      <c r="CJ959" s="61"/>
      <c r="CK959" s="61"/>
      <c r="CL959" s="61"/>
      <c r="CM959" s="61"/>
      <c r="CN959" s="61"/>
      <c r="CO959" s="61"/>
      <c r="CP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c r="BU960" s="61"/>
      <c r="BV960" s="61"/>
      <c r="BW960" s="61"/>
      <c r="BX960" s="61"/>
      <c r="BY960" s="61"/>
      <c r="BZ960" s="61"/>
      <c r="CA960" s="61"/>
      <c r="CB960" s="61"/>
      <c r="CC960" s="61"/>
      <c r="CD960" s="61"/>
      <c r="CE960" s="61"/>
      <c r="CF960" s="61"/>
      <c r="CG960" s="61"/>
      <c r="CH960" s="61"/>
      <c r="CI960" s="61"/>
      <c r="CJ960" s="61"/>
      <c r="CK960" s="61"/>
      <c r="CL960" s="61"/>
      <c r="CM960" s="61"/>
      <c r="CN960" s="61"/>
      <c r="CO960" s="61"/>
      <c r="CP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c r="BU961" s="61"/>
      <c r="BV961" s="61"/>
      <c r="BW961" s="61"/>
      <c r="BX961" s="61"/>
      <c r="BY961" s="61"/>
      <c r="BZ961" s="61"/>
      <c r="CA961" s="61"/>
      <c r="CB961" s="61"/>
      <c r="CC961" s="61"/>
      <c r="CD961" s="61"/>
      <c r="CE961" s="61"/>
      <c r="CF961" s="61"/>
      <c r="CG961" s="61"/>
      <c r="CH961" s="61"/>
      <c r="CI961" s="61"/>
      <c r="CJ961" s="61"/>
      <c r="CK961" s="61"/>
      <c r="CL961" s="61"/>
      <c r="CM961" s="61"/>
      <c r="CN961" s="61"/>
      <c r="CO961" s="61"/>
      <c r="CP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c r="BU962" s="61"/>
      <c r="BV962" s="61"/>
      <c r="BW962" s="61"/>
      <c r="BX962" s="61"/>
      <c r="BY962" s="61"/>
      <c r="BZ962" s="61"/>
      <c r="CA962" s="61"/>
      <c r="CB962" s="61"/>
      <c r="CC962" s="61"/>
      <c r="CD962" s="61"/>
      <c r="CE962" s="61"/>
      <c r="CF962" s="61"/>
      <c r="CG962" s="61"/>
      <c r="CH962" s="61"/>
      <c r="CI962" s="61"/>
      <c r="CJ962" s="61"/>
      <c r="CK962" s="61"/>
      <c r="CL962" s="61"/>
      <c r="CM962" s="61"/>
      <c r="CN962" s="61"/>
      <c r="CO962" s="61"/>
      <c r="CP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c r="BU963" s="61"/>
      <c r="BV963" s="61"/>
      <c r="BW963" s="61"/>
      <c r="BX963" s="61"/>
      <c r="BY963" s="61"/>
      <c r="BZ963" s="61"/>
      <c r="CA963" s="61"/>
      <c r="CB963" s="61"/>
      <c r="CC963" s="61"/>
      <c r="CD963" s="61"/>
      <c r="CE963" s="61"/>
      <c r="CF963" s="61"/>
      <c r="CG963" s="61"/>
      <c r="CH963" s="61"/>
      <c r="CI963" s="61"/>
      <c r="CJ963" s="61"/>
      <c r="CK963" s="61"/>
      <c r="CL963" s="61"/>
      <c r="CM963" s="61"/>
      <c r="CN963" s="61"/>
      <c r="CO963" s="61"/>
      <c r="CP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c r="BU964" s="61"/>
      <c r="BV964" s="61"/>
      <c r="BW964" s="61"/>
      <c r="BX964" s="61"/>
      <c r="BY964" s="61"/>
      <c r="BZ964" s="61"/>
      <c r="CA964" s="61"/>
      <c r="CB964" s="61"/>
      <c r="CC964" s="61"/>
      <c r="CD964" s="61"/>
      <c r="CE964" s="61"/>
      <c r="CF964" s="61"/>
      <c r="CG964" s="61"/>
      <c r="CH964" s="61"/>
      <c r="CI964" s="61"/>
      <c r="CJ964" s="61"/>
      <c r="CK964" s="61"/>
      <c r="CL964" s="61"/>
      <c r="CM964" s="61"/>
      <c r="CN964" s="61"/>
      <c r="CO964" s="61"/>
      <c r="CP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c r="BU965" s="61"/>
      <c r="BV965" s="61"/>
      <c r="BW965" s="61"/>
      <c r="BX965" s="61"/>
      <c r="BY965" s="61"/>
      <c r="BZ965" s="61"/>
      <c r="CA965" s="61"/>
      <c r="CB965" s="61"/>
      <c r="CC965" s="61"/>
      <c r="CD965" s="61"/>
      <c r="CE965" s="61"/>
      <c r="CF965" s="61"/>
      <c r="CG965" s="61"/>
      <c r="CH965" s="61"/>
      <c r="CI965" s="61"/>
      <c r="CJ965" s="61"/>
      <c r="CK965" s="61"/>
      <c r="CL965" s="61"/>
      <c r="CM965" s="61"/>
      <c r="CN965" s="61"/>
      <c r="CO965" s="61"/>
      <c r="CP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c r="BU966" s="61"/>
      <c r="BV966" s="61"/>
      <c r="BW966" s="61"/>
      <c r="BX966" s="61"/>
      <c r="BY966" s="61"/>
      <c r="BZ966" s="61"/>
      <c r="CA966" s="61"/>
      <c r="CB966" s="61"/>
      <c r="CC966" s="61"/>
      <c r="CD966" s="61"/>
      <c r="CE966" s="61"/>
      <c r="CF966" s="61"/>
      <c r="CG966" s="61"/>
      <c r="CH966" s="61"/>
      <c r="CI966" s="61"/>
      <c r="CJ966" s="61"/>
      <c r="CK966" s="61"/>
      <c r="CL966" s="61"/>
      <c r="CM966" s="61"/>
      <c r="CN966" s="61"/>
      <c r="CO966" s="61"/>
      <c r="CP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c r="BU967" s="61"/>
      <c r="BV967" s="61"/>
      <c r="BW967" s="61"/>
      <c r="BX967" s="61"/>
      <c r="BY967" s="61"/>
      <c r="BZ967" s="61"/>
      <c r="CA967" s="61"/>
      <c r="CB967" s="61"/>
      <c r="CC967" s="61"/>
      <c r="CD967" s="61"/>
      <c r="CE967" s="61"/>
      <c r="CF967" s="61"/>
      <c r="CG967" s="61"/>
      <c r="CH967" s="61"/>
      <c r="CI967" s="61"/>
      <c r="CJ967" s="61"/>
      <c r="CK967" s="61"/>
      <c r="CL967" s="61"/>
      <c r="CM967" s="61"/>
      <c r="CN967" s="61"/>
      <c r="CO967" s="61"/>
      <c r="CP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c r="BU968" s="61"/>
      <c r="BV968" s="61"/>
      <c r="BW968" s="61"/>
      <c r="BX968" s="61"/>
      <c r="BY968" s="61"/>
      <c r="BZ968" s="61"/>
      <c r="CA968" s="61"/>
      <c r="CB968" s="61"/>
      <c r="CC968" s="61"/>
      <c r="CD968" s="61"/>
      <c r="CE968" s="61"/>
      <c r="CF968" s="61"/>
      <c r="CG968" s="61"/>
      <c r="CH968" s="61"/>
      <c r="CI968" s="61"/>
      <c r="CJ968" s="61"/>
      <c r="CK968" s="61"/>
      <c r="CL968" s="61"/>
      <c r="CM968" s="61"/>
      <c r="CN968" s="61"/>
      <c r="CO968" s="61"/>
      <c r="CP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c r="BU969" s="61"/>
      <c r="BV969" s="61"/>
      <c r="BW969" s="61"/>
      <c r="BX969" s="61"/>
      <c r="BY969" s="61"/>
      <c r="BZ969" s="61"/>
      <c r="CA969" s="61"/>
      <c r="CB969" s="61"/>
      <c r="CC969" s="61"/>
      <c r="CD969" s="61"/>
      <c r="CE969" s="61"/>
      <c r="CF969" s="61"/>
      <c r="CG969" s="61"/>
      <c r="CH969" s="61"/>
      <c r="CI969" s="61"/>
      <c r="CJ969" s="61"/>
      <c r="CK969" s="61"/>
      <c r="CL969" s="61"/>
      <c r="CM969" s="61"/>
      <c r="CN969" s="61"/>
      <c r="CO969" s="61"/>
      <c r="CP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c r="BU970" s="61"/>
      <c r="BV970" s="61"/>
      <c r="BW970" s="61"/>
      <c r="BX970" s="61"/>
      <c r="BY970" s="61"/>
      <c r="BZ970" s="61"/>
      <c r="CA970" s="61"/>
      <c r="CB970" s="61"/>
      <c r="CC970" s="61"/>
      <c r="CD970" s="61"/>
      <c r="CE970" s="61"/>
      <c r="CF970" s="61"/>
      <c r="CG970" s="61"/>
      <c r="CH970" s="61"/>
      <c r="CI970" s="61"/>
      <c r="CJ970" s="61"/>
      <c r="CK970" s="61"/>
      <c r="CL970" s="61"/>
      <c r="CM970" s="61"/>
      <c r="CN970" s="61"/>
      <c r="CO970" s="61"/>
      <c r="CP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c r="BU971" s="61"/>
      <c r="BV971" s="61"/>
      <c r="BW971" s="61"/>
      <c r="BX971" s="61"/>
      <c r="BY971" s="61"/>
      <c r="BZ971" s="61"/>
      <c r="CA971" s="61"/>
      <c r="CB971" s="61"/>
      <c r="CC971" s="61"/>
      <c r="CD971" s="61"/>
      <c r="CE971" s="61"/>
      <c r="CF971" s="61"/>
      <c r="CG971" s="61"/>
      <c r="CH971" s="61"/>
      <c r="CI971" s="61"/>
      <c r="CJ971" s="61"/>
      <c r="CK971" s="61"/>
      <c r="CL971" s="61"/>
      <c r="CM971" s="61"/>
      <c r="CN971" s="61"/>
      <c r="CO971" s="61"/>
      <c r="CP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c r="BU972" s="61"/>
      <c r="BV972" s="61"/>
      <c r="BW972" s="61"/>
      <c r="BX972" s="61"/>
      <c r="BY972" s="61"/>
      <c r="BZ972" s="61"/>
      <c r="CA972" s="61"/>
      <c r="CB972" s="61"/>
      <c r="CC972" s="61"/>
      <c r="CD972" s="61"/>
      <c r="CE972" s="61"/>
      <c r="CF972" s="61"/>
      <c r="CG972" s="61"/>
      <c r="CH972" s="61"/>
      <c r="CI972" s="61"/>
      <c r="CJ972" s="61"/>
      <c r="CK972" s="61"/>
      <c r="CL972" s="61"/>
      <c r="CM972" s="61"/>
      <c r="CN972" s="61"/>
      <c r="CO972" s="61"/>
      <c r="CP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c r="BU973" s="61"/>
      <c r="BV973" s="61"/>
      <c r="BW973" s="61"/>
      <c r="BX973" s="61"/>
      <c r="BY973" s="61"/>
      <c r="BZ973" s="61"/>
      <c r="CA973" s="61"/>
      <c r="CB973" s="61"/>
      <c r="CC973" s="61"/>
      <c r="CD973" s="61"/>
      <c r="CE973" s="61"/>
      <c r="CF973" s="61"/>
      <c r="CG973" s="61"/>
      <c r="CH973" s="61"/>
      <c r="CI973" s="61"/>
      <c r="CJ973" s="61"/>
      <c r="CK973" s="61"/>
      <c r="CL973" s="61"/>
      <c r="CM973" s="61"/>
      <c r="CN973" s="61"/>
      <c r="CO973" s="61"/>
      <c r="CP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c r="BU974" s="61"/>
      <c r="BV974" s="61"/>
      <c r="BW974" s="61"/>
      <c r="BX974" s="61"/>
      <c r="BY974" s="61"/>
      <c r="BZ974" s="61"/>
      <c r="CA974" s="61"/>
      <c r="CB974" s="61"/>
      <c r="CC974" s="61"/>
      <c r="CD974" s="61"/>
      <c r="CE974" s="61"/>
      <c r="CF974" s="61"/>
      <c r="CG974" s="61"/>
      <c r="CH974" s="61"/>
      <c r="CI974" s="61"/>
      <c r="CJ974" s="61"/>
      <c r="CK974" s="61"/>
      <c r="CL974" s="61"/>
      <c r="CM974" s="61"/>
      <c r="CN974" s="61"/>
      <c r="CO974" s="61"/>
      <c r="CP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c r="BU975" s="61"/>
      <c r="BV975" s="61"/>
      <c r="BW975" s="61"/>
      <c r="BX975" s="61"/>
      <c r="BY975" s="61"/>
      <c r="BZ975" s="61"/>
      <c r="CA975" s="61"/>
      <c r="CB975" s="61"/>
      <c r="CC975" s="61"/>
      <c r="CD975" s="61"/>
      <c r="CE975" s="61"/>
      <c r="CF975" s="61"/>
      <c r="CG975" s="61"/>
      <c r="CH975" s="61"/>
      <c r="CI975" s="61"/>
      <c r="CJ975" s="61"/>
      <c r="CK975" s="61"/>
      <c r="CL975" s="61"/>
      <c r="CM975" s="61"/>
      <c r="CN975" s="61"/>
      <c r="CO975" s="61"/>
      <c r="CP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c r="BU976" s="61"/>
      <c r="BV976" s="61"/>
      <c r="BW976" s="61"/>
      <c r="BX976" s="61"/>
      <c r="BY976" s="61"/>
      <c r="BZ976" s="61"/>
      <c r="CA976" s="61"/>
      <c r="CB976" s="61"/>
      <c r="CC976" s="61"/>
      <c r="CD976" s="61"/>
      <c r="CE976" s="61"/>
      <c r="CF976" s="61"/>
      <c r="CG976" s="61"/>
      <c r="CH976" s="61"/>
      <c r="CI976" s="61"/>
      <c r="CJ976" s="61"/>
      <c r="CK976" s="61"/>
      <c r="CL976" s="61"/>
      <c r="CM976" s="61"/>
      <c r="CN976" s="61"/>
      <c r="CO976" s="61"/>
      <c r="CP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c r="BU977" s="61"/>
      <c r="BV977" s="61"/>
      <c r="BW977" s="61"/>
      <c r="BX977" s="61"/>
      <c r="BY977" s="61"/>
      <c r="BZ977" s="61"/>
      <c r="CA977" s="61"/>
      <c r="CB977" s="61"/>
      <c r="CC977" s="61"/>
      <c r="CD977" s="61"/>
      <c r="CE977" s="61"/>
      <c r="CF977" s="61"/>
      <c r="CG977" s="61"/>
      <c r="CH977" s="61"/>
      <c r="CI977" s="61"/>
      <c r="CJ977" s="61"/>
      <c r="CK977" s="61"/>
      <c r="CL977" s="61"/>
      <c r="CM977" s="61"/>
      <c r="CN977" s="61"/>
      <c r="CO977" s="61"/>
      <c r="CP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c r="BU978" s="61"/>
      <c r="BV978" s="61"/>
      <c r="BW978" s="61"/>
      <c r="BX978" s="61"/>
      <c r="BY978" s="61"/>
      <c r="BZ978" s="61"/>
      <c r="CA978" s="61"/>
      <c r="CB978" s="61"/>
      <c r="CC978" s="61"/>
      <c r="CD978" s="61"/>
      <c r="CE978" s="61"/>
      <c r="CF978" s="61"/>
      <c r="CG978" s="61"/>
      <c r="CH978" s="61"/>
      <c r="CI978" s="61"/>
      <c r="CJ978" s="61"/>
      <c r="CK978" s="61"/>
      <c r="CL978" s="61"/>
      <c r="CM978" s="61"/>
      <c r="CN978" s="61"/>
      <c r="CO978" s="61"/>
      <c r="CP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c r="BU979" s="61"/>
      <c r="BV979" s="61"/>
      <c r="BW979" s="61"/>
      <c r="BX979" s="61"/>
      <c r="BY979" s="61"/>
      <c r="BZ979" s="61"/>
      <c r="CA979" s="61"/>
      <c r="CB979" s="61"/>
      <c r="CC979" s="61"/>
      <c r="CD979" s="61"/>
      <c r="CE979" s="61"/>
      <c r="CF979" s="61"/>
      <c r="CG979" s="61"/>
      <c r="CH979" s="61"/>
      <c r="CI979" s="61"/>
      <c r="CJ979" s="61"/>
      <c r="CK979" s="61"/>
      <c r="CL979" s="61"/>
      <c r="CM979" s="61"/>
      <c r="CN979" s="61"/>
      <c r="CO979" s="61"/>
      <c r="CP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c r="BU980" s="61"/>
      <c r="BV980" s="61"/>
      <c r="BW980" s="61"/>
      <c r="BX980" s="61"/>
      <c r="BY980" s="61"/>
      <c r="BZ980" s="61"/>
      <c r="CA980" s="61"/>
      <c r="CB980" s="61"/>
      <c r="CC980" s="61"/>
      <c r="CD980" s="61"/>
      <c r="CE980" s="61"/>
      <c r="CF980" s="61"/>
      <c r="CG980" s="61"/>
      <c r="CH980" s="61"/>
      <c r="CI980" s="61"/>
      <c r="CJ980" s="61"/>
      <c r="CK980" s="61"/>
      <c r="CL980" s="61"/>
      <c r="CM980" s="61"/>
      <c r="CN980" s="61"/>
      <c r="CO980" s="61"/>
      <c r="CP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c r="BU981" s="61"/>
      <c r="BV981" s="61"/>
      <c r="BW981" s="61"/>
      <c r="BX981" s="61"/>
      <c r="BY981" s="61"/>
      <c r="BZ981" s="61"/>
      <c r="CA981" s="61"/>
      <c r="CB981" s="61"/>
      <c r="CC981" s="61"/>
      <c r="CD981" s="61"/>
      <c r="CE981" s="61"/>
      <c r="CF981" s="61"/>
      <c r="CG981" s="61"/>
      <c r="CH981" s="61"/>
      <c r="CI981" s="61"/>
      <c r="CJ981" s="61"/>
      <c r="CK981" s="61"/>
      <c r="CL981" s="61"/>
      <c r="CM981" s="61"/>
      <c r="CN981" s="61"/>
      <c r="CO981" s="61"/>
      <c r="CP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c r="BU982" s="61"/>
      <c r="BV982" s="61"/>
      <c r="BW982" s="61"/>
      <c r="BX982" s="61"/>
      <c r="BY982" s="61"/>
      <c r="BZ982" s="61"/>
      <c r="CA982" s="61"/>
      <c r="CB982" s="61"/>
      <c r="CC982" s="61"/>
      <c r="CD982" s="61"/>
      <c r="CE982" s="61"/>
      <c r="CF982" s="61"/>
      <c r="CG982" s="61"/>
      <c r="CH982" s="61"/>
      <c r="CI982" s="61"/>
      <c r="CJ982" s="61"/>
      <c r="CK982" s="61"/>
      <c r="CL982" s="61"/>
      <c r="CM982" s="61"/>
      <c r="CN982" s="61"/>
      <c r="CO982" s="61"/>
      <c r="CP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M983" s="61"/>
      <c r="AN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c r="BU983" s="61"/>
      <c r="BV983" s="61"/>
      <c r="BW983" s="61"/>
      <c r="BX983" s="61"/>
      <c r="BY983" s="61"/>
      <c r="BZ983" s="61"/>
      <c r="CA983" s="61"/>
      <c r="CB983" s="61"/>
      <c r="CC983" s="61"/>
      <c r="CD983" s="61"/>
      <c r="CE983" s="61"/>
      <c r="CF983" s="61"/>
      <c r="CG983" s="61"/>
      <c r="CH983" s="61"/>
      <c r="CI983" s="61"/>
      <c r="CJ983" s="61"/>
      <c r="CK983" s="61"/>
      <c r="CL983" s="61"/>
      <c r="CM983" s="61"/>
      <c r="CN983" s="61"/>
      <c r="CO983" s="61"/>
      <c r="CP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M984" s="61"/>
      <c r="AN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c r="BU984" s="61"/>
      <c r="BV984" s="61"/>
      <c r="BW984" s="61"/>
      <c r="BX984" s="61"/>
      <c r="BY984" s="61"/>
      <c r="BZ984" s="61"/>
      <c r="CA984" s="61"/>
      <c r="CB984" s="61"/>
      <c r="CC984" s="61"/>
      <c r="CD984" s="61"/>
      <c r="CE984" s="61"/>
      <c r="CF984" s="61"/>
      <c r="CG984" s="61"/>
      <c r="CH984" s="61"/>
      <c r="CI984" s="61"/>
      <c r="CJ984" s="61"/>
      <c r="CK984" s="61"/>
      <c r="CL984" s="61"/>
      <c r="CM984" s="61"/>
      <c r="CN984" s="61"/>
      <c r="CO984" s="61"/>
      <c r="CP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M985" s="61"/>
      <c r="AN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c r="BU985" s="61"/>
      <c r="BV985" s="61"/>
      <c r="BW985" s="61"/>
      <c r="BX985" s="61"/>
      <c r="BY985" s="61"/>
      <c r="BZ985" s="61"/>
      <c r="CA985" s="61"/>
      <c r="CB985" s="61"/>
      <c r="CC985" s="61"/>
      <c r="CD985" s="61"/>
      <c r="CE985" s="61"/>
      <c r="CF985" s="61"/>
      <c r="CG985" s="61"/>
      <c r="CH985" s="61"/>
      <c r="CI985" s="61"/>
      <c r="CJ985" s="61"/>
      <c r="CK985" s="61"/>
      <c r="CL985" s="61"/>
      <c r="CM985" s="61"/>
      <c r="CN985" s="61"/>
      <c r="CO985" s="61"/>
      <c r="CP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M986" s="61"/>
      <c r="AN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c r="BU986" s="61"/>
      <c r="BV986" s="61"/>
      <c r="BW986" s="61"/>
      <c r="BX986" s="61"/>
      <c r="BY986" s="61"/>
      <c r="BZ986" s="61"/>
      <c r="CA986" s="61"/>
      <c r="CB986" s="61"/>
      <c r="CC986" s="61"/>
      <c r="CD986" s="61"/>
      <c r="CE986" s="61"/>
      <c r="CF986" s="61"/>
      <c r="CG986" s="61"/>
      <c r="CH986" s="61"/>
      <c r="CI986" s="61"/>
      <c r="CJ986" s="61"/>
      <c r="CK986" s="61"/>
      <c r="CL986" s="61"/>
      <c r="CM986" s="61"/>
      <c r="CN986" s="61"/>
      <c r="CO986" s="61"/>
      <c r="CP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M987" s="61"/>
      <c r="AN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c r="BU987" s="61"/>
      <c r="BV987" s="61"/>
      <c r="BW987" s="61"/>
      <c r="BX987" s="61"/>
      <c r="BY987" s="61"/>
      <c r="BZ987" s="61"/>
      <c r="CA987" s="61"/>
      <c r="CB987" s="61"/>
      <c r="CC987" s="61"/>
      <c r="CD987" s="61"/>
      <c r="CE987" s="61"/>
      <c r="CF987" s="61"/>
      <c r="CG987" s="61"/>
      <c r="CH987" s="61"/>
      <c r="CI987" s="61"/>
      <c r="CJ987" s="61"/>
      <c r="CK987" s="61"/>
      <c r="CL987" s="61"/>
      <c r="CM987" s="61"/>
      <c r="CN987" s="61"/>
      <c r="CO987" s="61"/>
      <c r="CP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M988" s="61"/>
      <c r="AN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c r="BU988" s="61"/>
      <c r="BV988" s="61"/>
      <c r="BW988" s="61"/>
      <c r="BX988" s="61"/>
      <c r="BY988" s="61"/>
      <c r="BZ988" s="61"/>
      <c r="CA988" s="61"/>
      <c r="CB988" s="61"/>
      <c r="CC988" s="61"/>
      <c r="CD988" s="61"/>
      <c r="CE988" s="61"/>
      <c r="CF988" s="61"/>
      <c r="CG988" s="61"/>
      <c r="CH988" s="61"/>
      <c r="CI988" s="61"/>
      <c r="CJ988" s="61"/>
      <c r="CK988" s="61"/>
      <c r="CL988" s="61"/>
      <c r="CM988" s="61"/>
      <c r="CN988" s="61"/>
      <c r="CO988" s="61"/>
      <c r="CP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M989" s="61"/>
      <c r="AN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c r="BU989" s="61"/>
      <c r="BV989" s="61"/>
      <c r="BW989" s="61"/>
      <c r="BX989" s="61"/>
      <c r="BY989" s="61"/>
      <c r="BZ989" s="61"/>
      <c r="CA989" s="61"/>
      <c r="CB989" s="61"/>
      <c r="CC989" s="61"/>
      <c r="CD989" s="61"/>
      <c r="CE989" s="61"/>
      <c r="CF989" s="61"/>
      <c r="CG989" s="61"/>
      <c r="CH989" s="61"/>
      <c r="CI989" s="61"/>
      <c r="CJ989" s="61"/>
      <c r="CK989" s="61"/>
      <c r="CL989" s="61"/>
      <c r="CM989" s="61"/>
      <c r="CN989" s="61"/>
      <c r="CO989" s="61"/>
      <c r="CP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M990" s="61"/>
      <c r="AN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c r="BU990" s="61"/>
      <c r="BV990" s="61"/>
      <c r="BW990" s="61"/>
      <c r="BX990" s="61"/>
      <c r="BY990" s="61"/>
      <c r="BZ990" s="61"/>
      <c r="CA990" s="61"/>
      <c r="CB990" s="61"/>
      <c r="CC990" s="61"/>
      <c r="CD990" s="61"/>
      <c r="CE990" s="61"/>
      <c r="CF990" s="61"/>
      <c r="CG990" s="61"/>
      <c r="CH990" s="61"/>
      <c r="CI990" s="61"/>
      <c r="CJ990" s="61"/>
      <c r="CK990" s="61"/>
      <c r="CL990" s="61"/>
      <c r="CM990" s="61"/>
      <c r="CN990" s="61"/>
      <c r="CO990" s="61"/>
      <c r="CP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M991" s="61"/>
      <c r="AN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c r="BU991" s="61"/>
      <c r="BV991" s="61"/>
      <c r="BW991" s="61"/>
      <c r="BX991" s="61"/>
      <c r="BY991" s="61"/>
      <c r="BZ991" s="61"/>
      <c r="CA991" s="61"/>
      <c r="CB991" s="61"/>
      <c r="CC991" s="61"/>
      <c r="CD991" s="61"/>
      <c r="CE991" s="61"/>
      <c r="CF991" s="61"/>
      <c r="CG991" s="61"/>
      <c r="CH991" s="61"/>
      <c r="CI991" s="61"/>
      <c r="CJ991" s="61"/>
      <c r="CK991" s="61"/>
      <c r="CL991" s="61"/>
      <c r="CM991" s="61"/>
      <c r="CN991" s="61"/>
      <c r="CO991" s="61"/>
      <c r="CP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M992" s="61"/>
      <c r="AN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c r="BU992" s="61"/>
      <c r="BV992" s="61"/>
      <c r="BW992" s="61"/>
      <c r="BX992" s="61"/>
      <c r="BY992" s="61"/>
      <c r="BZ992" s="61"/>
      <c r="CA992" s="61"/>
      <c r="CB992" s="61"/>
      <c r="CC992" s="61"/>
      <c r="CD992" s="61"/>
      <c r="CE992" s="61"/>
      <c r="CF992" s="61"/>
      <c r="CG992" s="61"/>
      <c r="CH992" s="61"/>
      <c r="CI992" s="61"/>
      <c r="CJ992" s="61"/>
      <c r="CK992" s="61"/>
      <c r="CL992" s="61"/>
      <c r="CM992" s="61"/>
      <c r="CN992" s="61"/>
      <c r="CO992" s="61"/>
      <c r="CP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M993" s="61"/>
      <c r="AN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c r="BU993" s="61"/>
      <c r="BV993" s="61"/>
      <c r="BW993" s="61"/>
      <c r="BX993" s="61"/>
      <c r="BY993" s="61"/>
      <c r="BZ993" s="61"/>
      <c r="CA993" s="61"/>
      <c r="CB993" s="61"/>
      <c r="CC993" s="61"/>
      <c r="CD993" s="61"/>
      <c r="CE993" s="61"/>
      <c r="CF993" s="61"/>
      <c r="CG993" s="61"/>
      <c r="CH993" s="61"/>
      <c r="CI993" s="61"/>
      <c r="CJ993" s="61"/>
      <c r="CK993" s="61"/>
      <c r="CL993" s="61"/>
      <c r="CM993" s="61"/>
      <c r="CN993" s="61"/>
      <c r="CO993" s="61"/>
      <c r="CP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M994" s="61"/>
      <c r="AN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c r="BU994" s="61"/>
      <c r="BV994" s="61"/>
      <c r="BW994" s="61"/>
      <c r="BX994" s="61"/>
      <c r="BY994" s="61"/>
      <c r="BZ994" s="61"/>
      <c r="CA994" s="61"/>
      <c r="CB994" s="61"/>
      <c r="CC994" s="61"/>
      <c r="CD994" s="61"/>
      <c r="CE994" s="61"/>
      <c r="CF994" s="61"/>
      <c r="CG994" s="61"/>
      <c r="CH994" s="61"/>
      <c r="CI994" s="61"/>
      <c r="CJ994" s="61"/>
      <c r="CK994" s="61"/>
      <c r="CL994" s="61"/>
      <c r="CM994" s="61"/>
      <c r="CN994" s="61"/>
      <c r="CO994" s="61"/>
      <c r="CP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M995" s="61"/>
      <c r="AN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c r="BU995" s="61"/>
      <c r="BV995" s="61"/>
      <c r="BW995" s="61"/>
      <c r="BX995" s="61"/>
      <c r="BY995" s="61"/>
      <c r="BZ995" s="61"/>
      <c r="CA995" s="61"/>
      <c r="CB995" s="61"/>
      <c r="CC995" s="61"/>
      <c r="CD995" s="61"/>
      <c r="CE995" s="61"/>
      <c r="CF995" s="61"/>
      <c r="CG995" s="61"/>
      <c r="CH995" s="61"/>
      <c r="CI995" s="61"/>
      <c r="CJ995" s="61"/>
      <c r="CK995" s="61"/>
      <c r="CL995" s="61"/>
      <c r="CM995" s="61"/>
      <c r="CN995" s="61"/>
      <c r="CO995" s="61"/>
      <c r="CP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M996" s="61"/>
      <c r="AN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c r="BU996" s="61"/>
      <c r="BV996" s="61"/>
      <c r="BW996" s="61"/>
      <c r="BX996" s="61"/>
      <c r="BY996" s="61"/>
      <c r="BZ996" s="61"/>
      <c r="CA996" s="61"/>
      <c r="CB996" s="61"/>
      <c r="CC996" s="61"/>
      <c r="CD996" s="61"/>
      <c r="CE996" s="61"/>
      <c r="CF996" s="61"/>
      <c r="CG996" s="61"/>
      <c r="CH996" s="61"/>
      <c r="CI996" s="61"/>
      <c r="CJ996" s="61"/>
      <c r="CK996" s="61"/>
      <c r="CL996" s="61"/>
      <c r="CM996" s="61"/>
      <c r="CN996" s="61"/>
      <c r="CO996" s="61"/>
      <c r="CP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M997" s="61"/>
      <c r="AN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c r="BU997" s="61"/>
      <c r="BV997" s="61"/>
      <c r="BW997" s="61"/>
      <c r="BX997" s="61"/>
      <c r="BY997" s="61"/>
      <c r="BZ997" s="61"/>
      <c r="CA997" s="61"/>
      <c r="CB997" s="61"/>
      <c r="CC997" s="61"/>
      <c r="CD997" s="61"/>
      <c r="CE997" s="61"/>
      <c r="CF997" s="61"/>
      <c r="CG997" s="61"/>
      <c r="CH997" s="61"/>
      <c r="CI997" s="61"/>
      <c r="CJ997" s="61"/>
      <c r="CK997" s="61"/>
      <c r="CL997" s="61"/>
      <c r="CM997" s="61"/>
      <c r="CN997" s="61"/>
      <c r="CO997" s="61"/>
      <c r="CP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M998" s="61"/>
      <c r="AN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c r="BU998" s="61"/>
      <c r="BV998" s="61"/>
      <c r="BW998" s="61"/>
      <c r="BX998" s="61"/>
      <c r="BY998" s="61"/>
      <c r="BZ998" s="61"/>
      <c r="CA998" s="61"/>
      <c r="CB998" s="61"/>
      <c r="CC998" s="61"/>
      <c r="CD998" s="61"/>
      <c r="CE998" s="61"/>
      <c r="CF998" s="61"/>
      <c r="CG998" s="61"/>
      <c r="CH998" s="61"/>
      <c r="CI998" s="61"/>
      <c r="CJ998" s="61"/>
      <c r="CK998" s="61"/>
      <c r="CL998" s="61"/>
      <c r="CM998" s="61"/>
      <c r="CN998" s="61"/>
      <c r="CO998" s="61"/>
      <c r="CP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M999" s="61"/>
      <c r="AN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c r="BU999" s="61"/>
      <c r="BV999" s="61"/>
      <c r="BW999" s="61"/>
      <c r="BX999" s="61"/>
      <c r="BY999" s="61"/>
      <c r="BZ999" s="61"/>
      <c r="CA999" s="61"/>
      <c r="CB999" s="61"/>
      <c r="CC999" s="61"/>
      <c r="CD999" s="61"/>
      <c r="CE999" s="61"/>
      <c r="CF999" s="61"/>
      <c r="CG999" s="61"/>
      <c r="CH999" s="61"/>
      <c r="CI999" s="61"/>
      <c r="CJ999" s="61"/>
      <c r="CK999" s="61"/>
      <c r="CL999" s="61"/>
      <c r="CM999" s="61"/>
      <c r="CN999" s="61"/>
      <c r="CO999" s="61"/>
      <c r="CP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M1000" s="61"/>
      <c r="AN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c r="BU1000" s="61"/>
      <c r="BV1000" s="61"/>
      <c r="BW1000" s="61"/>
      <c r="BX1000" s="61"/>
      <c r="BY1000" s="61"/>
      <c r="BZ1000" s="61"/>
      <c r="CA1000" s="61"/>
      <c r="CB1000" s="61"/>
      <c r="CC1000" s="61"/>
      <c r="CD1000" s="61"/>
      <c r="CE1000" s="61"/>
      <c r="CF1000" s="61"/>
      <c r="CG1000" s="61"/>
      <c r="CH1000" s="61"/>
      <c r="CI1000" s="61"/>
      <c r="CJ1000" s="61"/>
      <c r="CK1000" s="61"/>
      <c r="CL1000" s="61"/>
      <c r="CM1000" s="61"/>
      <c r="CN1000" s="61"/>
      <c r="CO1000" s="61"/>
      <c r="CP1000" s="61"/>
    </row>
  </sheetData>
  <autoFilter ref="$A$8:$CK$162"/>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8" t="s">
        <v>349</v>
      </c>
      <c r="B1" s="53"/>
      <c r="C1" s="53"/>
      <c r="D1" s="38" t="s">
        <v>350</v>
      </c>
    </row>
    <row r="2" ht="15.75" customHeight="1">
      <c r="B2" s="53"/>
      <c r="C2" s="53"/>
      <c r="J2" s="2">
        <v>46113.0</v>
      </c>
      <c r="K2" s="2">
        <v>46143.0</v>
      </c>
      <c r="L2" s="2">
        <v>46174.0</v>
      </c>
      <c r="M2" s="2">
        <v>46204.0</v>
      </c>
      <c r="N2" s="2">
        <v>46235.0</v>
      </c>
      <c r="O2" s="2">
        <v>46266.0</v>
      </c>
      <c r="P2" s="3">
        <v>46296.0</v>
      </c>
      <c r="Q2" s="3">
        <v>46327.0</v>
      </c>
      <c r="R2" s="3">
        <v>46357.0</v>
      </c>
      <c r="S2" s="2">
        <v>46388.0</v>
      </c>
      <c r="T2" s="2">
        <v>46419.0</v>
      </c>
      <c r="U2" s="2">
        <v>46447.0</v>
      </c>
      <c r="V2" s="38" t="s">
        <v>225</v>
      </c>
    </row>
    <row r="3" ht="15.75" customHeight="1">
      <c r="A3" s="38"/>
      <c r="B3" s="53"/>
      <c r="C3" s="53"/>
      <c r="D3" s="38" t="s">
        <v>1</v>
      </c>
    </row>
    <row r="4" ht="15.75" customHeight="1">
      <c r="A4" s="59" t="str">
        <f t="array" ref="A4">XLOOKUP(C4, 'マスタ'!$C$2:$C$312, 'マスタ'!$D$2:$D$312, "マスタ未登録")</f>
        <v>売上高</v>
      </c>
      <c r="B4" s="53" t="str">
        <f>IF(AND(C4&lt;&gt;"", COUNTIF('マスタ'!$C:$C, C4)=0), "マスタ未登録", "")</f>
        <v/>
      </c>
      <c r="C4" s="53" t="str">
        <f t="shared" ref="C4:C50" si="1">D4&amp;D109&amp;E4&amp;F4&amp;G4&amp;H4</f>
        <v>売上高</v>
      </c>
      <c r="E4" s="38" t="s">
        <v>1</v>
      </c>
      <c r="J4" s="38">
        <v>2.12652E7</v>
      </c>
      <c r="K4" s="38">
        <v>3.2272288E7</v>
      </c>
      <c r="L4" s="38">
        <v>0.0</v>
      </c>
      <c r="M4" s="38">
        <v>0.0</v>
      </c>
      <c r="N4" s="38">
        <v>0.0</v>
      </c>
      <c r="O4" s="38">
        <v>0.0</v>
      </c>
      <c r="P4" s="38">
        <v>0.0</v>
      </c>
      <c r="Q4" s="38">
        <v>0.0</v>
      </c>
      <c r="R4" s="38">
        <v>0.0</v>
      </c>
      <c r="S4" s="38">
        <v>0.0</v>
      </c>
      <c r="T4" s="38">
        <v>0.0</v>
      </c>
      <c r="U4" s="38">
        <v>0.0</v>
      </c>
      <c r="V4" s="38">
        <v>5.3537488E7</v>
      </c>
    </row>
    <row r="5" ht="15.75" customHeight="1">
      <c r="A5" s="59" t="str">
        <f t="array" ref="A5">XLOOKUP(C5, 'マスタ'!$C$2:$C$312, 'マスタ'!$D$2:$D$312, "マスタ未登録")</f>
        <v>マスタ未登録</v>
      </c>
      <c r="B5" s="53" t="str">
        <f>IF(AND(C5&lt;&gt;"", COUNTIF('マスタ'!$C:$C, C5)=0), "マスタ未登録", "")</f>
        <v>マスタ未登録</v>
      </c>
      <c r="C5" s="53" t="str">
        <f t="shared" si="1"/>
        <v>売上高 計</v>
      </c>
      <c r="D5" s="38" t="s">
        <v>226</v>
      </c>
      <c r="J5" s="38">
        <v>2.12652E7</v>
      </c>
      <c r="K5" s="38">
        <v>3.2272288E7</v>
      </c>
      <c r="L5" s="38">
        <v>0.0</v>
      </c>
      <c r="M5" s="38">
        <v>0.0</v>
      </c>
      <c r="N5" s="38">
        <v>0.0</v>
      </c>
      <c r="O5" s="38">
        <v>0.0</v>
      </c>
      <c r="P5" s="38">
        <v>0.0</v>
      </c>
      <c r="Q5" s="38">
        <v>0.0</v>
      </c>
      <c r="R5" s="38">
        <v>0.0</v>
      </c>
      <c r="S5" s="38">
        <v>0.0</v>
      </c>
      <c r="T5" s="38">
        <v>0.0</v>
      </c>
      <c r="U5" s="38">
        <v>0.0</v>
      </c>
      <c r="V5" s="38">
        <v>5.3537488E7</v>
      </c>
    </row>
    <row r="6" ht="15.75" customHeight="1">
      <c r="A6" s="59" t="str">
        <f t="array" ref="A6">XLOOKUP(C6, 'マスタ'!$C$2:$C$312, 'マスタ'!$D$2:$D$312, "マスタ未登録")</f>
        <v>マスタ未登録</v>
      </c>
      <c r="B6" s="53" t="str">
        <f>IF(AND(C6&lt;&gt;"", COUNTIF('マスタ'!$C:$C, C6)=0), "マスタ未登録", "")</f>
        <v>マスタ未登録</v>
      </c>
      <c r="C6" s="53" t="str">
        <f t="shared" si="1"/>
        <v>売上原価</v>
      </c>
      <c r="E6" s="38" t="s">
        <v>28</v>
      </c>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E7" s="38" t="s">
        <v>28</v>
      </c>
      <c r="J7" s="38">
        <v>1.3187465E7</v>
      </c>
      <c r="K7" s="38">
        <v>1.5954741E7</v>
      </c>
      <c r="L7" s="38">
        <v>684688.0</v>
      </c>
      <c r="M7" s="38">
        <v>461927.0</v>
      </c>
      <c r="N7" s="38">
        <v>461927.0</v>
      </c>
      <c r="O7" s="38">
        <v>461927.0</v>
      </c>
      <c r="P7" s="38">
        <v>461927.0</v>
      </c>
      <c r="Q7" s="38">
        <v>461927.0</v>
      </c>
      <c r="R7" s="38">
        <v>461927.0</v>
      </c>
      <c r="S7" s="38">
        <v>461927.0</v>
      </c>
      <c r="T7" s="38">
        <v>461927.0</v>
      </c>
      <c r="U7" s="38">
        <v>461957.0</v>
      </c>
      <c r="V7" s="38">
        <v>3.3984267E7</v>
      </c>
    </row>
    <row r="8" ht="15.75" customHeight="1">
      <c r="A8" s="59" t="str">
        <f t="array" ref="A8">XLOOKUP(C8, 'マスタ'!$C$2:$C$312, 'マスタ'!$D$2:$D$312, "マスタ未登録")</f>
        <v>期首商品棚卸高</v>
      </c>
      <c r="B8" s="53" t="str">
        <f>IF(AND(C8&lt;&gt;"", COUNTIF('マスタ'!$C:$C, C8)=0), "マスタ未登録", "")</f>
        <v/>
      </c>
      <c r="C8" s="53" t="str">
        <f t="shared" si="1"/>
        <v>期首商品棚卸</v>
      </c>
      <c r="G8" s="38" t="s">
        <v>227</v>
      </c>
      <c r="J8" s="38">
        <v>0.0</v>
      </c>
      <c r="K8" s="38">
        <v>0.0</v>
      </c>
      <c r="L8" s="38">
        <v>0.0</v>
      </c>
      <c r="M8" s="38">
        <v>0.0</v>
      </c>
      <c r="N8" s="38">
        <v>0.0</v>
      </c>
      <c r="O8" s="38">
        <v>0.0</v>
      </c>
      <c r="P8" s="38">
        <v>0.0</v>
      </c>
      <c r="Q8" s="38">
        <v>0.0</v>
      </c>
      <c r="R8" s="38">
        <v>0.0</v>
      </c>
      <c r="S8" s="38">
        <v>0.0</v>
      </c>
      <c r="T8" s="38">
        <v>0.0</v>
      </c>
      <c r="U8" s="38">
        <v>0.0</v>
      </c>
      <c r="V8" s="38">
        <v>0.0</v>
      </c>
    </row>
    <row r="9" ht="15.75" customHeight="1">
      <c r="A9" s="59" t="str">
        <f t="array" ref="A9">XLOOKUP(C9, 'マスタ'!$C$2:$C$312, 'マスタ'!$D$2:$D$312, "マスタ未登録")</f>
        <v>当期商品仕入高</v>
      </c>
      <c r="B9" s="53" t="str">
        <f>IF(AND(C9&lt;&gt;"", COUNTIF('マスタ'!$C:$C, C9)=0), "マスタ未登録", "")</f>
        <v/>
      </c>
      <c r="C9" s="53" t="str">
        <f t="shared" si="1"/>
        <v>当期商品仕入</v>
      </c>
      <c r="G9" s="38" t="s">
        <v>228</v>
      </c>
      <c r="J9" s="38">
        <v>1.3187465E7</v>
      </c>
      <c r="K9" s="38">
        <v>1.5954741E7</v>
      </c>
      <c r="L9" s="38">
        <v>684688.0</v>
      </c>
      <c r="M9" s="38">
        <v>461927.0</v>
      </c>
      <c r="N9" s="38">
        <v>461927.0</v>
      </c>
      <c r="O9" s="38">
        <v>461927.0</v>
      </c>
      <c r="P9" s="38">
        <v>461927.0</v>
      </c>
      <c r="Q9" s="38">
        <v>461927.0</v>
      </c>
      <c r="R9" s="38">
        <v>461927.0</v>
      </c>
      <c r="S9" s="38">
        <v>461927.0</v>
      </c>
      <c r="T9" s="38">
        <v>461927.0</v>
      </c>
      <c r="U9" s="38">
        <v>461957.0</v>
      </c>
      <c r="V9" s="38">
        <v>3.3984267E7</v>
      </c>
    </row>
    <row r="10" ht="15.75" customHeight="1">
      <c r="A10" s="59" t="str">
        <f t="array" ref="A10">XLOOKUP(C10, 'マスタ'!$C$2:$C$312, 'マスタ'!$D$2:$D$312, "マスタ未登録")</f>
        <v>当期商品仕入高</v>
      </c>
      <c r="B10" s="53" t="str">
        <f>IF(AND(C10&lt;&gt;"", COUNTIF('マスタ'!$C:$C, C10)=0), "マスタ未登録", "")</f>
        <v/>
      </c>
      <c r="C10" s="53" t="str">
        <f t="shared" si="1"/>
        <v>給料手当(原)</v>
      </c>
      <c r="H10" s="38" t="s">
        <v>229</v>
      </c>
      <c r="J10" s="38">
        <v>2258594.0</v>
      </c>
      <c r="K10" s="38">
        <v>2555829.0</v>
      </c>
      <c r="L10" s="38">
        <v>0.0</v>
      </c>
      <c r="M10" s="38">
        <v>0.0</v>
      </c>
      <c r="N10" s="38">
        <v>0.0</v>
      </c>
      <c r="O10" s="38">
        <v>0.0</v>
      </c>
      <c r="P10" s="38">
        <v>0.0</v>
      </c>
      <c r="Q10" s="38">
        <v>0.0</v>
      </c>
      <c r="R10" s="38">
        <v>0.0</v>
      </c>
      <c r="S10" s="38">
        <v>0.0</v>
      </c>
      <c r="T10" s="38">
        <v>0.0</v>
      </c>
      <c r="U10" s="38">
        <v>0.0</v>
      </c>
      <c r="V10" s="38">
        <v>4814423.0</v>
      </c>
    </row>
    <row r="11" ht="15.75" customHeight="1">
      <c r="A11" s="59" t="str">
        <f t="array" ref="A11">XLOOKUP(C11, 'マスタ'!$C$2:$C$312, 'マスタ'!$D$2:$D$312, "マスタ未登録")</f>
        <v>当期商品仕入高</v>
      </c>
      <c r="B11" s="53" t="str">
        <f>IF(AND(C11&lt;&gt;"", COUNTIF('マスタ'!$C:$C, C11)=0), "マスタ未登録", "")</f>
        <v/>
      </c>
      <c r="C11" s="53" t="str">
        <f t="shared" si="1"/>
        <v>法定福利費(原)</v>
      </c>
      <c r="H11" s="38" t="s">
        <v>230</v>
      </c>
      <c r="J11" s="38">
        <v>441611.0</v>
      </c>
      <c r="K11" s="38">
        <v>484872.0</v>
      </c>
      <c r="L11" s="38">
        <v>0.0</v>
      </c>
      <c r="M11" s="38">
        <v>0.0</v>
      </c>
      <c r="N11" s="38">
        <v>0.0</v>
      </c>
      <c r="O11" s="38">
        <v>0.0</v>
      </c>
      <c r="P11" s="38">
        <v>0.0</v>
      </c>
      <c r="Q11" s="38">
        <v>0.0</v>
      </c>
      <c r="R11" s="38">
        <v>0.0</v>
      </c>
      <c r="S11" s="38">
        <v>0.0</v>
      </c>
      <c r="T11" s="38">
        <v>0.0</v>
      </c>
      <c r="U11" s="38">
        <v>0.0</v>
      </c>
      <c r="V11" s="38">
        <v>926483.0</v>
      </c>
    </row>
    <row r="12" ht="15.75" customHeight="1">
      <c r="A12" s="59" t="str">
        <f t="array" ref="A12">XLOOKUP(C12, 'マスタ'!$C$2:$C$312, 'マスタ'!$D$2:$D$312, "マスタ未登録")</f>
        <v>当期商品仕入高</v>
      </c>
      <c r="B12" s="53" t="str">
        <f>IF(AND(C12&lt;&gt;"", COUNTIF('マスタ'!$C:$C, C12)=0), "マスタ未登録", "")</f>
        <v/>
      </c>
      <c r="C12" s="53" t="str">
        <f t="shared" si="1"/>
        <v>外注費(原)</v>
      </c>
      <c r="H12" s="38" t="s">
        <v>231</v>
      </c>
      <c r="J12" s="38">
        <v>9032770.0</v>
      </c>
      <c r="K12" s="38">
        <v>1.113145E7</v>
      </c>
      <c r="L12" s="38">
        <v>0.0</v>
      </c>
      <c r="M12" s="38">
        <v>0.0</v>
      </c>
      <c r="N12" s="38">
        <v>0.0</v>
      </c>
      <c r="O12" s="38">
        <v>0.0</v>
      </c>
      <c r="P12" s="38">
        <v>0.0</v>
      </c>
      <c r="Q12" s="38">
        <v>0.0</v>
      </c>
      <c r="R12" s="38">
        <v>0.0</v>
      </c>
      <c r="S12" s="38">
        <v>0.0</v>
      </c>
      <c r="T12" s="38">
        <v>0.0</v>
      </c>
      <c r="U12" s="38">
        <v>0.0</v>
      </c>
      <c r="V12" s="38">
        <v>2.016422E7</v>
      </c>
    </row>
    <row r="13" ht="15.75" customHeight="1">
      <c r="A13" s="59" t="str">
        <f t="array" ref="A13">XLOOKUP(C13, 'マスタ'!$C$2:$C$312, 'マスタ'!$D$2:$D$312, "マスタ未登録")</f>
        <v>当期商品仕入高</v>
      </c>
      <c r="B13" s="53" t="str">
        <f>IF(AND(C13&lt;&gt;"", COUNTIF('マスタ'!$C:$C, C13)=0), "マスタ未登録", "")</f>
        <v/>
      </c>
      <c r="C13" s="53" t="str">
        <f t="shared" si="1"/>
        <v>業務委託費(原)</v>
      </c>
      <c r="H13" s="38" t="s">
        <v>232</v>
      </c>
      <c r="J13" s="38">
        <v>595037.0</v>
      </c>
      <c r="K13" s="38">
        <v>904952.0</v>
      </c>
      <c r="L13" s="38">
        <v>0.0</v>
      </c>
      <c r="M13" s="38">
        <v>0.0</v>
      </c>
      <c r="N13" s="38">
        <v>0.0</v>
      </c>
      <c r="O13" s="38">
        <v>0.0</v>
      </c>
      <c r="P13" s="38">
        <v>0.0</v>
      </c>
      <c r="Q13" s="38">
        <v>0.0</v>
      </c>
      <c r="R13" s="38">
        <v>0.0</v>
      </c>
      <c r="S13" s="38">
        <v>0.0</v>
      </c>
      <c r="T13" s="38">
        <v>0.0</v>
      </c>
      <c r="U13" s="38">
        <v>0.0</v>
      </c>
      <c r="V13" s="38">
        <v>1499989.0</v>
      </c>
    </row>
    <row r="14" ht="15.75" customHeight="1">
      <c r="A14" s="59" t="str">
        <f t="array" ref="A14">XLOOKUP(C14, 'マスタ'!$C$2:$C$312, 'マスタ'!$D$2:$D$312, "マスタ未登録")</f>
        <v>当期商品仕入高</v>
      </c>
      <c r="B14" s="53" t="str">
        <f>IF(AND(C14&lt;&gt;"", COUNTIF('マスタ'!$C:$C, C14)=0), "マスタ未登録", "")</f>
        <v/>
      </c>
      <c r="C14" s="53" t="str">
        <f t="shared" si="1"/>
        <v>旅費交通費(原)</v>
      </c>
      <c r="H14" s="38" t="s">
        <v>233</v>
      </c>
      <c r="J14" s="38">
        <v>100628.0</v>
      </c>
      <c r="K14" s="38">
        <v>141651.0</v>
      </c>
      <c r="L14" s="38">
        <v>0.0</v>
      </c>
      <c r="M14" s="38">
        <v>0.0</v>
      </c>
      <c r="N14" s="38">
        <v>0.0</v>
      </c>
      <c r="O14" s="38">
        <v>0.0</v>
      </c>
      <c r="P14" s="38">
        <v>0.0</v>
      </c>
      <c r="Q14" s="38">
        <v>0.0</v>
      </c>
      <c r="R14" s="38">
        <v>0.0</v>
      </c>
      <c r="S14" s="38">
        <v>0.0</v>
      </c>
      <c r="T14" s="38">
        <v>0.0</v>
      </c>
      <c r="U14" s="38">
        <v>0.0</v>
      </c>
      <c r="V14" s="38">
        <v>242279.0</v>
      </c>
    </row>
    <row r="15" ht="15.75" customHeight="1">
      <c r="A15" s="59" t="str">
        <f t="array" ref="A15">XLOOKUP(C15, 'マスタ'!$C$2:$C$312, 'マスタ'!$D$2:$D$312, "マスタ未登録")</f>
        <v>当期商品仕入高</v>
      </c>
      <c r="B15" s="53" t="str">
        <f>IF(AND(C15&lt;&gt;"", COUNTIF('マスタ'!$C:$C, C15)=0), "マスタ未登録", "")</f>
        <v/>
      </c>
      <c r="C15" s="53" t="str">
        <f t="shared" si="1"/>
        <v>消耗品費(原)</v>
      </c>
      <c r="H15" s="38" t="s">
        <v>234</v>
      </c>
      <c r="J15" s="38">
        <v>537.0</v>
      </c>
      <c r="K15" s="38">
        <v>0.0</v>
      </c>
      <c r="L15" s="38">
        <v>0.0</v>
      </c>
      <c r="M15" s="38">
        <v>0.0</v>
      </c>
      <c r="N15" s="38">
        <v>0.0</v>
      </c>
      <c r="O15" s="38">
        <v>0.0</v>
      </c>
      <c r="P15" s="38">
        <v>0.0</v>
      </c>
      <c r="Q15" s="38">
        <v>0.0</v>
      </c>
      <c r="R15" s="38">
        <v>0.0</v>
      </c>
      <c r="S15" s="38">
        <v>0.0</v>
      </c>
      <c r="T15" s="38">
        <v>0.0</v>
      </c>
      <c r="U15" s="38">
        <v>0.0</v>
      </c>
      <c r="V15" s="38">
        <v>537.0</v>
      </c>
    </row>
    <row r="16" ht="15.75" customHeight="1">
      <c r="A16" s="59" t="str">
        <f t="array" ref="A16">XLOOKUP(C16, 'マスタ'!$C$2:$C$312, 'マスタ'!$D$2:$D$312, "マスタ未登録")</f>
        <v>当期商品仕入高</v>
      </c>
      <c r="B16" s="53" t="str">
        <f>IF(AND(C16&lt;&gt;"", COUNTIF('マスタ'!$C:$C, C16)=0), "マスタ未登録", "")</f>
        <v/>
      </c>
      <c r="C16" s="53" t="str">
        <f t="shared" si="1"/>
        <v>通信費(原)</v>
      </c>
      <c r="H16" s="38" t="s">
        <v>351</v>
      </c>
      <c r="J16" s="38">
        <v>296361.0</v>
      </c>
      <c r="K16" s="38">
        <v>274060.0</v>
      </c>
      <c r="L16" s="38">
        <v>222761.0</v>
      </c>
      <c r="M16" s="38">
        <v>0.0</v>
      </c>
      <c r="N16" s="38">
        <v>0.0</v>
      </c>
      <c r="O16" s="38">
        <v>0.0</v>
      </c>
      <c r="P16" s="38">
        <v>0.0</v>
      </c>
      <c r="Q16" s="38">
        <v>0.0</v>
      </c>
      <c r="R16" s="38">
        <v>0.0</v>
      </c>
      <c r="S16" s="38">
        <v>0.0</v>
      </c>
      <c r="T16" s="38">
        <v>0.0</v>
      </c>
      <c r="U16" s="38">
        <v>0.0</v>
      </c>
      <c r="V16" s="38">
        <v>793182.0</v>
      </c>
    </row>
    <row r="17" ht="15.75" customHeight="1">
      <c r="A17" s="59" t="str">
        <f t="array" ref="A17">XLOOKUP(C17, 'マスタ'!$C$2:$C$312, 'マスタ'!$D$2:$D$312, "マスタ未登録")</f>
        <v>当期商品仕入高</v>
      </c>
      <c r="B17" s="53" t="str">
        <f>IF(AND(C17&lt;&gt;"", COUNTIF('マスタ'!$C:$C, C17)=0), "マスタ未登録", "")</f>
        <v/>
      </c>
      <c r="C17" s="53" t="str">
        <f t="shared" si="1"/>
        <v>減価償却費(原)</v>
      </c>
      <c r="H17" s="38" t="s">
        <v>352</v>
      </c>
      <c r="J17" s="38">
        <v>461927.0</v>
      </c>
      <c r="K17" s="38">
        <v>461927.0</v>
      </c>
      <c r="L17" s="38">
        <v>461927.0</v>
      </c>
      <c r="M17" s="38">
        <v>461927.0</v>
      </c>
      <c r="N17" s="38">
        <v>461927.0</v>
      </c>
      <c r="O17" s="38">
        <v>461927.0</v>
      </c>
      <c r="P17" s="38">
        <v>461927.0</v>
      </c>
      <c r="Q17" s="38">
        <v>461927.0</v>
      </c>
      <c r="R17" s="38">
        <v>461927.0</v>
      </c>
      <c r="S17" s="38">
        <v>461927.0</v>
      </c>
      <c r="T17" s="38">
        <v>461927.0</v>
      </c>
      <c r="U17" s="38">
        <v>461957.0</v>
      </c>
      <c r="V17" s="38">
        <v>5543154.0</v>
      </c>
    </row>
    <row r="18" ht="15.75" customHeight="1">
      <c r="A18" s="59" t="str">
        <f t="array" ref="A18">XLOOKUP(C18, 'マスタ'!$C$2:$C$312, 'マスタ'!$D$2:$D$312, "マスタ未登録")</f>
        <v>他勘定振替高</v>
      </c>
      <c r="B18" s="53" t="str">
        <f>IF(AND(C18&lt;&gt;"", COUNTIF('マスタ'!$C:$C, C18)=0), "マスタ未登録", "")</f>
        <v/>
      </c>
      <c r="C18" s="53" t="str">
        <f t="shared" si="1"/>
        <v>他勘定振替高(商)</v>
      </c>
      <c r="G18" s="38" t="s">
        <v>235</v>
      </c>
      <c r="J18" s="38">
        <v>0.0</v>
      </c>
      <c r="K18" s="38">
        <v>0.0</v>
      </c>
      <c r="L18" s="38">
        <v>0.0</v>
      </c>
      <c r="M18" s="38">
        <v>0.0</v>
      </c>
      <c r="N18" s="38">
        <v>0.0</v>
      </c>
      <c r="O18" s="38">
        <v>0.0</v>
      </c>
      <c r="P18" s="38">
        <v>0.0</v>
      </c>
      <c r="Q18" s="38">
        <v>0.0</v>
      </c>
      <c r="R18" s="38">
        <v>0.0</v>
      </c>
      <c r="S18" s="38">
        <v>0.0</v>
      </c>
      <c r="T18" s="38">
        <v>0.0</v>
      </c>
      <c r="U18" s="38">
        <v>0.0</v>
      </c>
      <c r="V18" s="38">
        <v>0.0</v>
      </c>
    </row>
    <row r="19" ht="15.75" customHeight="1">
      <c r="A19" s="59" t="str">
        <f t="array" ref="A19">XLOOKUP(C19, 'マスタ'!$C$2:$C$312, 'マスタ'!$D$2:$D$312, "マスタ未登録")</f>
        <v>期末商品棚卸高</v>
      </c>
      <c r="B19" s="53" t="str">
        <f>IF(AND(C19&lt;&gt;"", COUNTIF('マスタ'!$C:$C, C19)=0), "マスタ未登録", "")</f>
        <v/>
      </c>
      <c r="C19" s="53" t="str">
        <f t="shared" si="1"/>
        <v>期末商品棚卸</v>
      </c>
      <c r="G19" s="38" t="s">
        <v>236</v>
      </c>
      <c r="J19" s="38">
        <v>0.0</v>
      </c>
      <c r="K19" s="38">
        <v>0.0</v>
      </c>
      <c r="L19" s="38">
        <v>0.0</v>
      </c>
      <c r="M19" s="38">
        <v>0.0</v>
      </c>
      <c r="N19" s="38">
        <v>0.0</v>
      </c>
      <c r="O19" s="38">
        <v>0.0</v>
      </c>
      <c r="P19" s="38">
        <v>0.0</v>
      </c>
      <c r="Q19" s="38">
        <v>0.0</v>
      </c>
      <c r="R19" s="38">
        <v>0.0</v>
      </c>
      <c r="S19" s="38">
        <v>0.0</v>
      </c>
      <c r="T19" s="38">
        <v>0.0</v>
      </c>
      <c r="U19" s="38">
        <v>0.0</v>
      </c>
      <c r="V19" s="38">
        <v>0.0</v>
      </c>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商品売上原価</v>
      </c>
      <c r="F20" s="38" t="s">
        <v>3</v>
      </c>
      <c r="J20" s="38">
        <v>1.3187465E7</v>
      </c>
      <c r="K20" s="38">
        <v>1.5954741E7</v>
      </c>
      <c r="L20" s="38">
        <v>684688.0</v>
      </c>
      <c r="M20" s="38">
        <v>461927.0</v>
      </c>
      <c r="N20" s="38">
        <v>461927.0</v>
      </c>
      <c r="O20" s="38">
        <v>461927.0</v>
      </c>
      <c r="P20" s="38">
        <v>461927.0</v>
      </c>
      <c r="Q20" s="38">
        <v>461927.0</v>
      </c>
      <c r="R20" s="38">
        <v>461927.0</v>
      </c>
      <c r="S20" s="38">
        <v>461927.0</v>
      </c>
      <c r="T20" s="38">
        <v>461927.0</v>
      </c>
      <c r="U20" s="38">
        <v>461957.0</v>
      </c>
      <c r="V20" s="38">
        <v>3.3984267E7</v>
      </c>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売上総損益金額</v>
      </c>
      <c r="D21" s="38" t="s">
        <v>237</v>
      </c>
      <c r="J21" s="38">
        <v>8077735.0</v>
      </c>
      <c r="K21" s="38">
        <v>1.6317547E7</v>
      </c>
      <c r="L21" s="38">
        <v>-684688.0</v>
      </c>
      <c r="M21" s="38">
        <v>-461927.0</v>
      </c>
      <c r="N21" s="38">
        <v>-461927.0</v>
      </c>
      <c r="O21" s="38">
        <v>-461927.0</v>
      </c>
      <c r="P21" s="38">
        <v>-461927.0</v>
      </c>
      <c r="Q21" s="38">
        <v>-461927.0</v>
      </c>
      <c r="R21" s="38">
        <v>-461927.0</v>
      </c>
      <c r="S21" s="38">
        <v>-461927.0</v>
      </c>
      <c r="T21" s="38">
        <v>-461927.0</v>
      </c>
      <c r="U21" s="38">
        <v>-461957.0</v>
      </c>
      <c r="V21" s="38">
        <v>1.9553221E7</v>
      </c>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販売管理費</v>
      </c>
      <c r="E22" s="38" t="s">
        <v>238</v>
      </c>
    </row>
    <row r="23" ht="15.75" customHeight="1">
      <c r="A23" s="59" t="str">
        <f t="array" ref="A23">XLOOKUP(C23, 'マスタ'!$C$2:$C$312, 'マスタ'!$D$2:$D$312, "マスタ未登録")</f>
        <v>役員報酬</v>
      </c>
      <c r="B23" s="53" t="str">
        <f>IF(AND(C23&lt;&gt;"", COUNTIF('マスタ'!$C:$C, C23)=0), "マスタ未登録", "")</f>
        <v/>
      </c>
      <c r="C23" s="53" t="str">
        <f t="shared" si="1"/>
        <v>役員報酬</v>
      </c>
      <c r="F23" s="38" t="s">
        <v>72</v>
      </c>
      <c r="J23" s="38">
        <v>1200000.0</v>
      </c>
      <c r="K23" s="38">
        <v>1200000.0</v>
      </c>
      <c r="L23" s="38">
        <v>0.0</v>
      </c>
      <c r="M23" s="38">
        <v>0.0</v>
      </c>
      <c r="N23" s="38">
        <v>0.0</v>
      </c>
      <c r="O23" s="38">
        <v>0.0</v>
      </c>
      <c r="P23" s="38">
        <v>0.0</v>
      </c>
      <c r="Q23" s="38">
        <v>0.0</v>
      </c>
      <c r="R23" s="38">
        <v>0.0</v>
      </c>
      <c r="S23" s="38">
        <v>0.0</v>
      </c>
      <c r="T23" s="38">
        <v>0.0</v>
      </c>
      <c r="U23" s="38">
        <v>0.0</v>
      </c>
      <c r="V23" s="38">
        <v>2400000.0</v>
      </c>
    </row>
    <row r="24" ht="15.75" customHeight="1">
      <c r="A24" s="59" t="str">
        <f t="array" ref="A24">XLOOKUP(C24, 'マスタ'!$C$2:$C$312, 'マスタ'!$D$2:$D$312, "マスタ未登録")</f>
        <v>採用教育費</v>
      </c>
      <c r="B24" s="53" t="str">
        <f>IF(AND(C24&lt;&gt;"", COUNTIF('マスタ'!$C:$C, C24)=0), "マスタ未登録", "")</f>
        <v/>
      </c>
      <c r="C24" s="53" t="str">
        <f t="shared" si="1"/>
        <v>採用教育費</v>
      </c>
      <c r="F24" s="38" t="s">
        <v>77</v>
      </c>
      <c r="J24" s="38">
        <v>138000.0</v>
      </c>
      <c r="K24" s="38">
        <v>55000.0</v>
      </c>
      <c r="L24" s="38">
        <v>55000.0</v>
      </c>
      <c r="M24" s="38">
        <v>55000.0</v>
      </c>
      <c r="N24" s="38">
        <v>55000.0</v>
      </c>
      <c r="O24" s="38">
        <v>55000.0</v>
      </c>
      <c r="P24" s="38">
        <v>55000.0</v>
      </c>
      <c r="Q24" s="38">
        <v>55000.0</v>
      </c>
      <c r="R24" s="38">
        <v>55000.0</v>
      </c>
      <c r="S24" s="38">
        <v>55000.0</v>
      </c>
      <c r="T24" s="38">
        <v>55000.0</v>
      </c>
      <c r="U24" s="38">
        <v>55000.0</v>
      </c>
      <c r="V24" s="38">
        <v>743000.0</v>
      </c>
    </row>
    <row r="25" ht="15.75" customHeight="1">
      <c r="A25" s="59" t="str">
        <f t="array" ref="A25">XLOOKUP(C25, 'マスタ'!$C$2:$C$312, 'マスタ'!$D$2:$D$312, "マスタ未登録")</f>
        <v>業務委託費</v>
      </c>
      <c r="B25" s="53" t="str">
        <f>IF(AND(C25&lt;&gt;"", COUNTIF('マスタ'!$C:$C, C25)=0), "マスタ未登録", "")</f>
        <v/>
      </c>
      <c r="C25" s="53" t="str">
        <f t="shared" si="1"/>
        <v>業務委託費</v>
      </c>
      <c r="F25" s="38" t="s">
        <v>78</v>
      </c>
      <c r="J25" s="38">
        <v>250420.0</v>
      </c>
      <c r="K25" s="38">
        <v>454055.0</v>
      </c>
      <c r="L25" s="38">
        <v>0.0</v>
      </c>
      <c r="M25" s="38">
        <v>0.0</v>
      </c>
      <c r="N25" s="38">
        <v>0.0</v>
      </c>
      <c r="O25" s="38">
        <v>0.0</v>
      </c>
      <c r="P25" s="38">
        <v>0.0</v>
      </c>
      <c r="Q25" s="38">
        <v>0.0</v>
      </c>
      <c r="R25" s="38">
        <v>0.0</v>
      </c>
      <c r="S25" s="38">
        <v>0.0</v>
      </c>
      <c r="T25" s="38">
        <v>0.0</v>
      </c>
      <c r="U25" s="38">
        <v>0.0</v>
      </c>
      <c r="V25" s="38">
        <v>704475.0</v>
      </c>
    </row>
    <row r="26" ht="15.75" customHeight="1">
      <c r="A26" s="59" t="str">
        <f t="array" ref="A26">XLOOKUP(C26, 'マスタ'!$C$2:$C$312, 'マスタ'!$D$2:$D$312, "マスタ未登録")</f>
        <v>外注費</v>
      </c>
      <c r="B26" s="53" t="str">
        <f>IF(AND(C26&lt;&gt;"", COUNTIF('マスタ'!$C:$C, C26)=0), "マスタ未登録", "")</f>
        <v/>
      </c>
      <c r="C26" s="53" t="str">
        <f t="shared" si="1"/>
        <v>外注費</v>
      </c>
      <c r="F26" s="38" t="s">
        <v>79</v>
      </c>
      <c r="J26" s="38">
        <v>-47.0</v>
      </c>
      <c r="K26" s="38">
        <v>0.0</v>
      </c>
      <c r="L26" s="38">
        <v>0.0</v>
      </c>
      <c r="M26" s="38">
        <v>0.0</v>
      </c>
      <c r="N26" s="38">
        <v>0.0</v>
      </c>
      <c r="O26" s="38">
        <v>0.0</v>
      </c>
      <c r="P26" s="38">
        <v>0.0</v>
      </c>
      <c r="Q26" s="38">
        <v>0.0</v>
      </c>
      <c r="R26" s="38">
        <v>0.0</v>
      </c>
      <c r="S26" s="38">
        <v>0.0</v>
      </c>
      <c r="T26" s="38">
        <v>0.0</v>
      </c>
      <c r="U26" s="38">
        <v>0.0</v>
      </c>
      <c r="V26" s="38">
        <v>-47.0</v>
      </c>
    </row>
    <row r="27" ht="15.75" customHeight="1">
      <c r="A27" s="59" t="str">
        <f t="array" ref="A27">XLOOKUP(C27, 'マスタ'!$C$2:$C$312, 'マスタ'!$D$2:$D$312, "マスタ未登録")</f>
        <v>広告宣伝費</v>
      </c>
      <c r="B27" s="53" t="str">
        <f>IF(AND(C27&lt;&gt;"", COUNTIF('マスタ'!$C:$C, C27)=0), "マスタ未登録", "")</f>
        <v/>
      </c>
      <c r="C27" s="53" t="str">
        <f t="shared" si="1"/>
        <v>広告宣伝費</v>
      </c>
      <c r="F27" s="38" t="s">
        <v>81</v>
      </c>
      <c r="J27" s="38">
        <v>23260.0</v>
      </c>
      <c r="K27" s="38">
        <v>15260.0</v>
      </c>
      <c r="L27" s="38">
        <v>0.0</v>
      </c>
      <c r="M27" s="38">
        <v>0.0</v>
      </c>
      <c r="N27" s="38">
        <v>0.0</v>
      </c>
      <c r="O27" s="38">
        <v>0.0</v>
      </c>
      <c r="P27" s="38">
        <v>0.0</v>
      </c>
      <c r="Q27" s="38">
        <v>0.0</v>
      </c>
      <c r="R27" s="38">
        <v>0.0</v>
      </c>
      <c r="S27" s="38">
        <v>0.0</v>
      </c>
      <c r="T27" s="38">
        <v>0.0</v>
      </c>
      <c r="U27" s="38">
        <v>0.0</v>
      </c>
      <c r="V27" s="38">
        <v>38520.0</v>
      </c>
    </row>
    <row r="28" ht="15.75" customHeight="1">
      <c r="A28" s="59" t="str">
        <f t="array" ref="A28">XLOOKUP(C28, 'マスタ'!$C$2:$C$312, 'マスタ'!$D$2:$D$312, "マスタ未登録")</f>
        <v>接待交際費</v>
      </c>
      <c r="B28" s="53" t="str">
        <f>IF(AND(C28&lt;&gt;"", COUNTIF('マスタ'!$C:$C, C28)=0), "マスタ未登録", "")</f>
        <v/>
      </c>
      <c r="C28" s="53" t="str">
        <f t="shared" si="1"/>
        <v>交際費</v>
      </c>
      <c r="F28" s="38" t="s">
        <v>353</v>
      </c>
      <c r="J28" s="38">
        <v>124321.0</v>
      </c>
      <c r="K28" s="38">
        <v>34454.0</v>
      </c>
      <c r="L28" s="38">
        <v>0.0</v>
      </c>
      <c r="M28" s="38">
        <v>0.0</v>
      </c>
      <c r="N28" s="38">
        <v>0.0</v>
      </c>
      <c r="O28" s="38">
        <v>0.0</v>
      </c>
      <c r="P28" s="38">
        <v>0.0</v>
      </c>
      <c r="Q28" s="38">
        <v>0.0</v>
      </c>
      <c r="R28" s="38">
        <v>0.0</v>
      </c>
      <c r="S28" s="38">
        <v>0.0</v>
      </c>
      <c r="T28" s="38">
        <v>0.0</v>
      </c>
      <c r="U28" s="38">
        <v>0.0</v>
      </c>
      <c r="V28" s="38">
        <v>158775.0</v>
      </c>
    </row>
    <row r="29" ht="15.75" customHeight="1">
      <c r="A29" s="59" t="str">
        <f t="array" ref="A29">XLOOKUP(C29, 'マスタ'!$C$2:$C$312, 'マスタ'!$D$2:$D$312, "マスタ未登録")</f>
        <v>旅費交通費</v>
      </c>
      <c r="B29" s="53" t="str">
        <f>IF(AND(C29&lt;&gt;"", COUNTIF('マスタ'!$C:$C, C29)=0), "マスタ未登録", "")</f>
        <v/>
      </c>
      <c r="C29" s="53" t="str">
        <f t="shared" si="1"/>
        <v>旅費交通費</v>
      </c>
      <c r="F29" s="38" t="s">
        <v>83</v>
      </c>
      <c r="J29" s="38">
        <v>143057.0</v>
      </c>
      <c r="K29" s="38">
        <v>105502.0</v>
      </c>
      <c r="L29" s="38">
        <v>0.0</v>
      </c>
      <c r="M29" s="38">
        <v>0.0</v>
      </c>
      <c r="N29" s="38">
        <v>0.0</v>
      </c>
      <c r="O29" s="38">
        <v>0.0</v>
      </c>
      <c r="P29" s="38">
        <v>0.0</v>
      </c>
      <c r="Q29" s="38">
        <v>0.0</v>
      </c>
      <c r="R29" s="38">
        <v>0.0</v>
      </c>
      <c r="S29" s="38">
        <v>0.0</v>
      </c>
      <c r="T29" s="38">
        <v>0.0</v>
      </c>
      <c r="U29" s="38">
        <v>0.0</v>
      </c>
      <c r="V29" s="38">
        <v>248559.0</v>
      </c>
    </row>
    <row r="30" ht="15.75" customHeight="1">
      <c r="A30" s="59" t="str">
        <f t="array" ref="A30">XLOOKUP(C30, 'マスタ'!$C$2:$C$312, 'マスタ'!$D$2:$D$312, "マスタ未登録")</f>
        <v>通信費</v>
      </c>
      <c r="B30" s="53" t="str">
        <f>IF(AND(C30&lt;&gt;"", COUNTIF('マスタ'!$C:$C, C30)=0), "マスタ未登録", "")</f>
        <v/>
      </c>
      <c r="C30" s="53" t="str">
        <f t="shared" si="1"/>
        <v>通信費</v>
      </c>
      <c r="F30" s="38" t="s">
        <v>84</v>
      </c>
      <c r="J30" s="38">
        <v>157510.0</v>
      </c>
      <c r="K30" s="38">
        <v>328433.0</v>
      </c>
      <c r="L30" s="38">
        <v>33326.0</v>
      </c>
      <c r="M30" s="38">
        <v>0.0</v>
      </c>
      <c r="N30" s="38">
        <v>0.0</v>
      </c>
      <c r="O30" s="38">
        <v>0.0</v>
      </c>
      <c r="P30" s="38">
        <v>0.0</v>
      </c>
      <c r="Q30" s="38">
        <v>0.0</v>
      </c>
      <c r="R30" s="38">
        <v>0.0</v>
      </c>
      <c r="S30" s="38">
        <v>0.0</v>
      </c>
      <c r="T30" s="38">
        <v>0.0</v>
      </c>
      <c r="U30" s="38">
        <v>0.0</v>
      </c>
      <c r="V30" s="38">
        <v>519269.0</v>
      </c>
    </row>
    <row r="31" ht="15.75" customHeight="1">
      <c r="A31" s="59" t="str">
        <f t="array" ref="A31">XLOOKUP(C31, 'マスタ'!$C$2:$C$312, 'マスタ'!$D$2:$D$312, "マスタ未登録")</f>
        <v>消耗品費</v>
      </c>
      <c r="B31" s="53" t="str">
        <f>IF(AND(C31&lt;&gt;"", COUNTIF('マスタ'!$C:$C, C31)=0), "マスタ未登録", "")</f>
        <v/>
      </c>
      <c r="C31" s="53" t="str">
        <f t="shared" si="1"/>
        <v>消耗品費</v>
      </c>
      <c r="F31" s="38" t="s">
        <v>86</v>
      </c>
      <c r="J31" s="38">
        <v>54825.0</v>
      </c>
      <c r="K31" s="38">
        <v>21018.0</v>
      </c>
      <c r="L31" s="38">
        <v>1174.0</v>
      </c>
      <c r="M31" s="38">
        <v>0.0</v>
      </c>
      <c r="N31" s="38">
        <v>0.0</v>
      </c>
      <c r="O31" s="38">
        <v>0.0</v>
      </c>
      <c r="P31" s="38">
        <v>0.0</v>
      </c>
      <c r="Q31" s="38">
        <v>0.0</v>
      </c>
      <c r="R31" s="38">
        <v>0.0</v>
      </c>
      <c r="S31" s="38">
        <v>0.0</v>
      </c>
      <c r="T31" s="38">
        <v>0.0</v>
      </c>
      <c r="U31" s="38">
        <v>0.0</v>
      </c>
      <c r="V31" s="38">
        <v>77017.0</v>
      </c>
    </row>
    <row r="32" ht="15.75" customHeight="1">
      <c r="A32" s="59" t="str">
        <f t="array" ref="A32">XLOOKUP(C32, 'マスタ'!$C$2:$C$312, 'マスタ'!$D$2:$D$312, "マスタ未登録")</f>
        <v>諸会費</v>
      </c>
      <c r="B32" s="53" t="str">
        <f>IF(AND(C32&lt;&gt;"", COUNTIF('マスタ'!$C:$C, C32)=0), "マスタ未登録", "")</f>
        <v/>
      </c>
      <c r="C32" s="53" t="str">
        <f t="shared" si="1"/>
        <v>諸会費</v>
      </c>
      <c r="F32" s="38" t="s">
        <v>98</v>
      </c>
      <c r="J32" s="38">
        <v>600.0</v>
      </c>
      <c r="K32" s="38">
        <v>600.0</v>
      </c>
      <c r="L32" s="38">
        <v>0.0</v>
      </c>
      <c r="M32" s="38">
        <v>0.0</v>
      </c>
      <c r="N32" s="38">
        <v>0.0</v>
      </c>
      <c r="O32" s="38">
        <v>0.0</v>
      </c>
      <c r="P32" s="38">
        <v>0.0</v>
      </c>
      <c r="Q32" s="38">
        <v>0.0</v>
      </c>
      <c r="R32" s="38">
        <v>0.0</v>
      </c>
      <c r="S32" s="38">
        <v>0.0</v>
      </c>
      <c r="T32" s="38">
        <v>0.0</v>
      </c>
      <c r="U32" s="38">
        <v>0.0</v>
      </c>
      <c r="V32" s="38">
        <v>1200.0</v>
      </c>
    </row>
    <row r="33" ht="15.75" customHeight="1">
      <c r="A33" s="59" t="str">
        <f t="array" ref="A33">XLOOKUP(C33, 'マスタ'!$C$2:$C$312, 'マスタ'!$D$2:$D$312, "マスタ未登録")</f>
        <v>支払手数料</v>
      </c>
      <c r="B33" s="53" t="str">
        <f>IF(AND(C33&lt;&gt;"", COUNTIF('マスタ'!$C:$C, C33)=0), "マスタ未登録", "")</f>
        <v/>
      </c>
      <c r="C33" s="53" t="str">
        <f t="shared" si="1"/>
        <v>支払手数料</v>
      </c>
      <c r="F33" s="38" t="s">
        <v>92</v>
      </c>
      <c r="J33" s="38">
        <v>25482.0</v>
      </c>
      <c r="K33" s="38">
        <v>19700.0</v>
      </c>
      <c r="L33" s="38">
        <v>0.0</v>
      </c>
      <c r="M33" s="38">
        <v>0.0</v>
      </c>
      <c r="N33" s="38">
        <v>0.0</v>
      </c>
      <c r="O33" s="38">
        <v>0.0</v>
      </c>
      <c r="P33" s="38">
        <v>0.0</v>
      </c>
      <c r="Q33" s="38">
        <v>0.0</v>
      </c>
      <c r="R33" s="38">
        <v>0.0</v>
      </c>
      <c r="S33" s="38">
        <v>0.0</v>
      </c>
      <c r="T33" s="38">
        <v>0.0</v>
      </c>
      <c r="U33" s="38">
        <v>0.0</v>
      </c>
      <c r="V33" s="38">
        <v>45182.0</v>
      </c>
    </row>
    <row r="34" ht="15.75" customHeight="1">
      <c r="A34" s="59" t="str">
        <f t="array" ref="A34">XLOOKUP(C34, 'マスタ'!$C$2:$C$312, 'マスタ'!$D$2:$D$312, "マスタ未登録")</f>
        <v>地代家賃</v>
      </c>
      <c r="B34" s="53" t="str">
        <f>IF(AND(C34&lt;&gt;"", COUNTIF('マスタ'!$C:$C, C34)=0), "マスタ未登録", "")</f>
        <v/>
      </c>
      <c r="C34" s="53" t="str">
        <f t="shared" si="1"/>
        <v>地代家賃</v>
      </c>
      <c r="F34" s="38" t="s">
        <v>87</v>
      </c>
      <c r="J34" s="38">
        <v>150000.0</v>
      </c>
      <c r="K34" s="38">
        <v>170000.0</v>
      </c>
      <c r="L34" s="38">
        <v>0.0</v>
      </c>
      <c r="M34" s="38">
        <v>0.0</v>
      </c>
      <c r="N34" s="38">
        <v>0.0</v>
      </c>
      <c r="O34" s="38">
        <v>0.0</v>
      </c>
      <c r="P34" s="38">
        <v>0.0</v>
      </c>
      <c r="Q34" s="38">
        <v>0.0</v>
      </c>
      <c r="R34" s="38">
        <v>0.0</v>
      </c>
      <c r="S34" s="38">
        <v>0.0</v>
      </c>
      <c r="T34" s="38">
        <v>0.0</v>
      </c>
      <c r="U34" s="38">
        <v>0.0</v>
      </c>
      <c r="V34" s="38">
        <v>320000.0</v>
      </c>
    </row>
    <row r="35" ht="15.75" customHeight="1">
      <c r="A35" s="59" t="str">
        <f t="array" ref="A35">XLOOKUP(C35, 'マスタ'!$C$2:$C$312, 'マスタ'!$D$2:$D$312, "マスタ未登録")</f>
        <v>リース料</v>
      </c>
      <c r="B35" s="53" t="str">
        <f>IF(AND(C35&lt;&gt;"", COUNTIF('マスタ'!$C:$C, C35)=0), "マスタ未登録", "")</f>
        <v/>
      </c>
      <c r="C35" s="53" t="str">
        <f t="shared" si="1"/>
        <v>リース料</v>
      </c>
      <c r="F35" s="38" t="s">
        <v>88</v>
      </c>
      <c r="J35" s="38">
        <v>5610.0</v>
      </c>
      <c r="K35" s="38">
        <v>5500.0</v>
      </c>
      <c r="L35" s="38">
        <v>0.0</v>
      </c>
      <c r="M35" s="38">
        <v>0.0</v>
      </c>
      <c r="N35" s="38">
        <v>0.0</v>
      </c>
      <c r="O35" s="38">
        <v>0.0</v>
      </c>
      <c r="P35" s="38">
        <v>0.0</v>
      </c>
      <c r="Q35" s="38">
        <v>0.0</v>
      </c>
      <c r="R35" s="38">
        <v>0.0</v>
      </c>
      <c r="S35" s="38">
        <v>0.0</v>
      </c>
      <c r="T35" s="38">
        <v>0.0</v>
      </c>
      <c r="U35" s="38">
        <v>0.0</v>
      </c>
      <c r="V35" s="38">
        <v>11110.0</v>
      </c>
    </row>
    <row r="36" ht="15.75" customHeight="1">
      <c r="A36" s="59" t="str">
        <f t="array" ref="A36">XLOOKUP(C36, 'マスタ'!$C$2:$C$312, 'マスタ'!$D$2:$D$312, "マスタ未登録")</f>
        <v>租税公課</v>
      </c>
      <c r="B36" s="53" t="str">
        <f>IF(AND(C36&lt;&gt;"", COUNTIF('マスタ'!$C:$C, C36)=0), "マスタ未登録", "")</f>
        <v/>
      </c>
      <c r="C36" s="53" t="str">
        <f t="shared" si="1"/>
        <v>租税公課</v>
      </c>
      <c r="F36" s="38" t="s">
        <v>91</v>
      </c>
      <c r="J36" s="38">
        <v>0.0</v>
      </c>
      <c r="K36" s="38">
        <v>64721.0</v>
      </c>
      <c r="L36" s="38">
        <v>0.0</v>
      </c>
      <c r="M36" s="38">
        <v>0.0</v>
      </c>
      <c r="N36" s="38">
        <v>0.0</v>
      </c>
      <c r="O36" s="38">
        <v>0.0</v>
      </c>
      <c r="P36" s="38">
        <v>0.0</v>
      </c>
      <c r="Q36" s="38">
        <v>0.0</v>
      </c>
      <c r="R36" s="38">
        <v>0.0</v>
      </c>
      <c r="S36" s="38">
        <v>0.0</v>
      </c>
      <c r="T36" s="38">
        <v>0.0</v>
      </c>
      <c r="U36" s="38">
        <v>0.0</v>
      </c>
      <c r="V36" s="38">
        <v>64721.0</v>
      </c>
    </row>
    <row r="37" ht="15.75" customHeight="1">
      <c r="A37" s="59" t="str">
        <f t="array" ref="A37">XLOOKUP(C37, 'マスタ'!$C$2:$C$312, 'マスタ'!$D$2:$D$312, "マスタ未登録")</f>
        <v>支払報酬</v>
      </c>
      <c r="B37" s="53" t="str">
        <f>IF(AND(C37&lt;&gt;"", COUNTIF('マスタ'!$C:$C, C37)=0), "マスタ未登録", "")</f>
        <v/>
      </c>
      <c r="C37" s="53" t="str">
        <f t="shared" si="1"/>
        <v>支払報酬料</v>
      </c>
      <c r="F37" s="38" t="s">
        <v>239</v>
      </c>
      <c r="J37" s="38">
        <v>247328.0</v>
      </c>
      <c r="K37" s="38">
        <v>349680.0</v>
      </c>
      <c r="L37" s="38">
        <v>0.0</v>
      </c>
      <c r="M37" s="38">
        <v>0.0</v>
      </c>
      <c r="N37" s="38">
        <v>0.0</v>
      </c>
      <c r="O37" s="38">
        <v>0.0</v>
      </c>
      <c r="P37" s="38">
        <v>0.0</v>
      </c>
      <c r="Q37" s="38">
        <v>0.0</v>
      </c>
      <c r="R37" s="38">
        <v>0.0</v>
      </c>
      <c r="S37" s="38">
        <v>0.0</v>
      </c>
      <c r="T37" s="38">
        <v>0.0</v>
      </c>
      <c r="U37" s="38">
        <v>0.0</v>
      </c>
      <c r="V37" s="38">
        <v>597008.0</v>
      </c>
    </row>
    <row r="38" ht="15.75" customHeight="1">
      <c r="A38" s="59" t="str">
        <f t="array" ref="A38">XLOOKUP(C38, 'マスタ'!$C$2:$C$312, 'マスタ'!$D$2:$D$312, "マスタ未登録")</f>
        <v>減価償却費</v>
      </c>
      <c r="B38" s="53" t="str">
        <f>IF(AND(C38&lt;&gt;"", COUNTIF('マスタ'!$C:$C, C38)=0), "マスタ未登録", "")</f>
        <v/>
      </c>
      <c r="C38" s="53" t="str">
        <f t="shared" si="1"/>
        <v>減価償却費</v>
      </c>
      <c r="F38" s="38" t="s">
        <v>95</v>
      </c>
      <c r="J38" s="38">
        <v>12191.0</v>
      </c>
      <c r="K38" s="38">
        <v>12191.0</v>
      </c>
      <c r="L38" s="38">
        <v>12191.0</v>
      </c>
      <c r="M38" s="38">
        <v>12191.0</v>
      </c>
      <c r="N38" s="38">
        <v>12191.0</v>
      </c>
      <c r="O38" s="38">
        <v>12191.0</v>
      </c>
      <c r="P38" s="38">
        <v>12191.0</v>
      </c>
      <c r="Q38" s="38">
        <v>12191.0</v>
      </c>
      <c r="R38" s="38">
        <v>12191.0</v>
      </c>
      <c r="S38" s="38">
        <v>12191.0</v>
      </c>
      <c r="T38" s="38">
        <v>12191.0</v>
      </c>
      <c r="U38" s="38">
        <v>12197.0</v>
      </c>
      <c r="V38" s="38">
        <v>146298.0</v>
      </c>
    </row>
    <row r="39" ht="15.75" customHeight="1">
      <c r="A39" s="59" t="str">
        <f t="array" ref="A39">XLOOKUP(C39, 'マスタ'!$C$2:$C$312, 'マスタ'!$D$2:$D$312, "マスタ未登録")</f>
        <v>マスタ未登録</v>
      </c>
      <c r="B39" s="53" t="str">
        <f>IF(AND(C39&lt;&gt;"", COUNTIF('マスタ'!$C:$C, C39)=0), "マスタ未登録", "")</f>
        <v>マスタ未登録</v>
      </c>
      <c r="C39" s="53" t="str">
        <f t="shared" si="1"/>
        <v>販売管理費 計</v>
      </c>
      <c r="E39" s="38" t="s">
        <v>183</v>
      </c>
      <c r="J39" s="38">
        <v>2532557.0</v>
      </c>
      <c r="K39" s="38">
        <v>2836114.0</v>
      </c>
      <c r="L39" s="38">
        <v>101691.0</v>
      </c>
      <c r="M39" s="38">
        <v>67191.0</v>
      </c>
      <c r="N39" s="38">
        <v>67191.0</v>
      </c>
      <c r="O39" s="38">
        <v>67191.0</v>
      </c>
      <c r="P39" s="38">
        <v>67191.0</v>
      </c>
      <c r="Q39" s="38">
        <v>67191.0</v>
      </c>
      <c r="R39" s="38">
        <v>67191.0</v>
      </c>
      <c r="S39" s="38">
        <v>67191.0</v>
      </c>
      <c r="T39" s="38">
        <v>67191.0</v>
      </c>
      <c r="U39" s="38">
        <v>67197.0</v>
      </c>
      <c r="V39" s="38">
        <v>6075087.0</v>
      </c>
    </row>
    <row r="40" ht="15.75" customHeight="1">
      <c r="A40" s="59" t="str">
        <f t="array" ref="A40">XLOOKUP(C40, 'マスタ'!$C$2:$C$312, 'マスタ'!$D$2:$D$312, "マスタ未登録")</f>
        <v>マスタ未登録</v>
      </c>
      <c r="B40" s="53" t="str">
        <f>IF(AND(C40&lt;&gt;"", COUNTIF('マスタ'!$C:$C, C40)=0), "マスタ未登録", "")</f>
        <v>マスタ未登録</v>
      </c>
      <c r="C40" s="53" t="str">
        <f t="shared" si="1"/>
        <v>営業損益金額</v>
      </c>
      <c r="D40" s="38" t="s">
        <v>184</v>
      </c>
      <c r="J40" s="38">
        <v>5545178.0</v>
      </c>
      <c r="K40" s="38">
        <v>1.3481433E7</v>
      </c>
      <c r="L40" s="38">
        <v>-786379.0</v>
      </c>
      <c r="M40" s="38">
        <v>-529118.0</v>
      </c>
      <c r="N40" s="38">
        <v>-529118.0</v>
      </c>
      <c r="O40" s="38">
        <v>-529118.0</v>
      </c>
      <c r="P40" s="38">
        <v>-529118.0</v>
      </c>
      <c r="Q40" s="38">
        <v>-529118.0</v>
      </c>
      <c r="R40" s="38">
        <v>-529118.0</v>
      </c>
      <c r="S40" s="38">
        <v>-529118.0</v>
      </c>
      <c r="T40" s="38">
        <v>-529118.0</v>
      </c>
      <c r="U40" s="38">
        <v>-529154.0</v>
      </c>
      <c r="V40" s="38">
        <v>1.3478134E7</v>
      </c>
    </row>
    <row r="41" ht="15.75" customHeight="1">
      <c r="A41" s="59" t="str">
        <f t="array" ref="A41">XLOOKUP(C41, 'マスタ'!$C$2:$C$312, 'マスタ'!$D$2:$D$312, "マスタ未登録")</f>
        <v>マスタ未登録</v>
      </c>
      <c r="B41" s="53" t="str">
        <f>IF(AND(C41&lt;&gt;"", COUNTIF('マスタ'!$C:$C, C41)=0), "マスタ未登録", "")</f>
        <v>マスタ未登録</v>
      </c>
      <c r="C41" s="53" t="str">
        <f t="shared" si="1"/>
        <v>営業外収益</v>
      </c>
      <c r="E41" s="38" t="s">
        <v>32</v>
      </c>
      <c r="J41" s="38">
        <v>1088.0</v>
      </c>
      <c r="K41" s="38">
        <v>1248.0</v>
      </c>
      <c r="L41" s="38">
        <v>0.0</v>
      </c>
      <c r="M41" s="38">
        <v>0.0</v>
      </c>
      <c r="N41" s="38">
        <v>0.0</v>
      </c>
      <c r="O41" s="38">
        <v>0.0</v>
      </c>
      <c r="P41" s="38">
        <v>0.0</v>
      </c>
      <c r="Q41" s="38">
        <v>0.0</v>
      </c>
      <c r="R41" s="38">
        <v>0.0</v>
      </c>
      <c r="S41" s="38">
        <v>0.0</v>
      </c>
      <c r="T41" s="38">
        <v>0.0</v>
      </c>
      <c r="U41" s="38">
        <v>0.0</v>
      </c>
      <c r="V41" s="38">
        <v>2336.0</v>
      </c>
    </row>
    <row r="42" ht="15.75" customHeight="1">
      <c r="A42" s="59" t="str">
        <f t="array" ref="A42">XLOOKUP(C42, 'マスタ'!$C$2:$C$312, 'マスタ'!$D$2:$D$312, "マスタ未登録")</f>
        <v>受取利息</v>
      </c>
      <c r="B42" s="53" t="str">
        <f>IF(AND(C42&lt;&gt;"", COUNTIF('マスタ'!$C:$C, C42)=0), "マスタ未登録", "")</f>
        <v/>
      </c>
      <c r="C42" s="53" t="str">
        <f t="shared" si="1"/>
        <v>受取利息</v>
      </c>
      <c r="F42" s="38" t="s">
        <v>103</v>
      </c>
      <c r="J42" s="38">
        <v>1088.0</v>
      </c>
      <c r="K42" s="38">
        <v>1248.0</v>
      </c>
      <c r="L42" s="38">
        <v>0.0</v>
      </c>
      <c r="M42" s="38">
        <v>0.0</v>
      </c>
      <c r="N42" s="38">
        <v>0.0</v>
      </c>
      <c r="O42" s="38">
        <v>0.0</v>
      </c>
      <c r="P42" s="38">
        <v>0.0</v>
      </c>
      <c r="Q42" s="38">
        <v>0.0</v>
      </c>
      <c r="R42" s="38">
        <v>0.0</v>
      </c>
      <c r="S42" s="38">
        <v>0.0</v>
      </c>
      <c r="T42" s="38">
        <v>0.0</v>
      </c>
      <c r="U42" s="38">
        <v>0.0</v>
      </c>
      <c r="V42" s="38">
        <v>2336.0</v>
      </c>
    </row>
    <row r="43" ht="15.75" customHeight="1">
      <c r="A43" s="59" t="str">
        <f t="array" ref="A43">XLOOKUP(C43, 'マスタ'!$C$2:$C$312, 'マスタ'!$D$2:$D$312, "マスタ未登録")</f>
        <v>マスタ未登録</v>
      </c>
      <c r="B43" s="53" t="str">
        <f>IF(AND(C43&lt;&gt;"", COUNTIF('マスタ'!$C:$C, C43)=0), "マスタ未登録", "")</f>
        <v>マスタ未登録</v>
      </c>
      <c r="C43" s="53" t="str">
        <f t="shared" si="1"/>
        <v>営業外費用</v>
      </c>
      <c r="E43" s="38" t="s">
        <v>34</v>
      </c>
      <c r="J43" s="38">
        <v>8326.0</v>
      </c>
      <c r="K43" s="38">
        <v>0.0</v>
      </c>
      <c r="L43" s="38">
        <v>0.0</v>
      </c>
      <c r="M43" s="38">
        <v>0.0</v>
      </c>
      <c r="N43" s="38">
        <v>0.0</v>
      </c>
      <c r="O43" s="38">
        <v>0.0</v>
      </c>
      <c r="P43" s="38">
        <v>0.0</v>
      </c>
      <c r="Q43" s="38">
        <v>0.0</v>
      </c>
      <c r="R43" s="38">
        <v>0.0</v>
      </c>
      <c r="S43" s="38">
        <v>0.0</v>
      </c>
      <c r="T43" s="38">
        <v>0.0</v>
      </c>
      <c r="U43" s="38">
        <v>0.0</v>
      </c>
      <c r="V43" s="38">
        <v>8326.0</v>
      </c>
    </row>
    <row r="44" ht="15.75" customHeight="1">
      <c r="A44" s="59" t="str">
        <f t="array" ref="A44">XLOOKUP(C44, 'マスタ'!$C$2:$C$312, 'マスタ'!$D$2:$D$312, "マスタ未登録")</f>
        <v>支払利息</v>
      </c>
      <c r="B44" s="53" t="str">
        <f>IF(AND(C44&lt;&gt;"", COUNTIF('マスタ'!$C:$C, C44)=0), "マスタ未登録", "")</f>
        <v/>
      </c>
      <c r="C44" s="53" t="str">
        <f t="shared" si="1"/>
        <v>支払利息</v>
      </c>
      <c r="F44" s="38" t="s">
        <v>109</v>
      </c>
      <c r="J44" s="38">
        <v>8326.0</v>
      </c>
      <c r="K44" s="38">
        <v>0.0</v>
      </c>
      <c r="L44" s="38">
        <v>0.0</v>
      </c>
      <c r="M44" s="38">
        <v>0.0</v>
      </c>
      <c r="N44" s="38">
        <v>0.0</v>
      </c>
      <c r="O44" s="38">
        <v>0.0</v>
      </c>
      <c r="P44" s="38">
        <v>0.0</v>
      </c>
      <c r="Q44" s="38">
        <v>0.0</v>
      </c>
      <c r="R44" s="38">
        <v>0.0</v>
      </c>
      <c r="S44" s="38">
        <v>0.0</v>
      </c>
      <c r="T44" s="38">
        <v>0.0</v>
      </c>
      <c r="U44" s="38">
        <v>0.0</v>
      </c>
      <c r="V44" s="38">
        <v>8326.0</v>
      </c>
    </row>
    <row r="45" ht="15.75" customHeight="1">
      <c r="A45" s="59" t="str">
        <f t="array" ref="A45">XLOOKUP(C45, 'マスタ'!$C$2:$C$312, 'マスタ'!$D$2:$D$312, "マスタ未登録")</f>
        <v>マスタ未登録</v>
      </c>
      <c r="B45" s="53" t="str">
        <f>IF(AND(C45&lt;&gt;"", COUNTIF('マスタ'!$C:$C, C45)=0), "マスタ未登録", "")</f>
        <v>マスタ未登録</v>
      </c>
      <c r="C45" s="53" t="str">
        <f t="shared" si="1"/>
        <v>経常損益金額</v>
      </c>
      <c r="D45" s="38" t="s">
        <v>112</v>
      </c>
      <c r="J45" s="38">
        <v>5537940.0</v>
      </c>
      <c r="K45" s="38">
        <v>1.3482681E7</v>
      </c>
      <c r="L45" s="38">
        <v>-786379.0</v>
      </c>
      <c r="M45" s="38">
        <v>-529118.0</v>
      </c>
      <c r="N45" s="38">
        <v>-529118.0</v>
      </c>
      <c r="O45" s="38">
        <v>-529118.0</v>
      </c>
      <c r="P45" s="38">
        <v>-529118.0</v>
      </c>
      <c r="Q45" s="38">
        <v>-529118.0</v>
      </c>
      <c r="R45" s="38">
        <v>-529118.0</v>
      </c>
      <c r="S45" s="38">
        <v>-529118.0</v>
      </c>
      <c r="T45" s="38">
        <v>-529118.0</v>
      </c>
      <c r="U45" s="38">
        <v>-529154.0</v>
      </c>
      <c r="V45" s="38">
        <v>1.3472144E7</v>
      </c>
    </row>
    <row r="46" ht="15.75" customHeight="1">
      <c r="A46" s="59" t="str">
        <f t="array" ref="A46">XLOOKUP(C46, 'マスタ'!$C$2:$C$312, 'マスタ'!$D$2:$D$312, "マスタ未登録")</f>
        <v>マスタ未登録</v>
      </c>
      <c r="B46" s="53" t="str">
        <f>IF(AND(C46&lt;&gt;"", COUNTIF('マスタ'!$C:$C, C46)=0), "マスタ未登録", "")</f>
        <v>マスタ未登録</v>
      </c>
      <c r="C46" s="53" t="str">
        <f t="shared" si="1"/>
        <v>特別利益</v>
      </c>
      <c r="E46" s="38" t="s">
        <v>37</v>
      </c>
      <c r="J46" s="38">
        <v>0.0</v>
      </c>
      <c r="K46" s="38">
        <v>0.0</v>
      </c>
      <c r="L46" s="38">
        <v>0.0</v>
      </c>
      <c r="M46" s="38">
        <v>0.0</v>
      </c>
      <c r="N46" s="38">
        <v>0.0</v>
      </c>
      <c r="O46" s="38">
        <v>0.0</v>
      </c>
      <c r="P46" s="38">
        <v>0.0</v>
      </c>
      <c r="Q46" s="38">
        <v>0.0</v>
      </c>
      <c r="R46" s="38">
        <v>0.0</v>
      </c>
      <c r="S46" s="38">
        <v>0.0</v>
      </c>
      <c r="T46" s="38">
        <v>0.0</v>
      </c>
      <c r="U46" s="38">
        <v>0.0</v>
      </c>
      <c r="V46" s="38">
        <v>0.0</v>
      </c>
    </row>
    <row r="47" ht="15.75" customHeight="1">
      <c r="A47" s="59" t="str">
        <f t="array" ref="A47">XLOOKUP(C47, 'マスタ'!$C$2:$C$312, 'マスタ'!$D$2:$D$312, "マスタ未登録")</f>
        <v>マスタ未登録</v>
      </c>
      <c r="B47" s="53" t="str">
        <f>IF(AND(C47&lt;&gt;"", COUNTIF('マスタ'!$C:$C, C47)=0), "マスタ未登録", "")</f>
        <v>マスタ未登録</v>
      </c>
      <c r="C47" s="53" t="str">
        <f t="shared" si="1"/>
        <v>特別損失</v>
      </c>
      <c r="E47" s="38" t="s">
        <v>39</v>
      </c>
      <c r="J47" s="38">
        <v>0.0</v>
      </c>
      <c r="K47" s="38">
        <v>0.0</v>
      </c>
      <c r="L47" s="38">
        <v>0.0</v>
      </c>
      <c r="M47" s="38">
        <v>0.0</v>
      </c>
      <c r="N47" s="38">
        <v>0.0</v>
      </c>
      <c r="O47" s="38">
        <v>0.0</v>
      </c>
      <c r="P47" s="38">
        <v>0.0</v>
      </c>
      <c r="Q47" s="38">
        <v>0.0</v>
      </c>
      <c r="R47" s="38">
        <v>0.0</v>
      </c>
      <c r="S47" s="38">
        <v>0.0</v>
      </c>
      <c r="T47" s="38">
        <v>0.0</v>
      </c>
      <c r="U47" s="38">
        <v>0.0</v>
      </c>
      <c r="V47" s="38">
        <v>0.0</v>
      </c>
    </row>
    <row r="48" ht="15.75" customHeight="1">
      <c r="A48" s="59" t="str">
        <f t="array" ref="A48">XLOOKUP(C48, 'マスタ'!$C$2:$C$312, 'マスタ'!$D$2:$D$312, "マスタ未登録")</f>
        <v>マスタ未登録</v>
      </c>
      <c r="B48" s="53" t="str">
        <f>IF(AND(C48&lt;&gt;"", COUNTIF('マスタ'!$C:$C, C48)=0), "マスタ未登録", "")</f>
        <v>マスタ未登録</v>
      </c>
      <c r="C48" s="53" t="str">
        <f t="shared" si="1"/>
        <v>税引前当期純損益金額</v>
      </c>
      <c r="D48" s="38" t="s">
        <v>117</v>
      </c>
      <c r="J48" s="38">
        <v>5537940.0</v>
      </c>
      <c r="K48" s="38">
        <v>1.3482681E7</v>
      </c>
      <c r="L48" s="38">
        <v>-786379.0</v>
      </c>
      <c r="M48" s="38">
        <v>-529118.0</v>
      </c>
      <c r="N48" s="38">
        <v>-529118.0</v>
      </c>
      <c r="O48" s="38">
        <v>-529118.0</v>
      </c>
      <c r="P48" s="38">
        <v>-529118.0</v>
      </c>
      <c r="Q48" s="38">
        <v>-529118.0</v>
      </c>
      <c r="R48" s="38">
        <v>-529118.0</v>
      </c>
      <c r="S48" s="38">
        <v>-529118.0</v>
      </c>
      <c r="T48" s="38">
        <v>-529118.0</v>
      </c>
      <c r="U48" s="38">
        <v>-529154.0</v>
      </c>
      <c r="V48" s="38">
        <v>1.3472144E7</v>
      </c>
    </row>
    <row r="49" ht="15.75" customHeight="1">
      <c r="A49" s="59" t="str">
        <f t="array" ref="A49">XLOOKUP(C49, 'マスタ'!$C$2:$C$312, 'マスタ'!$D$2:$D$312, "マスタ未登録")</f>
        <v>法人税等</v>
      </c>
      <c r="B49" s="53" t="str">
        <f>IF(AND(C49&lt;&gt;"", COUNTIF('マスタ'!$C:$C, C49)=0), "マスタ未登録", "")</f>
        <v/>
      </c>
      <c r="C49" s="53" t="str">
        <f t="shared" si="1"/>
        <v>法人税等</v>
      </c>
      <c r="E49" s="38" t="s">
        <v>43</v>
      </c>
      <c r="J49" s="38">
        <v>0.0</v>
      </c>
      <c r="K49" s="38">
        <v>191.0</v>
      </c>
      <c r="L49" s="38">
        <v>0.0</v>
      </c>
      <c r="M49" s="38">
        <v>0.0</v>
      </c>
      <c r="N49" s="38">
        <v>0.0</v>
      </c>
      <c r="O49" s="38">
        <v>0.0</v>
      </c>
      <c r="P49" s="38">
        <v>0.0</v>
      </c>
      <c r="Q49" s="38">
        <v>0.0</v>
      </c>
      <c r="R49" s="38">
        <v>0.0</v>
      </c>
      <c r="S49" s="38">
        <v>0.0</v>
      </c>
      <c r="T49" s="38">
        <v>0.0</v>
      </c>
      <c r="U49" s="38">
        <v>0.0</v>
      </c>
      <c r="V49" s="38">
        <v>191.0</v>
      </c>
    </row>
    <row r="50" ht="15.75" customHeight="1">
      <c r="A50" s="59" t="str">
        <f t="array" ref="A50">XLOOKUP(C50, 'マスタ'!$C$2:$C$312, 'マスタ'!$D$2:$D$312, "マスタ未登録")</f>
        <v>法人税等</v>
      </c>
      <c r="B50" s="53" t="str">
        <f>IF(AND(C50&lt;&gt;"", COUNTIF('マスタ'!$C:$C, C50)=0), "マスタ未登録", "")</f>
        <v/>
      </c>
      <c r="C50" s="53" t="str">
        <f t="shared" si="1"/>
        <v>法人税等</v>
      </c>
      <c r="F50" s="38" t="s">
        <v>43</v>
      </c>
      <c r="J50" s="38">
        <v>0.0</v>
      </c>
      <c r="K50" s="38">
        <v>191.0</v>
      </c>
      <c r="L50" s="38">
        <v>0.0</v>
      </c>
      <c r="M50" s="38">
        <v>0.0</v>
      </c>
      <c r="N50" s="38">
        <v>0.0</v>
      </c>
      <c r="O50" s="38">
        <v>0.0</v>
      </c>
      <c r="P50" s="38">
        <v>0.0</v>
      </c>
      <c r="Q50" s="38">
        <v>0.0</v>
      </c>
      <c r="R50" s="38">
        <v>0.0</v>
      </c>
      <c r="S50" s="38">
        <v>0.0</v>
      </c>
      <c r="T50" s="38">
        <v>0.0</v>
      </c>
      <c r="U50" s="38">
        <v>0.0</v>
      </c>
      <c r="V50" s="38">
        <v>191.0</v>
      </c>
    </row>
    <row r="51" ht="15.75" customHeight="1">
      <c r="A51" s="59"/>
      <c r="E51" s="38" t="s">
        <v>118</v>
      </c>
      <c r="J51" s="38">
        <v>0.0</v>
      </c>
      <c r="K51" s="38">
        <v>0.0</v>
      </c>
      <c r="L51" s="38">
        <v>0.0</v>
      </c>
      <c r="M51" s="38">
        <v>0.0</v>
      </c>
      <c r="N51" s="38">
        <v>0.0</v>
      </c>
      <c r="O51" s="38">
        <v>0.0</v>
      </c>
      <c r="P51" s="38">
        <v>0.0</v>
      </c>
      <c r="Q51" s="38">
        <v>0.0</v>
      </c>
      <c r="R51" s="38">
        <v>0.0</v>
      </c>
      <c r="S51" s="38">
        <v>0.0</v>
      </c>
      <c r="T51" s="38">
        <v>0.0</v>
      </c>
      <c r="U51" s="38">
        <v>0.0</v>
      </c>
      <c r="V51" s="38">
        <v>0.0</v>
      </c>
    </row>
    <row r="52" ht="15.75" customHeight="1">
      <c r="A52" s="59"/>
      <c r="D52" s="38" t="s">
        <v>119</v>
      </c>
      <c r="J52" s="38">
        <v>5537940.0</v>
      </c>
      <c r="K52" s="38">
        <v>1.348249E7</v>
      </c>
      <c r="L52" s="38">
        <v>-786379.0</v>
      </c>
      <c r="M52" s="38">
        <v>-529118.0</v>
      </c>
      <c r="N52" s="38">
        <v>-529118.0</v>
      </c>
      <c r="O52" s="38">
        <v>-529118.0</v>
      </c>
      <c r="P52" s="38">
        <v>-529118.0</v>
      </c>
      <c r="Q52" s="38">
        <v>-529118.0</v>
      </c>
      <c r="R52" s="38">
        <v>-529118.0</v>
      </c>
      <c r="S52" s="38">
        <v>-529118.0</v>
      </c>
      <c r="T52" s="38">
        <v>-529118.0</v>
      </c>
      <c r="U52" s="38">
        <v>-529154.0</v>
      </c>
      <c r="V52" s="38">
        <v>1.3471953E7</v>
      </c>
    </row>
    <row r="53" ht="15.75" customHeight="1">
      <c r="A53" s="59"/>
    </row>
    <row r="54" ht="15.75" customHeight="1">
      <c r="A54" s="59"/>
    </row>
    <row r="55" ht="15.75" customHeight="1">
      <c r="A55" s="59"/>
    </row>
    <row r="56" ht="15.75" customHeight="1">
      <c r="A56" s="59"/>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8"/>
      <c r="B1" s="53"/>
      <c r="C1" s="53"/>
      <c r="D1" s="38" t="s">
        <v>354</v>
      </c>
    </row>
    <row r="2" ht="15.75" customHeight="1">
      <c r="B2" s="53"/>
      <c r="C2" s="53"/>
      <c r="J2" s="2">
        <v>46113.0</v>
      </c>
      <c r="K2" s="2">
        <v>46143.0</v>
      </c>
      <c r="L2" s="2">
        <v>46174.0</v>
      </c>
      <c r="M2" s="2">
        <v>46204.0</v>
      </c>
      <c r="N2" s="2">
        <v>46235.0</v>
      </c>
      <c r="O2" s="2">
        <v>46266.0</v>
      </c>
      <c r="P2" s="3">
        <v>46296.0</v>
      </c>
      <c r="Q2" s="3">
        <v>46327.0</v>
      </c>
      <c r="R2" s="3">
        <v>46357.0</v>
      </c>
      <c r="S2" s="2">
        <v>46388.0</v>
      </c>
      <c r="T2" s="2">
        <v>46419.0</v>
      </c>
      <c r="U2" s="2">
        <v>46447.0</v>
      </c>
      <c r="V2" s="38" t="s">
        <v>225</v>
      </c>
    </row>
    <row r="3" ht="15.75" customHeight="1">
      <c r="A3" s="59" t="str">
        <f t="array" ref="A3">XLOOKUP(C3, 'マスタ'!$C$2:$C$312, 'マスタ'!$D$2:$D$312, "マスタ未登録")</f>
        <v>マスタ未登録</v>
      </c>
      <c r="B3" s="53"/>
      <c r="C3" s="53"/>
      <c r="D3" s="38" t="s">
        <v>1</v>
      </c>
    </row>
    <row r="4" ht="15.75" customHeight="1">
      <c r="A4" s="59" t="str">
        <f t="array" ref="A4">XLOOKUP(C4, 'マスタ'!$C$2:$C$312, 'マスタ'!$D$2:$D$312, "マスタ未登録")</f>
        <v>マスタ未登録</v>
      </c>
      <c r="B4" s="53" t="str">
        <f>IF(AND(C4&lt;&gt;"", COUNTIF('マスタ'!$C:$C, C4)=0), "マスタ未登録", "")</f>
        <v>マスタ未登録</v>
      </c>
      <c r="C4" s="53" t="str">
        <f t="shared" ref="C4:C28" si="1">D4&amp;D109&amp;E4&amp;F4&amp;G4&amp;H4</f>
        <v>売上高 計</v>
      </c>
      <c r="D4" s="38" t="s">
        <v>226</v>
      </c>
      <c r="J4" s="38">
        <v>0.0</v>
      </c>
      <c r="K4" s="38">
        <v>0.0</v>
      </c>
      <c r="L4" s="38">
        <v>0.0</v>
      </c>
      <c r="M4" s="38">
        <v>0.0</v>
      </c>
      <c r="N4" s="38">
        <v>0.0</v>
      </c>
      <c r="O4" s="38">
        <v>0.0</v>
      </c>
      <c r="P4" s="38">
        <v>0.0</v>
      </c>
      <c r="Q4" s="38">
        <v>0.0</v>
      </c>
      <c r="R4" s="38">
        <v>0.0</v>
      </c>
      <c r="S4" s="38">
        <v>0.0</v>
      </c>
      <c r="T4" s="38">
        <v>0.0</v>
      </c>
      <c r="U4" s="38">
        <v>0.0</v>
      </c>
      <c r="V4" s="38">
        <v>0.0</v>
      </c>
    </row>
    <row r="5" ht="15.75" customHeight="1">
      <c r="A5" s="59" t="str">
        <f t="array" ref="A5">XLOOKUP(C5, 'マスタ'!$C$2:$C$312, 'マスタ'!$D$2:$D$312, "マスタ未登録")</f>
        <v>マスタ未登録</v>
      </c>
      <c r="B5" s="53" t="str">
        <f>IF(AND(C5&lt;&gt;"", COUNTIF('マスタ'!$C:$C, C5)=0), "マスタ未登録", "")</f>
        <v>マスタ未登録</v>
      </c>
      <c r="C5" s="53" t="str">
        <f t="shared" si="1"/>
        <v>売上原価</v>
      </c>
      <c r="E5" s="38" t="s">
        <v>28</v>
      </c>
    </row>
    <row r="6" ht="15.75" customHeight="1">
      <c r="A6" s="59" t="str">
        <f t="array" ref="A6">XLOOKUP(C6, 'マスタ'!$C$2:$C$312, 'マスタ'!$D$2:$D$312, "マスタ未登録")</f>
        <v>マスタ未登録</v>
      </c>
      <c r="B6" s="53" t="str">
        <f>IF(AND(C6&lt;&gt;"", COUNTIF('マスタ'!$C:$C, C6)=0), "マスタ未登録", "")</f>
        <v>マスタ未登録</v>
      </c>
      <c r="C6" s="53" t="str">
        <f t="shared" si="1"/>
        <v>売上原価</v>
      </c>
      <c r="E6" s="38" t="s">
        <v>28</v>
      </c>
      <c r="J6" s="38">
        <v>0.0</v>
      </c>
      <c r="K6" s="38">
        <v>0.0</v>
      </c>
      <c r="L6" s="38">
        <v>0.0</v>
      </c>
      <c r="M6" s="38">
        <v>0.0</v>
      </c>
      <c r="N6" s="38">
        <v>0.0</v>
      </c>
      <c r="O6" s="38">
        <v>0.0</v>
      </c>
      <c r="P6" s="38">
        <v>0.0</v>
      </c>
      <c r="Q6" s="38">
        <v>0.0</v>
      </c>
      <c r="R6" s="38">
        <v>0.0</v>
      </c>
      <c r="S6" s="38">
        <v>0.0</v>
      </c>
      <c r="T6" s="38">
        <v>0.0</v>
      </c>
      <c r="U6" s="38">
        <v>0.0</v>
      </c>
      <c r="V6" s="38">
        <v>0.0</v>
      </c>
    </row>
    <row r="7" ht="15.75" customHeight="1">
      <c r="A7" s="59" t="str">
        <f t="array" ref="A7">XLOOKUP(C7, 'マスタ'!$C$2:$C$312, 'マスタ'!$D$2:$D$312, "マスタ未登録")</f>
        <v>期首商品棚卸高</v>
      </c>
      <c r="B7" s="53" t="str">
        <f>IF(AND(C7&lt;&gt;"", COUNTIF('マスタ'!$C:$C, C7)=0), "マスタ未登録", "")</f>
        <v/>
      </c>
      <c r="C7" s="53" t="str">
        <f t="shared" si="1"/>
        <v>期首商品棚卸</v>
      </c>
      <c r="G7" s="38" t="s">
        <v>227</v>
      </c>
      <c r="J7" s="38">
        <v>0.0</v>
      </c>
      <c r="K7" s="38">
        <v>0.0</v>
      </c>
      <c r="L7" s="38">
        <v>0.0</v>
      </c>
      <c r="M7" s="38">
        <v>0.0</v>
      </c>
      <c r="N7" s="38">
        <v>0.0</v>
      </c>
      <c r="O7" s="38">
        <v>0.0</v>
      </c>
      <c r="P7" s="38">
        <v>0.0</v>
      </c>
      <c r="Q7" s="38">
        <v>0.0</v>
      </c>
      <c r="R7" s="38">
        <v>0.0</v>
      </c>
      <c r="S7" s="38">
        <v>0.0</v>
      </c>
      <c r="T7" s="38">
        <v>0.0</v>
      </c>
      <c r="U7" s="38">
        <v>0.0</v>
      </c>
      <c r="V7" s="38">
        <v>0.0</v>
      </c>
    </row>
    <row r="8" ht="15.75" customHeight="1">
      <c r="A8" s="59" t="str">
        <f t="array" ref="A8">XLOOKUP(C8, 'マスタ'!$C$2:$C$312, 'マスタ'!$D$2:$D$312, "マスタ未登録")</f>
        <v>当期商品仕入高</v>
      </c>
      <c r="B8" s="53" t="str">
        <f>IF(AND(C8&lt;&gt;"", COUNTIF('マスタ'!$C:$C, C8)=0), "マスタ未登録", "")</f>
        <v/>
      </c>
      <c r="C8" s="53" t="str">
        <f t="shared" si="1"/>
        <v>当期商品仕入</v>
      </c>
      <c r="G8" s="38" t="s">
        <v>228</v>
      </c>
      <c r="J8" s="38">
        <v>0.0</v>
      </c>
      <c r="K8" s="38">
        <v>0.0</v>
      </c>
      <c r="L8" s="38">
        <v>0.0</v>
      </c>
      <c r="M8" s="38">
        <v>0.0</v>
      </c>
      <c r="N8" s="38">
        <v>0.0</v>
      </c>
      <c r="O8" s="38">
        <v>0.0</v>
      </c>
      <c r="P8" s="38">
        <v>0.0</v>
      </c>
      <c r="Q8" s="38">
        <v>0.0</v>
      </c>
      <c r="R8" s="38">
        <v>0.0</v>
      </c>
      <c r="S8" s="38">
        <v>0.0</v>
      </c>
      <c r="T8" s="38">
        <v>0.0</v>
      </c>
      <c r="U8" s="38">
        <v>0.0</v>
      </c>
      <c r="V8" s="38">
        <v>0.0</v>
      </c>
    </row>
    <row r="9" ht="15.75" customHeight="1">
      <c r="A9" s="59" t="str">
        <f t="array" ref="A9">XLOOKUP(C9, 'マスタ'!$C$2:$C$312, 'マスタ'!$D$2:$D$312, "マスタ未登録")</f>
        <v>他勘定振替高</v>
      </c>
      <c r="B9" s="53" t="str">
        <f>IF(AND(C9&lt;&gt;"", COUNTIF('マスタ'!$C:$C, C9)=0), "マスタ未登録", "")</f>
        <v/>
      </c>
      <c r="C9" s="53" t="str">
        <f t="shared" si="1"/>
        <v>他勘定振替高(商)</v>
      </c>
      <c r="G9" s="38" t="s">
        <v>235</v>
      </c>
      <c r="J9" s="38">
        <v>0.0</v>
      </c>
      <c r="K9" s="38">
        <v>0.0</v>
      </c>
      <c r="L9" s="38">
        <v>0.0</v>
      </c>
      <c r="M9" s="38">
        <v>0.0</v>
      </c>
      <c r="N9" s="38">
        <v>0.0</v>
      </c>
      <c r="O9" s="38">
        <v>0.0</v>
      </c>
      <c r="P9" s="38">
        <v>0.0</v>
      </c>
      <c r="Q9" s="38">
        <v>0.0</v>
      </c>
      <c r="R9" s="38">
        <v>0.0</v>
      </c>
      <c r="S9" s="38">
        <v>0.0</v>
      </c>
      <c r="T9" s="38">
        <v>0.0</v>
      </c>
      <c r="U9" s="38">
        <v>0.0</v>
      </c>
      <c r="V9" s="38">
        <v>0.0</v>
      </c>
    </row>
    <row r="10" ht="15.75" customHeight="1">
      <c r="A10" s="59" t="str">
        <f t="array" ref="A10">XLOOKUP(C10, 'マスタ'!$C$2:$C$312, 'マスタ'!$D$2:$D$312, "マスタ未登録")</f>
        <v>期末商品棚卸高</v>
      </c>
      <c r="B10" s="53" t="str">
        <f>IF(AND(C10&lt;&gt;"", COUNTIF('マスタ'!$C:$C, C10)=0), "マスタ未登録", "")</f>
        <v/>
      </c>
      <c r="C10" s="53" t="str">
        <f t="shared" si="1"/>
        <v>期末商品棚卸</v>
      </c>
      <c r="G10" s="38" t="s">
        <v>236</v>
      </c>
      <c r="J10" s="38">
        <v>0.0</v>
      </c>
      <c r="K10" s="38">
        <v>0.0</v>
      </c>
      <c r="L10" s="38">
        <v>0.0</v>
      </c>
      <c r="M10" s="38">
        <v>0.0</v>
      </c>
      <c r="N10" s="38">
        <v>0.0</v>
      </c>
      <c r="O10" s="38">
        <v>0.0</v>
      </c>
      <c r="P10" s="38">
        <v>0.0</v>
      </c>
      <c r="Q10" s="38">
        <v>0.0</v>
      </c>
      <c r="R10" s="38">
        <v>0.0</v>
      </c>
      <c r="S10" s="38">
        <v>0.0</v>
      </c>
      <c r="T10" s="38">
        <v>0.0</v>
      </c>
      <c r="U10" s="38">
        <v>0.0</v>
      </c>
      <c r="V10" s="38">
        <v>0.0</v>
      </c>
    </row>
    <row r="11" ht="15.75" customHeight="1">
      <c r="A11" s="59" t="str">
        <f t="array" ref="A11">XLOOKUP(C11, 'マスタ'!$C$2:$C$312, 'マスタ'!$D$2:$D$312, "マスタ未登録")</f>
        <v>マスタ未登録</v>
      </c>
      <c r="B11" s="53" t="str">
        <f>IF(AND(C11&lt;&gt;"", COUNTIF('マスタ'!$C:$C, C11)=0), "マスタ未登録", "")</f>
        <v>マスタ未登録</v>
      </c>
      <c r="C11" s="53" t="str">
        <f t="shared" si="1"/>
        <v>商品売上原価</v>
      </c>
      <c r="F11" s="38" t="s">
        <v>3</v>
      </c>
      <c r="J11" s="38">
        <v>0.0</v>
      </c>
      <c r="K11" s="38">
        <v>0.0</v>
      </c>
      <c r="L11" s="38">
        <v>0.0</v>
      </c>
      <c r="M11" s="38">
        <v>0.0</v>
      </c>
      <c r="N11" s="38">
        <v>0.0</v>
      </c>
      <c r="O11" s="38">
        <v>0.0</v>
      </c>
      <c r="P11" s="38">
        <v>0.0</v>
      </c>
      <c r="Q11" s="38">
        <v>0.0</v>
      </c>
      <c r="R11" s="38">
        <v>0.0</v>
      </c>
      <c r="S11" s="38">
        <v>0.0</v>
      </c>
      <c r="T11" s="38">
        <v>0.0</v>
      </c>
      <c r="U11" s="38">
        <v>0.0</v>
      </c>
      <c r="V11" s="38">
        <v>0.0</v>
      </c>
    </row>
    <row r="12" ht="15.75" customHeight="1">
      <c r="A12" s="59" t="str">
        <f t="array" ref="A12">XLOOKUP(C12, 'マスタ'!$C$2:$C$312, 'マスタ'!$D$2:$D$312, "マスタ未登録")</f>
        <v>マスタ未登録</v>
      </c>
      <c r="B12" s="53" t="str">
        <f>IF(AND(C12&lt;&gt;"", COUNTIF('マスタ'!$C:$C, C12)=0), "マスタ未登録", "")</f>
        <v>マスタ未登録</v>
      </c>
      <c r="C12" s="53" t="str">
        <f t="shared" si="1"/>
        <v>売上総損益金額</v>
      </c>
      <c r="D12" s="38" t="s">
        <v>237</v>
      </c>
      <c r="J12" s="38">
        <v>0.0</v>
      </c>
      <c r="K12" s="38">
        <v>0.0</v>
      </c>
      <c r="L12" s="38">
        <v>0.0</v>
      </c>
      <c r="M12" s="38">
        <v>0.0</v>
      </c>
      <c r="N12" s="38">
        <v>0.0</v>
      </c>
      <c r="O12" s="38">
        <v>0.0</v>
      </c>
      <c r="P12" s="38">
        <v>0.0</v>
      </c>
      <c r="Q12" s="38">
        <v>0.0</v>
      </c>
      <c r="R12" s="38">
        <v>0.0</v>
      </c>
      <c r="S12" s="38">
        <v>0.0</v>
      </c>
      <c r="T12" s="38">
        <v>0.0</v>
      </c>
      <c r="U12" s="38">
        <v>0.0</v>
      </c>
      <c r="V12" s="38">
        <v>0.0</v>
      </c>
    </row>
    <row r="13" ht="15.75" customHeight="1">
      <c r="A13" s="59" t="str">
        <f t="array" ref="A13">XLOOKUP(C13, 'マスタ'!$C$2:$C$312, 'マスタ'!$D$2:$D$312, "マスタ未登録")</f>
        <v>マスタ未登録</v>
      </c>
      <c r="B13" s="53" t="str">
        <f>IF(AND(C13&lt;&gt;"", COUNTIF('マスタ'!$C:$C, C13)=0), "マスタ未登録", "")</f>
        <v>マスタ未登録</v>
      </c>
      <c r="C13" s="53" t="str">
        <f t="shared" si="1"/>
        <v>販売管理費</v>
      </c>
      <c r="E13" s="38" t="s">
        <v>238</v>
      </c>
    </row>
    <row r="14" ht="15.75" customHeight="1">
      <c r="A14" s="59" t="str">
        <f t="array" ref="A14">XLOOKUP(C14, 'マスタ'!$C$2:$C$312, 'マスタ'!$D$2:$D$312, "マスタ未登録")</f>
        <v>通信費</v>
      </c>
      <c r="B14" s="53" t="str">
        <f>IF(AND(C14&lt;&gt;"", COUNTIF('マスタ'!$C:$C, C14)=0), "マスタ未登録", "")</f>
        <v/>
      </c>
      <c r="C14" s="53" t="str">
        <f t="shared" si="1"/>
        <v>通信費</v>
      </c>
      <c r="F14" s="38" t="s">
        <v>84</v>
      </c>
      <c r="J14" s="38">
        <v>0.0</v>
      </c>
      <c r="K14" s="38">
        <v>1955.0</v>
      </c>
      <c r="L14" s="38">
        <v>0.0</v>
      </c>
      <c r="M14" s="38">
        <v>0.0</v>
      </c>
      <c r="N14" s="38">
        <v>0.0</v>
      </c>
      <c r="O14" s="38">
        <v>0.0</v>
      </c>
      <c r="P14" s="38">
        <v>0.0</v>
      </c>
      <c r="Q14" s="38">
        <v>0.0</v>
      </c>
      <c r="R14" s="38">
        <v>0.0</v>
      </c>
      <c r="S14" s="38">
        <v>0.0</v>
      </c>
      <c r="T14" s="38">
        <v>0.0</v>
      </c>
      <c r="U14" s="38">
        <v>0.0</v>
      </c>
      <c r="V14" s="38">
        <v>1955.0</v>
      </c>
    </row>
    <row r="15" ht="15.75" customHeight="1">
      <c r="A15" s="59" t="str">
        <f t="array" ref="A15">XLOOKUP(C15, 'マスタ'!$C$2:$C$312, 'マスタ'!$D$2:$D$312, "マスタ未登録")</f>
        <v>支払報酬</v>
      </c>
      <c r="B15" s="53" t="str">
        <f>IF(AND(C15&lt;&gt;"", COUNTIF('マスタ'!$C:$C, C15)=0), "マスタ未登録", "")</f>
        <v/>
      </c>
      <c r="C15" s="53" t="str">
        <f t="shared" si="1"/>
        <v>支払報酬料</v>
      </c>
      <c r="F15" s="38" t="s">
        <v>239</v>
      </c>
      <c r="J15" s="38">
        <v>0.0</v>
      </c>
      <c r="K15" s="38">
        <v>55000.0</v>
      </c>
      <c r="L15" s="38">
        <v>0.0</v>
      </c>
      <c r="M15" s="38">
        <v>0.0</v>
      </c>
      <c r="N15" s="38">
        <v>0.0</v>
      </c>
      <c r="O15" s="38">
        <v>0.0</v>
      </c>
      <c r="P15" s="38">
        <v>0.0</v>
      </c>
      <c r="Q15" s="38">
        <v>0.0</v>
      </c>
      <c r="R15" s="38">
        <v>0.0</v>
      </c>
      <c r="S15" s="38">
        <v>0.0</v>
      </c>
      <c r="T15" s="38">
        <v>0.0</v>
      </c>
      <c r="U15" s="38">
        <v>0.0</v>
      </c>
      <c r="V15" s="38">
        <v>55000.0</v>
      </c>
    </row>
    <row r="16" ht="15.75" customHeight="1">
      <c r="A16" s="59" t="str">
        <f t="array" ref="A16">XLOOKUP(C16, 'マスタ'!$C$2:$C$312, 'マスタ'!$D$2:$D$312, "マスタ未登録")</f>
        <v>支払手数料</v>
      </c>
      <c r="B16" s="53" t="str">
        <f>IF(AND(C16&lt;&gt;"", COUNTIF('マスタ'!$C:$C, C16)=0), "マスタ未登録", "")</f>
        <v/>
      </c>
      <c r="C16" s="53" t="str">
        <f t="shared" si="1"/>
        <v>支払手数料</v>
      </c>
      <c r="F16" s="38" t="s">
        <v>92</v>
      </c>
      <c r="J16" s="38">
        <v>4200.0</v>
      </c>
      <c r="K16" s="38">
        <v>6000.0</v>
      </c>
      <c r="L16" s="38">
        <v>1046.0</v>
      </c>
      <c r="M16" s="38">
        <v>0.0</v>
      </c>
      <c r="N16" s="38">
        <v>0.0</v>
      </c>
      <c r="O16" s="38">
        <v>0.0</v>
      </c>
      <c r="P16" s="38">
        <v>0.0</v>
      </c>
      <c r="Q16" s="38">
        <v>0.0</v>
      </c>
      <c r="R16" s="38">
        <v>0.0</v>
      </c>
      <c r="S16" s="38">
        <v>0.0</v>
      </c>
      <c r="T16" s="38">
        <v>0.0</v>
      </c>
      <c r="U16" s="38">
        <v>0.0</v>
      </c>
      <c r="V16" s="38">
        <v>11246.0</v>
      </c>
    </row>
    <row r="17" ht="15.75" customHeight="1">
      <c r="A17" s="59" t="str">
        <f t="array" ref="A17">XLOOKUP(C17, 'マスタ'!$C$2:$C$312, 'マスタ'!$D$2:$D$312, "マスタ未登録")</f>
        <v>租税公課</v>
      </c>
      <c r="B17" s="53" t="str">
        <f>IF(AND(C17&lt;&gt;"", COUNTIF('マスタ'!$C:$C, C17)=0), "マスタ未登録", "")</f>
        <v/>
      </c>
      <c r="C17" s="53" t="str">
        <f t="shared" si="1"/>
        <v>租税公課</v>
      </c>
      <c r="F17" s="38" t="s">
        <v>91</v>
      </c>
      <c r="J17" s="38">
        <v>0.0</v>
      </c>
      <c r="K17" s="38">
        <v>60820.0</v>
      </c>
      <c r="L17" s="38">
        <v>0.0</v>
      </c>
      <c r="M17" s="38">
        <v>0.0</v>
      </c>
      <c r="N17" s="38">
        <v>0.0</v>
      </c>
      <c r="O17" s="38">
        <v>0.0</v>
      </c>
      <c r="P17" s="38">
        <v>0.0</v>
      </c>
      <c r="Q17" s="38">
        <v>0.0</v>
      </c>
      <c r="R17" s="38">
        <v>0.0</v>
      </c>
      <c r="S17" s="38">
        <v>0.0</v>
      </c>
      <c r="T17" s="38">
        <v>0.0</v>
      </c>
      <c r="U17" s="38">
        <v>0.0</v>
      </c>
      <c r="V17" s="38">
        <v>60820.0</v>
      </c>
    </row>
    <row r="18" ht="15.75" customHeight="1">
      <c r="A18" s="59" t="str">
        <f t="array" ref="A18">XLOOKUP(C18, 'マスタ'!$C$2:$C$312, 'マスタ'!$D$2:$D$312, "マスタ未登録")</f>
        <v>マスタ未登録</v>
      </c>
      <c r="B18" s="53" t="str">
        <f>IF(AND(C18&lt;&gt;"", COUNTIF('マスタ'!$C:$C, C18)=0), "マスタ未登録", "")</f>
        <v>マスタ未登録</v>
      </c>
      <c r="C18" s="53" t="str">
        <f t="shared" si="1"/>
        <v>販売管理費 計</v>
      </c>
      <c r="E18" s="38" t="s">
        <v>183</v>
      </c>
      <c r="J18" s="38">
        <v>4200.0</v>
      </c>
      <c r="K18" s="38">
        <v>123775.0</v>
      </c>
      <c r="L18" s="38">
        <v>1046.0</v>
      </c>
      <c r="M18" s="38">
        <v>0.0</v>
      </c>
      <c r="N18" s="38">
        <v>0.0</v>
      </c>
      <c r="O18" s="38">
        <v>0.0</v>
      </c>
      <c r="P18" s="38">
        <v>0.0</v>
      </c>
      <c r="Q18" s="38">
        <v>0.0</v>
      </c>
      <c r="R18" s="38">
        <v>0.0</v>
      </c>
      <c r="S18" s="38">
        <v>0.0</v>
      </c>
      <c r="T18" s="38">
        <v>0.0</v>
      </c>
      <c r="U18" s="38">
        <v>0.0</v>
      </c>
      <c r="V18" s="38">
        <v>129021.0</v>
      </c>
    </row>
    <row r="19" ht="15.75" customHeight="1">
      <c r="A19" s="59" t="str">
        <f t="array" ref="A19">XLOOKUP(C19, 'マスタ'!$C$2:$C$312, 'マスタ'!$D$2:$D$312, "マスタ未登録")</f>
        <v>マスタ未登録</v>
      </c>
      <c r="B19" s="53" t="str">
        <f>IF(AND(C19&lt;&gt;"", COUNTIF('マスタ'!$C:$C, C19)=0), "マスタ未登録", "")</f>
        <v>マスタ未登録</v>
      </c>
      <c r="C19" s="53" t="str">
        <f t="shared" si="1"/>
        <v>営業損益金額</v>
      </c>
      <c r="D19" s="38" t="s">
        <v>184</v>
      </c>
      <c r="J19" s="38">
        <v>-4200.0</v>
      </c>
      <c r="K19" s="38">
        <v>-123775.0</v>
      </c>
      <c r="L19" s="38">
        <v>-1046.0</v>
      </c>
      <c r="M19" s="38">
        <v>0.0</v>
      </c>
      <c r="N19" s="38">
        <v>0.0</v>
      </c>
      <c r="O19" s="38">
        <v>0.0</v>
      </c>
      <c r="P19" s="38">
        <v>0.0</v>
      </c>
      <c r="Q19" s="38">
        <v>0.0</v>
      </c>
      <c r="R19" s="38">
        <v>0.0</v>
      </c>
      <c r="S19" s="38">
        <v>0.0</v>
      </c>
      <c r="T19" s="38">
        <v>0.0</v>
      </c>
      <c r="U19" s="38">
        <v>0.0</v>
      </c>
      <c r="V19" s="38">
        <v>-129021.0</v>
      </c>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営業外収益</v>
      </c>
      <c r="E20" s="38" t="s">
        <v>32</v>
      </c>
      <c r="J20" s="38">
        <v>0.0</v>
      </c>
      <c r="K20" s="38">
        <v>0.0</v>
      </c>
      <c r="L20" s="38">
        <v>0.0</v>
      </c>
      <c r="M20" s="38">
        <v>0.0</v>
      </c>
      <c r="N20" s="38">
        <v>0.0</v>
      </c>
      <c r="O20" s="38">
        <v>0.0</v>
      </c>
      <c r="P20" s="38">
        <v>0.0</v>
      </c>
      <c r="Q20" s="38">
        <v>0.0</v>
      </c>
      <c r="R20" s="38">
        <v>0.0</v>
      </c>
      <c r="S20" s="38">
        <v>0.0</v>
      </c>
      <c r="T20" s="38">
        <v>0.0</v>
      </c>
      <c r="U20" s="38">
        <v>0.0</v>
      </c>
      <c r="V20" s="38">
        <v>0.0</v>
      </c>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営業外費用</v>
      </c>
      <c r="E21" s="38" t="s">
        <v>34</v>
      </c>
      <c r="J21" s="38">
        <v>0.0</v>
      </c>
      <c r="K21" s="38">
        <v>0.0</v>
      </c>
      <c r="L21" s="38">
        <v>0.0</v>
      </c>
      <c r="M21" s="38">
        <v>0.0</v>
      </c>
      <c r="N21" s="38">
        <v>0.0</v>
      </c>
      <c r="O21" s="38">
        <v>0.0</v>
      </c>
      <c r="P21" s="38">
        <v>0.0</v>
      </c>
      <c r="Q21" s="38">
        <v>0.0</v>
      </c>
      <c r="R21" s="38">
        <v>0.0</v>
      </c>
      <c r="S21" s="38">
        <v>0.0</v>
      </c>
      <c r="T21" s="38">
        <v>0.0</v>
      </c>
      <c r="U21" s="38">
        <v>0.0</v>
      </c>
      <c r="V21" s="38">
        <v>0.0</v>
      </c>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経常損益金額</v>
      </c>
      <c r="D22" s="38" t="s">
        <v>112</v>
      </c>
      <c r="J22" s="38">
        <v>-4200.0</v>
      </c>
      <c r="K22" s="38">
        <v>-123775.0</v>
      </c>
      <c r="L22" s="38">
        <v>-1046.0</v>
      </c>
      <c r="M22" s="38">
        <v>0.0</v>
      </c>
      <c r="N22" s="38">
        <v>0.0</v>
      </c>
      <c r="O22" s="38">
        <v>0.0</v>
      </c>
      <c r="P22" s="38">
        <v>0.0</v>
      </c>
      <c r="Q22" s="38">
        <v>0.0</v>
      </c>
      <c r="R22" s="38">
        <v>0.0</v>
      </c>
      <c r="S22" s="38">
        <v>0.0</v>
      </c>
      <c r="T22" s="38">
        <v>0.0</v>
      </c>
      <c r="U22" s="38">
        <v>0.0</v>
      </c>
      <c r="V22" s="38">
        <v>-129021.0</v>
      </c>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特別利益</v>
      </c>
      <c r="E23" s="38" t="s">
        <v>37</v>
      </c>
      <c r="J23" s="38">
        <v>0.0</v>
      </c>
      <c r="K23" s="38">
        <v>0.0</v>
      </c>
      <c r="L23" s="38">
        <v>0.0</v>
      </c>
      <c r="M23" s="38">
        <v>0.0</v>
      </c>
      <c r="N23" s="38">
        <v>0.0</v>
      </c>
      <c r="O23" s="38">
        <v>0.0</v>
      </c>
      <c r="P23" s="38">
        <v>0.0</v>
      </c>
      <c r="Q23" s="38">
        <v>0.0</v>
      </c>
      <c r="R23" s="38">
        <v>0.0</v>
      </c>
      <c r="S23" s="38">
        <v>0.0</v>
      </c>
      <c r="T23" s="38">
        <v>0.0</v>
      </c>
      <c r="U23" s="38">
        <v>0.0</v>
      </c>
      <c r="V23" s="38">
        <v>0.0</v>
      </c>
    </row>
    <row r="24" ht="15.75" customHeight="1">
      <c r="A24" s="59" t="str">
        <f t="array" ref="A24">XLOOKUP(C24, 'マスタ'!$C$2:$C$312, 'マスタ'!$D$2:$D$312, "マスタ未登録")</f>
        <v>マスタ未登録</v>
      </c>
      <c r="B24" s="53" t="str">
        <f>IF(AND(C24&lt;&gt;"", COUNTIF('マスタ'!$C:$C, C24)=0), "マスタ未登録", "")</f>
        <v>マスタ未登録</v>
      </c>
      <c r="C24" s="53" t="str">
        <f t="shared" si="1"/>
        <v>特別損失</v>
      </c>
      <c r="E24" s="38" t="s">
        <v>39</v>
      </c>
      <c r="J24" s="38">
        <v>0.0</v>
      </c>
      <c r="K24" s="38">
        <v>0.0</v>
      </c>
      <c r="L24" s="38">
        <v>0.0</v>
      </c>
      <c r="M24" s="38">
        <v>0.0</v>
      </c>
      <c r="N24" s="38">
        <v>0.0</v>
      </c>
      <c r="O24" s="38">
        <v>0.0</v>
      </c>
      <c r="P24" s="38">
        <v>0.0</v>
      </c>
      <c r="Q24" s="38">
        <v>0.0</v>
      </c>
      <c r="R24" s="38">
        <v>0.0</v>
      </c>
      <c r="S24" s="38">
        <v>0.0</v>
      </c>
      <c r="T24" s="38">
        <v>0.0</v>
      </c>
      <c r="U24" s="38">
        <v>0.0</v>
      </c>
      <c r="V24" s="38">
        <v>0.0</v>
      </c>
    </row>
    <row r="25" ht="15.75" customHeight="1">
      <c r="A25" s="59" t="str">
        <f t="array" ref="A25">XLOOKUP(C25, 'マスタ'!$C$2:$C$312, 'マスタ'!$D$2:$D$312, "マスタ未登録")</f>
        <v>マスタ未登録</v>
      </c>
      <c r="B25" s="53" t="str">
        <f>IF(AND(C25&lt;&gt;"", COUNTIF('マスタ'!$C:$C, C25)=0), "マスタ未登録", "")</f>
        <v>マスタ未登録</v>
      </c>
      <c r="C25" s="53" t="str">
        <f t="shared" si="1"/>
        <v>税引前当期純損益金額</v>
      </c>
      <c r="D25" s="38" t="s">
        <v>117</v>
      </c>
      <c r="J25" s="38">
        <v>-4200.0</v>
      </c>
      <c r="K25" s="38">
        <v>-123775.0</v>
      </c>
      <c r="L25" s="38">
        <v>-1046.0</v>
      </c>
      <c r="M25" s="38">
        <v>0.0</v>
      </c>
      <c r="N25" s="38">
        <v>0.0</v>
      </c>
      <c r="O25" s="38">
        <v>0.0</v>
      </c>
      <c r="P25" s="38">
        <v>0.0</v>
      </c>
      <c r="Q25" s="38">
        <v>0.0</v>
      </c>
      <c r="R25" s="38">
        <v>0.0</v>
      </c>
      <c r="S25" s="38">
        <v>0.0</v>
      </c>
      <c r="T25" s="38">
        <v>0.0</v>
      </c>
      <c r="U25" s="38">
        <v>0.0</v>
      </c>
      <c r="V25" s="38">
        <v>-129021.0</v>
      </c>
    </row>
    <row r="26" ht="15.75" customHeight="1">
      <c r="A26" s="59" t="str">
        <f t="array" ref="A26">XLOOKUP(C26, 'マスタ'!$C$2:$C$312, 'マスタ'!$D$2:$D$312, "マスタ未登録")</f>
        <v>法人税等</v>
      </c>
      <c r="B26" s="53" t="str">
        <f>IF(AND(C26&lt;&gt;"", COUNTIF('マスタ'!$C:$C, C26)=0), "マスタ未登録", "")</f>
        <v/>
      </c>
      <c r="C26" s="53" t="str">
        <f t="shared" si="1"/>
        <v>法人税等</v>
      </c>
      <c r="E26" s="38" t="s">
        <v>43</v>
      </c>
      <c r="J26" s="38">
        <v>0.0</v>
      </c>
      <c r="K26" s="38">
        <v>0.0</v>
      </c>
      <c r="L26" s="38">
        <v>0.0</v>
      </c>
      <c r="M26" s="38">
        <v>0.0</v>
      </c>
      <c r="N26" s="38">
        <v>0.0</v>
      </c>
      <c r="O26" s="38">
        <v>0.0</v>
      </c>
      <c r="P26" s="38">
        <v>0.0</v>
      </c>
      <c r="Q26" s="38">
        <v>0.0</v>
      </c>
      <c r="R26" s="38">
        <v>0.0</v>
      </c>
      <c r="S26" s="38">
        <v>0.0</v>
      </c>
      <c r="T26" s="38">
        <v>0.0</v>
      </c>
      <c r="U26" s="38">
        <v>0.0</v>
      </c>
      <c r="V26" s="38">
        <v>0.0</v>
      </c>
    </row>
    <row r="27" ht="15.75" customHeight="1">
      <c r="A27" s="59" t="str">
        <f t="array" ref="A27">XLOOKUP(C27, 'マスタ'!$C$2:$C$312, 'マスタ'!$D$2:$D$312, "マスタ未登録")</f>
        <v>法人税等調整額</v>
      </c>
      <c r="B27" s="53" t="str">
        <f>IF(AND(C27&lt;&gt;"", COUNTIF('マスタ'!$C:$C, C27)=0), "マスタ未登録", "")</f>
        <v/>
      </c>
      <c r="C27" s="53" t="str">
        <f t="shared" si="1"/>
        <v>法人税等調整額</v>
      </c>
      <c r="E27" s="38" t="s">
        <v>118</v>
      </c>
      <c r="J27" s="38">
        <v>0.0</v>
      </c>
      <c r="K27" s="38">
        <v>0.0</v>
      </c>
      <c r="L27" s="38">
        <v>0.0</v>
      </c>
      <c r="M27" s="38">
        <v>0.0</v>
      </c>
      <c r="N27" s="38">
        <v>0.0</v>
      </c>
      <c r="O27" s="38">
        <v>0.0</v>
      </c>
      <c r="P27" s="38">
        <v>0.0</v>
      </c>
      <c r="Q27" s="38">
        <v>0.0</v>
      </c>
      <c r="R27" s="38">
        <v>0.0</v>
      </c>
      <c r="S27" s="38">
        <v>0.0</v>
      </c>
      <c r="T27" s="38">
        <v>0.0</v>
      </c>
      <c r="U27" s="38">
        <v>0.0</v>
      </c>
      <c r="V27" s="38">
        <v>0.0</v>
      </c>
    </row>
    <row r="28" ht="15.75" customHeight="1">
      <c r="A28" s="59" t="str">
        <f t="array" ref="A28">XLOOKUP(C28, 'マスタ'!$C$2:$C$312, 'マスタ'!$D$2:$D$312, "マスタ未登録")</f>
        <v>マスタ未登録</v>
      </c>
      <c r="B28" s="53" t="str">
        <f>IF(AND(C28&lt;&gt;"", COUNTIF('マスタ'!$C:$C, C28)=0), "マスタ未登録", "")</f>
        <v>マスタ未登録</v>
      </c>
      <c r="C28" s="53" t="str">
        <f t="shared" si="1"/>
        <v>当期純損益金額</v>
      </c>
      <c r="D28" s="38" t="s">
        <v>119</v>
      </c>
      <c r="J28" s="38">
        <v>-4200.0</v>
      </c>
      <c r="K28" s="38">
        <v>-123775.0</v>
      </c>
      <c r="L28" s="38">
        <v>-1046.0</v>
      </c>
      <c r="M28" s="38">
        <v>0.0</v>
      </c>
      <c r="N28" s="38">
        <v>0.0</v>
      </c>
      <c r="O28" s="38">
        <v>0.0</v>
      </c>
      <c r="P28" s="38">
        <v>0.0</v>
      </c>
      <c r="Q28" s="38">
        <v>0.0</v>
      </c>
      <c r="R28" s="38">
        <v>0.0</v>
      </c>
      <c r="S28" s="38">
        <v>0.0</v>
      </c>
      <c r="T28" s="38">
        <v>0.0</v>
      </c>
      <c r="U28" s="38">
        <v>0.0</v>
      </c>
      <c r="V28" s="38">
        <v>-129021.0</v>
      </c>
    </row>
    <row r="29" ht="15.75" customHeight="1">
      <c r="A29" s="93"/>
    </row>
    <row r="30" ht="15.75" customHeight="1">
      <c r="A30" s="93"/>
    </row>
    <row r="31" ht="15.75" customHeight="1">
      <c r="A31" s="93"/>
    </row>
    <row r="32" ht="15.75" customHeight="1">
      <c r="A32" s="93"/>
    </row>
    <row r="33" ht="15.75" customHeight="1">
      <c r="A33" s="93"/>
    </row>
    <row r="34" ht="15.75" customHeight="1">
      <c r="A34" s="93"/>
    </row>
    <row r="35" ht="15.75" customHeight="1">
      <c r="A35" s="93"/>
    </row>
    <row r="36" ht="15.75" customHeight="1">
      <c r="A36" s="93"/>
    </row>
    <row r="37" ht="15.75" customHeight="1">
      <c r="A37" s="93"/>
    </row>
    <row r="38" ht="15.75" customHeight="1">
      <c r="A38" s="93"/>
    </row>
    <row r="39" ht="15.75" customHeight="1">
      <c r="A39" s="93"/>
    </row>
    <row r="40" ht="15.75" customHeight="1">
      <c r="A40" s="93"/>
    </row>
    <row r="41" ht="15.75" customHeight="1">
      <c r="A41" s="93"/>
    </row>
    <row r="42" ht="15.75" customHeight="1">
      <c r="A42" s="93"/>
    </row>
    <row r="43" ht="15.75" customHeight="1">
      <c r="A43" s="93"/>
    </row>
    <row r="44" ht="15.75" customHeight="1">
      <c r="A44" s="93"/>
    </row>
    <row r="45" ht="15.75" customHeight="1">
      <c r="A45" s="93"/>
    </row>
    <row r="46" ht="15.75" customHeight="1">
      <c r="A46" s="93"/>
    </row>
    <row r="47" ht="15.75" customHeight="1">
      <c r="A47" s="93"/>
    </row>
    <row r="48" ht="15.75" customHeight="1">
      <c r="A48" s="93"/>
    </row>
    <row r="49" ht="15.75" customHeight="1">
      <c r="A49" s="93"/>
    </row>
    <row r="50" ht="15.75" customHeight="1">
      <c r="A50" s="93"/>
    </row>
    <row r="51" ht="15.75" customHeight="1">
      <c r="A51" s="93"/>
    </row>
    <row r="52" ht="15.75" customHeight="1">
      <c r="A52" s="93"/>
    </row>
    <row r="53" ht="15.75" customHeight="1">
      <c r="A53" s="93"/>
    </row>
    <row r="54" ht="15.75" customHeight="1">
      <c r="A54" s="93"/>
    </row>
    <row r="55" ht="15.75" customHeight="1">
      <c r="A55" s="93"/>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8"/>
      <c r="B1" s="53"/>
      <c r="C1" s="53"/>
      <c r="D1" s="38" t="s">
        <v>20</v>
      </c>
    </row>
    <row r="2" ht="15.75" customHeight="1">
      <c r="B2" s="53"/>
      <c r="C2" s="53"/>
      <c r="F2" s="94">
        <v>46113.0</v>
      </c>
      <c r="G2" s="94">
        <v>46143.0</v>
      </c>
      <c r="H2" s="94">
        <v>46174.0</v>
      </c>
      <c r="I2" s="94">
        <v>46204.0</v>
      </c>
      <c r="J2" s="2">
        <v>46235.0</v>
      </c>
      <c r="K2" s="2">
        <v>46266.0</v>
      </c>
      <c r="L2" s="2">
        <v>46296.0</v>
      </c>
      <c r="M2" s="2">
        <v>46327.0</v>
      </c>
      <c r="N2" s="2">
        <v>46357.0</v>
      </c>
      <c r="O2" s="2">
        <v>46388.0</v>
      </c>
      <c r="P2" s="3">
        <v>46419.0</v>
      </c>
      <c r="Q2" s="3">
        <v>46447.0</v>
      </c>
      <c r="R2" s="38" t="s">
        <v>355</v>
      </c>
      <c r="S2" s="38" t="s">
        <v>356</v>
      </c>
      <c r="T2" s="2"/>
      <c r="U2" s="2"/>
    </row>
    <row r="3" ht="15.75" customHeight="1">
      <c r="A3" s="59" t="str">
        <f t="array" ref="A3">XLOOKUP(C3, 'マスタ'!$C$2:$C$312, 'マスタ'!$D$2:$D$312, "マスタ未登録")</f>
        <v>マスタ未登録</v>
      </c>
      <c r="B3" s="53"/>
      <c r="C3" s="53"/>
      <c r="D3" s="38" t="s">
        <v>1</v>
      </c>
    </row>
    <row r="4" ht="15.75" customHeight="1">
      <c r="A4" s="59" t="str">
        <f t="array" ref="A4">XLOOKUP(C4, 'マスタ'!$C$2:$C$312, 'マスタ'!$D$2:$D$312, "マスタ未登録")</f>
        <v>マスタ未登録</v>
      </c>
      <c r="B4" s="53" t="str">
        <f>IF(AND(C4&lt;&gt;"", COUNTIF('マスタ'!$C:$C, C4)=0), "マスタ未登録", "")</f>
        <v>マスタ未登録</v>
      </c>
      <c r="C4" s="53" t="str">
        <f t="shared" ref="C4:C28" si="1">D4&amp;D109&amp;E4&amp;F4&amp;G4&amp;H4</f>
        <v>売上高00</v>
      </c>
      <c r="E4" s="38" t="s">
        <v>1</v>
      </c>
      <c r="F4" s="38">
        <v>0.0</v>
      </c>
      <c r="G4" s="38">
        <v>0.0</v>
      </c>
      <c r="S4" s="38">
        <v>0.0</v>
      </c>
    </row>
    <row r="5" ht="15.75" customHeight="1">
      <c r="A5" s="59" t="str">
        <f t="array" ref="A5">XLOOKUP(C5, 'マスタ'!$C$2:$C$312, 'マスタ'!$D$2:$D$312, "マスタ未登録")</f>
        <v>マスタ未登録</v>
      </c>
      <c r="B5" s="53" t="str">
        <f>IF(AND(C5&lt;&gt;"", COUNTIF('マスタ'!$C:$C, C5)=0), "マスタ未登録", "")</f>
        <v>マスタ未登録</v>
      </c>
      <c r="C5" s="53" t="str">
        <f t="shared" si="1"/>
        <v>売上高合計00</v>
      </c>
      <c r="D5" s="38" t="s">
        <v>67</v>
      </c>
      <c r="F5" s="38">
        <v>0.0</v>
      </c>
      <c r="G5" s="38">
        <v>0.0</v>
      </c>
      <c r="S5" s="38">
        <v>0.0</v>
      </c>
    </row>
    <row r="6" ht="15.75" customHeight="1">
      <c r="A6" s="59" t="str">
        <f t="array" ref="A6">XLOOKUP(C6, 'マスタ'!$C$2:$C$312, 'マスタ'!$D$2:$D$312, "マスタ未登録")</f>
        <v>マスタ未登録</v>
      </c>
      <c r="B6" s="53" t="str">
        <f>IF(AND(C6&lt;&gt;"", COUNTIF('マスタ'!$C:$C, C6)=0), "マスタ未登録", "")</f>
        <v>マスタ未登録</v>
      </c>
      <c r="C6" s="53" t="str">
        <f t="shared" si="1"/>
        <v>売上原価</v>
      </c>
      <c r="D6" s="38" t="s">
        <v>28</v>
      </c>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売上原価合計00</v>
      </c>
      <c r="D7" s="38" t="s">
        <v>206</v>
      </c>
      <c r="F7" s="38">
        <v>0.0</v>
      </c>
      <c r="G7" s="38">
        <v>0.0</v>
      </c>
      <c r="S7" s="38">
        <v>0.0</v>
      </c>
    </row>
    <row r="8" ht="15.75" customHeight="1">
      <c r="A8" s="59" t="str">
        <f t="array" ref="A8">XLOOKUP(C8, 'マスタ'!$C$2:$C$312, 'マスタ'!$D$2:$D$312, "マスタ未登録")</f>
        <v>マスタ未登録</v>
      </c>
      <c r="B8" s="53" t="str">
        <f>IF(AND(C8&lt;&gt;"", COUNTIF('マスタ'!$C:$C, C8)=0), "マスタ未登録", "")</f>
        <v>マスタ未登録</v>
      </c>
      <c r="C8" s="53" t="str">
        <f t="shared" si="1"/>
        <v>売上総利益00</v>
      </c>
      <c r="D8" s="38" t="s">
        <v>5</v>
      </c>
      <c r="F8" s="38">
        <v>0.0</v>
      </c>
      <c r="G8" s="38">
        <v>0.0</v>
      </c>
      <c r="S8" s="38">
        <v>0.0</v>
      </c>
    </row>
    <row r="9" ht="15.75" customHeight="1">
      <c r="A9" s="59" t="str">
        <f t="array" ref="A9">XLOOKUP(C9, 'マスタ'!$C$2:$C$312, 'マスタ'!$D$2:$D$312, "マスタ未登録")</f>
        <v>マスタ未登録</v>
      </c>
      <c r="B9" s="53" t="str">
        <f>IF(AND(C9&lt;&gt;"", COUNTIF('マスタ'!$C:$C, C9)=0), "マスタ未登録", "")</f>
        <v>マスタ未登録</v>
      </c>
      <c r="C9" s="53" t="str">
        <f t="shared" si="1"/>
        <v>販売費及び一般管理費</v>
      </c>
      <c r="D9" s="38" t="s">
        <v>29</v>
      </c>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消耗品費00</v>
      </c>
      <c r="E10" s="38" t="s">
        <v>86</v>
      </c>
      <c r="F10" s="38">
        <v>0.0</v>
      </c>
      <c r="G10" s="38">
        <v>0.0</v>
      </c>
      <c r="S10" s="38">
        <v>0.0</v>
      </c>
    </row>
    <row r="11" ht="15.75" customHeight="1">
      <c r="A11" s="59" t="str">
        <f t="array" ref="A11">XLOOKUP(C11, 'マスタ'!$C$2:$C$312, 'マスタ'!$D$2:$D$312, "マスタ未登録")</f>
        <v>マスタ未登録</v>
      </c>
      <c r="B11" s="53" t="str">
        <f>IF(AND(C11&lt;&gt;"", COUNTIF('マスタ'!$C:$C, C11)=0), "マスタ未登録", "")</f>
        <v>マスタ未登録</v>
      </c>
      <c r="C11" s="53" t="str">
        <f t="shared" si="1"/>
        <v>租税公課00</v>
      </c>
      <c r="E11" s="38" t="s">
        <v>91</v>
      </c>
      <c r="F11" s="38">
        <v>0.0</v>
      </c>
      <c r="G11" s="38">
        <v>0.0</v>
      </c>
      <c r="S11" s="38">
        <v>0.0</v>
      </c>
    </row>
    <row r="12" ht="15.75" customHeight="1">
      <c r="A12" s="59" t="str">
        <f t="array" ref="A12">XLOOKUP(C12, 'マスタ'!$C$2:$C$312, 'マスタ'!$D$2:$D$312, "マスタ未登録")</f>
        <v>マスタ未登録</v>
      </c>
      <c r="B12" s="53" t="str">
        <f>IF(AND(C12&lt;&gt;"", COUNTIF('マスタ'!$C:$C, C12)=0), "マスタ未登録", "")</f>
        <v>マスタ未登録</v>
      </c>
      <c r="C12" s="53" t="str">
        <f t="shared" si="1"/>
        <v>支払手数料00</v>
      </c>
      <c r="E12" s="38" t="s">
        <v>92</v>
      </c>
      <c r="F12" s="38">
        <v>0.0</v>
      </c>
      <c r="G12" s="38">
        <v>0.0</v>
      </c>
      <c r="S12" s="38">
        <v>0.0</v>
      </c>
    </row>
    <row r="13" ht="15.75" customHeight="1">
      <c r="A13" s="59" t="str">
        <f t="array" ref="A13">XLOOKUP(C13, 'マスタ'!$C$2:$C$312, 'マスタ'!$D$2:$D$312, "マスタ未登録")</f>
        <v>マスタ未登録</v>
      </c>
      <c r="B13" s="53" t="str">
        <f>IF(AND(C13&lt;&gt;"", COUNTIF('マスタ'!$C:$C, C13)=0), "マスタ未登録", "")</f>
        <v>マスタ未登録</v>
      </c>
      <c r="C13" s="53" t="str">
        <f t="shared" si="1"/>
        <v>支払報酬00</v>
      </c>
      <c r="E13" s="38" t="s">
        <v>93</v>
      </c>
      <c r="F13" s="38">
        <v>0.0</v>
      </c>
      <c r="G13" s="38">
        <v>0.0</v>
      </c>
      <c r="S13" s="38">
        <v>0.0</v>
      </c>
    </row>
    <row r="14" ht="15.75" customHeight="1">
      <c r="A14" s="59" t="str">
        <f t="array" ref="A14">XLOOKUP(C14, 'マスタ'!$C$2:$C$312, 'マスタ'!$D$2:$D$312, "マスタ未登録")</f>
        <v>マスタ未登録</v>
      </c>
      <c r="B14" s="53" t="str">
        <f>IF(AND(C14&lt;&gt;"", COUNTIF('マスタ'!$C:$C, C14)=0), "マスタ未登録", "")</f>
        <v>マスタ未登録</v>
      </c>
      <c r="C14" s="53" t="str">
        <f t="shared" si="1"/>
        <v>販売費及び一般管理費合計00</v>
      </c>
      <c r="D14" s="38" t="s">
        <v>102</v>
      </c>
      <c r="F14" s="38">
        <v>0.0</v>
      </c>
      <c r="G14" s="38">
        <v>0.0</v>
      </c>
      <c r="S14" s="38">
        <v>0.0</v>
      </c>
    </row>
    <row r="15" ht="15.75" customHeight="1">
      <c r="A15" s="59" t="str">
        <f t="array" ref="A15">XLOOKUP(C15, 'マスタ'!$C$2:$C$312, 'マスタ'!$D$2:$D$312, "マスタ未登録")</f>
        <v>マスタ未登録</v>
      </c>
      <c r="B15" s="53" t="str">
        <f>IF(AND(C15&lt;&gt;"", COUNTIF('マスタ'!$C:$C, C15)=0), "マスタ未登録", "")</f>
        <v>マスタ未登録</v>
      </c>
      <c r="C15" s="53" t="str">
        <f t="shared" si="1"/>
        <v>営業利益00</v>
      </c>
      <c r="D15" s="38" t="s">
        <v>31</v>
      </c>
      <c r="F15" s="38">
        <v>0.0</v>
      </c>
      <c r="G15" s="38">
        <v>0.0</v>
      </c>
      <c r="S15" s="38">
        <v>0.0</v>
      </c>
    </row>
    <row r="16" ht="15.75" customHeight="1">
      <c r="A16" s="59" t="str">
        <f t="array" ref="A16">XLOOKUP(C16, 'マスタ'!$C$2:$C$312, 'マスタ'!$D$2:$D$312, "マスタ未登録")</f>
        <v>マスタ未登録</v>
      </c>
      <c r="B16" s="53" t="str">
        <f>IF(AND(C16&lt;&gt;"", COUNTIF('マスタ'!$C:$C, C16)=0), "マスタ未登録", "")</f>
        <v>マスタ未登録</v>
      </c>
      <c r="C16" s="53" t="str">
        <f t="shared" si="1"/>
        <v>受取利息00</v>
      </c>
      <c r="E16" s="38" t="s">
        <v>103</v>
      </c>
      <c r="F16" s="38">
        <v>0.0</v>
      </c>
      <c r="G16" s="38">
        <v>0.0</v>
      </c>
      <c r="S16" s="38">
        <v>0.0</v>
      </c>
    </row>
    <row r="17" ht="15.75" customHeight="1">
      <c r="A17" s="59" t="str">
        <f t="array" ref="A17">XLOOKUP(C17, 'マスタ'!$C$2:$C$312, 'マスタ'!$D$2:$D$312, "マスタ未登録")</f>
        <v>マスタ未登録</v>
      </c>
      <c r="B17" s="53" t="str">
        <f>IF(AND(C17&lt;&gt;"", COUNTIF('マスタ'!$C:$C, C17)=0), "マスタ未登録", "")</f>
        <v>マスタ未登録</v>
      </c>
      <c r="C17" s="53" t="str">
        <f t="shared" si="1"/>
        <v>営業外収益00</v>
      </c>
      <c r="D17" s="38" t="s">
        <v>32</v>
      </c>
      <c r="F17" s="38">
        <v>0.0</v>
      </c>
      <c r="G17" s="38">
        <v>0.0</v>
      </c>
      <c r="S17" s="38">
        <v>0.0</v>
      </c>
    </row>
    <row r="18" ht="15.75" customHeight="1">
      <c r="A18" s="59" t="str">
        <f t="array" ref="A18">XLOOKUP(C18, 'マスタ'!$C$2:$C$312, 'マスタ'!$D$2:$D$312, "マスタ未登録")</f>
        <v>マスタ未登録</v>
      </c>
      <c r="B18" s="53" t="str">
        <f>IF(AND(C18&lt;&gt;"", COUNTIF('マスタ'!$C:$C, C18)=0), "マスタ未登録", "")</f>
        <v>マスタ未登録</v>
      </c>
      <c r="C18" s="53" t="str">
        <f t="shared" si="1"/>
        <v>営業外収益合計00</v>
      </c>
      <c r="D18" s="38" t="s">
        <v>207</v>
      </c>
      <c r="F18" s="38">
        <v>0.0</v>
      </c>
      <c r="G18" s="38">
        <v>0.0</v>
      </c>
      <c r="S18" s="38">
        <v>0.0</v>
      </c>
    </row>
    <row r="19" ht="15.75" customHeight="1">
      <c r="A19" s="59" t="str">
        <f t="array" ref="A19">XLOOKUP(C19, 'マスタ'!$C$2:$C$312, 'マスタ'!$D$2:$D$312, "マスタ未登録")</f>
        <v>マスタ未登録</v>
      </c>
      <c r="B19" s="53" t="str">
        <f>IF(AND(C19&lt;&gt;"", COUNTIF('マスタ'!$C:$C, C19)=0), "マスタ未登録", "")</f>
        <v>マスタ未登録</v>
      </c>
      <c r="C19" s="53" t="str">
        <f t="shared" si="1"/>
        <v>営業外費用00</v>
      </c>
      <c r="D19" s="38" t="s">
        <v>34</v>
      </c>
      <c r="F19" s="38">
        <v>0.0</v>
      </c>
      <c r="G19" s="38">
        <v>0.0</v>
      </c>
      <c r="S19" s="38">
        <v>0.0</v>
      </c>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営業外費用合計00</v>
      </c>
      <c r="D20" s="38" t="s">
        <v>208</v>
      </c>
      <c r="F20" s="38">
        <v>0.0</v>
      </c>
      <c r="G20" s="38">
        <v>0.0</v>
      </c>
      <c r="S20" s="38">
        <v>0.0</v>
      </c>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経常利益00</v>
      </c>
      <c r="D21" s="38" t="s">
        <v>36</v>
      </c>
      <c r="F21" s="38">
        <v>0.0</v>
      </c>
      <c r="G21" s="38">
        <v>0.0</v>
      </c>
      <c r="S21" s="38">
        <v>0.0</v>
      </c>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特別利益00</v>
      </c>
      <c r="D22" s="38" t="s">
        <v>37</v>
      </c>
      <c r="F22" s="38">
        <v>0.0</v>
      </c>
      <c r="G22" s="38">
        <v>0.0</v>
      </c>
      <c r="S22" s="38">
        <v>0.0</v>
      </c>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特別利益合計00</v>
      </c>
      <c r="D23" s="38" t="s">
        <v>209</v>
      </c>
      <c r="F23" s="38">
        <v>0.0</v>
      </c>
      <c r="G23" s="38">
        <v>0.0</v>
      </c>
      <c r="S23" s="38">
        <v>0.0</v>
      </c>
    </row>
    <row r="24" ht="15.75" customHeight="1">
      <c r="A24" s="59" t="str">
        <f t="array" ref="A24">XLOOKUP(C24, 'マスタ'!$C$2:$C$312, 'マスタ'!$D$2:$D$312, "マスタ未登録")</f>
        <v>マスタ未登録</v>
      </c>
      <c r="B24" s="53" t="str">
        <f>IF(AND(C24&lt;&gt;"", COUNTIF('マスタ'!$C:$C, C24)=0), "マスタ未登録", "")</f>
        <v>マスタ未登録</v>
      </c>
      <c r="C24" s="53" t="str">
        <f t="shared" si="1"/>
        <v>特別損失00</v>
      </c>
      <c r="D24" s="38" t="s">
        <v>39</v>
      </c>
      <c r="F24" s="38">
        <v>0.0</v>
      </c>
      <c r="G24" s="38">
        <v>0.0</v>
      </c>
      <c r="S24" s="38">
        <v>0.0</v>
      </c>
    </row>
    <row r="25" ht="15.75" customHeight="1">
      <c r="A25" s="59" t="str">
        <f t="array" ref="A25">XLOOKUP(C25, 'マスタ'!$C$2:$C$312, 'マスタ'!$D$2:$D$312, "マスタ未登録")</f>
        <v>マスタ未登録</v>
      </c>
      <c r="B25" s="53" t="str">
        <f>IF(AND(C25&lt;&gt;"", COUNTIF('マスタ'!$C:$C, C25)=0), "マスタ未登録", "")</f>
        <v>マスタ未登録</v>
      </c>
      <c r="C25" s="53" t="str">
        <f t="shared" si="1"/>
        <v>特別損失合計00</v>
      </c>
      <c r="D25" s="38" t="s">
        <v>210</v>
      </c>
      <c r="F25" s="38">
        <v>0.0</v>
      </c>
      <c r="G25" s="38">
        <v>0.0</v>
      </c>
      <c r="S25" s="38">
        <v>0.0</v>
      </c>
    </row>
    <row r="26" ht="15.75" customHeight="1">
      <c r="A26" s="59" t="str">
        <f t="array" ref="A26">XLOOKUP(C26, 'マスタ'!$C$2:$C$312, 'マスタ'!$D$2:$D$312, "マスタ未登録")</f>
        <v>マスタ未登録</v>
      </c>
      <c r="B26" s="53" t="str">
        <f>IF(AND(C26&lt;&gt;"", COUNTIF('マスタ'!$C:$C, C26)=0), "マスタ未登録", "")</f>
        <v>マスタ未登録</v>
      </c>
      <c r="C26" s="53" t="str">
        <f t="shared" si="1"/>
        <v>税引前当期純利益00</v>
      </c>
      <c r="D26" s="38" t="s">
        <v>41</v>
      </c>
      <c r="F26" s="38">
        <v>0.0</v>
      </c>
      <c r="G26" s="38">
        <v>0.0</v>
      </c>
      <c r="S26" s="38">
        <v>0.0</v>
      </c>
    </row>
    <row r="27" ht="15.75" customHeight="1">
      <c r="A27" s="59" t="str">
        <f t="array" ref="A27">XLOOKUP(C27, 'マスタ'!$C$2:$C$312, 'マスタ'!$D$2:$D$312, "マスタ未登録")</f>
        <v>マスタ未登録</v>
      </c>
      <c r="B27" s="53" t="str">
        <f>IF(AND(C27&lt;&gt;"", COUNTIF('マスタ'!$C:$C, C27)=0), "マスタ未登録", "")</f>
        <v>マスタ未登録</v>
      </c>
      <c r="C27" s="53" t="str">
        <f t="shared" si="1"/>
        <v>法人税00</v>
      </c>
      <c r="D27" s="38" t="s">
        <v>211</v>
      </c>
      <c r="F27" s="38">
        <v>0.0</v>
      </c>
      <c r="G27" s="38">
        <v>0.0</v>
      </c>
      <c r="S27" s="38">
        <v>0.0</v>
      </c>
    </row>
    <row r="28" ht="15.75" customHeight="1">
      <c r="A28" s="59" t="str">
        <f t="array" ref="A28">XLOOKUP(C28, 'マスタ'!$C$2:$C$312, 'マスタ'!$D$2:$D$312, "マスタ未登録")</f>
        <v>マスタ未登録</v>
      </c>
      <c r="B28" s="53" t="str">
        <f>IF(AND(C28&lt;&gt;"", COUNTIF('マスタ'!$C:$C, C28)=0), "マスタ未登録", "")</f>
        <v>マスタ未登録</v>
      </c>
      <c r="C28" s="53" t="str">
        <f t="shared" si="1"/>
        <v>当期純利益00</v>
      </c>
      <c r="D28" s="38" t="s">
        <v>44</v>
      </c>
      <c r="F28" s="38">
        <v>0.0</v>
      </c>
      <c r="G28" s="38">
        <v>0.0</v>
      </c>
      <c r="S28" s="38">
        <v>0.0</v>
      </c>
    </row>
    <row r="29" ht="15.75" customHeight="1">
      <c r="A29" s="93"/>
    </row>
    <row r="30" ht="15.75" customHeight="1">
      <c r="A30" s="93"/>
    </row>
    <row r="31" ht="15.75" customHeight="1">
      <c r="A31" s="93"/>
    </row>
    <row r="32" ht="15.75" customHeight="1">
      <c r="A32" s="93"/>
    </row>
    <row r="33" ht="15.75" customHeight="1">
      <c r="A33" s="93"/>
    </row>
    <row r="34" ht="15.75" customHeight="1">
      <c r="A34" s="93"/>
    </row>
    <row r="35" ht="15.75" customHeight="1">
      <c r="A35" s="93"/>
    </row>
    <row r="36" ht="15.75" customHeight="1">
      <c r="A36" s="93"/>
    </row>
    <row r="37" ht="15.75" customHeight="1">
      <c r="A37" s="93"/>
    </row>
    <row r="38" ht="15.75" customHeight="1">
      <c r="A38" s="93"/>
    </row>
    <row r="39" ht="15.75" customHeight="1">
      <c r="A39" s="93"/>
    </row>
    <row r="40" ht="15.75" customHeight="1">
      <c r="A40" s="93"/>
    </row>
    <row r="41" ht="15.75" customHeight="1">
      <c r="A41" s="93"/>
    </row>
    <row r="42" ht="15.75" customHeight="1">
      <c r="A42" s="93"/>
    </row>
    <row r="43" ht="15.75" customHeight="1">
      <c r="A43" s="93"/>
    </row>
    <row r="44" ht="15.75" customHeight="1">
      <c r="A44" s="93"/>
    </row>
    <row r="45" ht="15.75" customHeight="1">
      <c r="A45" s="93"/>
    </row>
    <row r="46" ht="15.75" customHeight="1">
      <c r="A46" s="93"/>
    </row>
    <row r="47" ht="15.75" customHeight="1">
      <c r="A47" s="93"/>
    </row>
    <row r="48" ht="15.75" customHeight="1">
      <c r="A48" s="93"/>
    </row>
    <row r="49" ht="15.75" customHeight="1">
      <c r="A49" s="93"/>
    </row>
    <row r="50" ht="15.75" customHeight="1">
      <c r="A50" s="93"/>
    </row>
    <row r="51" ht="15.75" customHeight="1">
      <c r="A51" s="93"/>
    </row>
    <row r="52" ht="15.75" customHeight="1">
      <c r="A52" s="93"/>
    </row>
    <row r="53" ht="15.75" customHeight="1">
      <c r="A53" s="93"/>
    </row>
    <row r="54" ht="15.75" customHeight="1">
      <c r="A54" s="93"/>
    </row>
    <row r="55" ht="15.75" customHeight="1">
      <c r="A55" s="93"/>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B1" s="53" t="s">
        <v>222</v>
      </c>
      <c r="C1" s="53" t="s">
        <v>223</v>
      </c>
      <c r="D1" s="10" t="s">
        <v>357</v>
      </c>
      <c r="E1" s="10"/>
      <c r="F1" s="10"/>
      <c r="G1" s="10"/>
      <c r="H1" s="10"/>
      <c r="I1" s="10"/>
      <c r="J1" s="10"/>
      <c r="K1" s="10"/>
      <c r="L1" s="10"/>
      <c r="M1" s="10"/>
      <c r="N1" s="10"/>
      <c r="O1" s="10"/>
      <c r="P1" s="10"/>
      <c r="Q1" s="10"/>
      <c r="R1" s="10"/>
      <c r="S1" s="10"/>
      <c r="T1" s="10"/>
      <c r="U1" s="10"/>
      <c r="V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row>
    <row r="3" ht="15.75" customHeight="1">
      <c r="B3" s="53"/>
      <c r="C3" s="53"/>
      <c r="D3" s="10" t="s">
        <v>1</v>
      </c>
      <c r="E3" s="10"/>
      <c r="F3" s="10"/>
      <c r="G3" s="10"/>
      <c r="H3" s="10"/>
      <c r="I3" s="10"/>
      <c r="J3" s="10"/>
      <c r="K3" s="10"/>
      <c r="L3" s="10"/>
      <c r="M3" s="10"/>
      <c r="N3" s="10"/>
      <c r="O3" s="10"/>
      <c r="P3" s="10"/>
      <c r="Q3" s="10"/>
      <c r="R3" s="10"/>
      <c r="S3" s="10"/>
      <c r="T3" s="10"/>
      <c r="U3" s="10"/>
      <c r="V3" s="10"/>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D4" s="10"/>
      <c r="E4" s="10" t="s">
        <v>1</v>
      </c>
      <c r="F4" s="10"/>
      <c r="G4" s="10"/>
      <c r="H4" s="10"/>
      <c r="I4" s="10"/>
      <c r="J4" s="97">
        <v>1.29158562E8</v>
      </c>
      <c r="K4" s="97">
        <v>0.0</v>
      </c>
      <c r="L4" s="97">
        <v>0.0</v>
      </c>
      <c r="M4" s="97">
        <v>0.0</v>
      </c>
      <c r="N4" s="97">
        <v>0.0</v>
      </c>
      <c r="O4" s="97">
        <v>0.0</v>
      </c>
      <c r="P4" s="97">
        <v>0.0</v>
      </c>
      <c r="Q4" s="97">
        <v>0.0</v>
      </c>
      <c r="R4" s="97">
        <v>0.0</v>
      </c>
      <c r="S4" s="97">
        <v>0.0</v>
      </c>
      <c r="T4" s="97">
        <v>0.0</v>
      </c>
      <c r="U4" s="97">
        <v>0.0</v>
      </c>
      <c r="V4" s="97">
        <v>1.29158562E8</v>
      </c>
    </row>
    <row r="5" ht="15.75" customHeight="1">
      <c r="A5" s="59" t="str">
        <f t="array" ref="A5">XLOOKUP(C5, 'マスタ'!$C$2:$C$312, 'マスタ'!$D$2:$D$312, "マスタ未登録")</f>
        <v>売上高</v>
      </c>
      <c r="B5" s="53" t="str">
        <f>IF(AND(C5&lt;&gt;"", COUNTIF('マスタ'!$C:$C, C5)=0), "マスタ未登録", "")</f>
        <v/>
      </c>
      <c r="C5" s="53" t="str">
        <f t="shared" si="1"/>
        <v>委託販売売上高</v>
      </c>
      <c r="D5" s="10"/>
      <c r="E5" s="10" t="s">
        <v>358</v>
      </c>
      <c r="F5" s="10"/>
      <c r="G5" s="10"/>
      <c r="H5" s="10"/>
      <c r="I5" s="10"/>
      <c r="J5" s="97">
        <v>6904597.0</v>
      </c>
      <c r="K5" s="97">
        <v>0.0</v>
      </c>
      <c r="L5" s="97">
        <v>0.0</v>
      </c>
      <c r="M5" s="97">
        <v>0.0</v>
      </c>
      <c r="N5" s="97">
        <v>0.0</v>
      </c>
      <c r="O5" s="97">
        <v>0.0</v>
      </c>
      <c r="P5" s="97">
        <v>0.0</v>
      </c>
      <c r="Q5" s="97">
        <v>0.0</v>
      </c>
      <c r="R5" s="97">
        <v>0.0</v>
      </c>
      <c r="S5" s="97">
        <v>0.0</v>
      </c>
      <c r="T5" s="97">
        <v>0.0</v>
      </c>
      <c r="U5" s="97">
        <v>0.0</v>
      </c>
      <c r="V5" s="97">
        <v>6904597.0</v>
      </c>
    </row>
    <row r="6" ht="15.75" customHeight="1">
      <c r="A6" s="59" t="str">
        <f t="array" ref="A6">XLOOKUP(C6, 'マスタ'!$C$2:$C$312, 'マスタ'!$D$2:$D$312, "マスタ未登録")</f>
        <v>マスタ未登録</v>
      </c>
      <c r="B6" s="53" t="str">
        <f>IF(AND(C6&lt;&gt;"", COUNTIF('マスタ'!$C:$C, C6)=0), "マスタ未登録", "")</f>
        <v>マスタ未登録</v>
      </c>
      <c r="C6" s="53" t="str">
        <f t="shared" si="1"/>
        <v>売上高 計</v>
      </c>
      <c r="D6" s="10" t="s">
        <v>226</v>
      </c>
      <c r="E6" s="10"/>
      <c r="F6" s="10"/>
      <c r="G6" s="10"/>
      <c r="H6" s="10"/>
      <c r="I6" s="10"/>
      <c r="J6" s="97">
        <v>1.36063159E8</v>
      </c>
      <c r="K6" s="97">
        <v>0.0</v>
      </c>
      <c r="L6" s="97">
        <v>0.0</v>
      </c>
      <c r="M6" s="97">
        <v>0.0</v>
      </c>
      <c r="N6" s="97">
        <v>0.0</v>
      </c>
      <c r="O6" s="97">
        <v>0.0</v>
      </c>
      <c r="P6" s="97">
        <v>0.0</v>
      </c>
      <c r="Q6" s="97">
        <v>0.0</v>
      </c>
      <c r="R6" s="97">
        <v>0.0</v>
      </c>
      <c r="S6" s="97">
        <v>0.0</v>
      </c>
      <c r="T6" s="97">
        <v>0.0</v>
      </c>
      <c r="U6" s="97">
        <v>0.0</v>
      </c>
      <c r="V6" s="97">
        <v>1.36063159E8</v>
      </c>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D7" s="10"/>
      <c r="E7" s="10" t="s">
        <v>28</v>
      </c>
      <c r="F7" s="10"/>
      <c r="G7" s="10"/>
      <c r="H7" s="10"/>
      <c r="I7" s="10"/>
      <c r="J7" s="10"/>
      <c r="K7" s="10"/>
      <c r="L7" s="10"/>
      <c r="M7" s="10"/>
      <c r="N7" s="10"/>
      <c r="O7" s="10"/>
      <c r="P7" s="10"/>
      <c r="Q7" s="10"/>
      <c r="R7" s="10"/>
      <c r="S7" s="10"/>
      <c r="T7" s="10"/>
      <c r="U7" s="10"/>
      <c r="V7" s="10"/>
    </row>
    <row r="8" ht="15.75" customHeight="1">
      <c r="A8" s="59" t="str">
        <f t="array" ref="A8">XLOOKUP(C8, 'マスタ'!$C$2:$C$312, 'マスタ'!$D$2:$D$312, "マスタ未登録")</f>
        <v>マスタ未登録</v>
      </c>
      <c r="B8" s="53" t="str">
        <f>IF(AND(C8&lt;&gt;"", COUNTIF('マスタ'!$C:$C, C8)=0), "マスタ未登録", "")</f>
        <v>マスタ未登録</v>
      </c>
      <c r="C8" s="53" t="str">
        <f t="shared" si="1"/>
        <v>売上原価</v>
      </c>
      <c r="D8" s="10"/>
      <c r="E8" s="10" t="s">
        <v>28</v>
      </c>
      <c r="F8" s="10"/>
      <c r="G8" s="10"/>
      <c r="H8" s="10"/>
      <c r="I8" s="10"/>
      <c r="J8" s="97">
        <v>1.59509316E8</v>
      </c>
      <c r="K8" s="97">
        <v>9834167.0</v>
      </c>
      <c r="L8" s="97">
        <v>0.0</v>
      </c>
      <c r="M8" s="97">
        <v>0.0</v>
      </c>
      <c r="N8" s="97">
        <v>0.0</v>
      </c>
      <c r="O8" s="97">
        <v>0.0</v>
      </c>
      <c r="P8" s="97">
        <v>0.0</v>
      </c>
      <c r="Q8" s="97">
        <v>0.0</v>
      </c>
      <c r="R8" s="97">
        <v>0.0</v>
      </c>
      <c r="S8" s="97">
        <v>0.0</v>
      </c>
      <c r="T8" s="97">
        <v>0.0</v>
      </c>
      <c r="U8" s="97">
        <v>0.0</v>
      </c>
      <c r="V8" s="97">
        <v>1.69343483E8</v>
      </c>
    </row>
    <row r="9" ht="15.75" customHeight="1">
      <c r="A9" s="59" t="str">
        <f t="array" ref="A9">XLOOKUP(C9, 'マスタ'!$C$2:$C$312, 'マスタ'!$D$2:$D$312, "マスタ未登録")</f>
        <v>期首商品棚卸高</v>
      </c>
      <c r="B9" s="53" t="str">
        <f>IF(AND(C9&lt;&gt;"", COUNTIF('マスタ'!$C:$C, C9)=0), "マスタ未登録", "")</f>
        <v/>
      </c>
      <c r="C9" s="53" t="str">
        <f t="shared" si="1"/>
        <v>期首商品棚卸</v>
      </c>
      <c r="D9" s="10"/>
      <c r="E9" s="10"/>
      <c r="F9" s="10"/>
      <c r="G9" s="10" t="s">
        <v>227</v>
      </c>
      <c r="H9" s="10"/>
      <c r="I9" s="10"/>
      <c r="J9" s="97">
        <v>0.0</v>
      </c>
      <c r="K9" s="97">
        <v>0.0</v>
      </c>
      <c r="L9" s="97">
        <v>0.0</v>
      </c>
      <c r="M9" s="97">
        <v>0.0</v>
      </c>
      <c r="N9" s="97">
        <v>0.0</v>
      </c>
      <c r="O9" s="97">
        <v>0.0</v>
      </c>
      <c r="P9" s="97">
        <v>0.0</v>
      </c>
      <c r="Q9" s="97">
        <v>0.0</v>
      </c>
      <c r="R9" s="97">
        <v>0.0</v>
      </c>
      <c r="S9" s="97">
        <v>0.0</v>
      </c>
      <c r="T9" s="97">
        <v>0.0</v>
      </c>
      <c r="U9" s="97">
        <v>0.0</v>
      </c>
      <c r="V9" s="97">
        <v>0.0</v>
      </c>
    </row>
    <row r="10" ht="15.75" customHeight="1">
      <c r="A10" s="59" t="str">
        <f t="array" ref="A10">XLOOKUP(C10, 'マスタ'!$C$2:$C$312, 'マスタ'!$D$2:$D$312, "マスタ未登録")</f>
        <v>当期商品仕入高</v>
      </c>
      <c r="B10" s="53" t="str">
        <f>IF(AND(C10&lt;&gt;"", COUNTIF('マスタ'!$C:$C, C10)=0), "マスタ未登録", "")</f>
        <v/>
      </c>
      <c r="C10" s="53" t="str">
        <f t="shared" si="1"/>
        <v>当期商品仕入</v>
      </c>
      <c r="D10" s="10"/>
      <c r="E10" s="10"/>
      <c r="F10" s="10"/>
      <c r="G10" s="10" t="s">
        <v>228</v>
      </c>
      <c r="H10" s="10"/>
      <c r="I10" s="10"/>
      <c r="J10" s="97">
        <v>1.55220049E8</v>
      </c>
      <c r="K10" s="97">
        <v>2355194.0</v>
      </c>
      <c r="L10" s="97">
        <v>0.0</v>
      </c>
      <c r="M10" s="97">
        <v>0.0</v>
      </c>
      <c r="N10" s="97">
        <v>0.0</v>
      </c>
      <c r="O10" s="97">
        <v>0.0</v>
      </c>
      <c r="P10" s="97">
        <v>0.0</v>
      </c>
      <c r="Q10" s="97">
        <v>0.0</v>
      </c>
      <c r="R10" s="97">
        <v>0.0</v>
      </c>
      <c r="S10" s="97">
        <v>0.0</v>
      </c>
      <c r="T10" s="97">
        <v>0.0</v>
      </c>
      <c r="U10" s="97">
        <v>0.0</v>
      </c>
      <c r="V10" s="97">
        <v>1.57575243E8</v>
      </c>
    </row>
    <row r="11" ht="15.75" customHeight="1">
      <c r="A11" s="59" t="str">
        <f t="array" ref="A11">XLOOKUP(C11, 'マスタ'!$C$2:$C$312, 'マスタ'!$D$2:$D$312, "マスタ未登録")</f>
        <v>当期商品仕入高</v>
      </c>
      <c r="B11" s="53" t="str">
        <f>IF(AND(C11&lt;&gt;"", COUNTIF('マスタ'!$C:$C, C11)=0), "マスタ未登録", "")</f>
        <v/>
      </c>
      <c r="C11" s="53" t="str">
        <f t="shared" si="1"/>
        <v>仕入高</v>
      </c>
      <c r="D11" s="10"/>
      <c r="E11" s="10"/>
      <c r="F11" s="10"/>
      <c r="G11" s="10"/>
      <c r="H11" s="10" t="s">
        <v>138</v>
      </c>
      <c r="I11" s="10"/>
      <c r="J11" s="97">
        <v>6881986.0</v>
      </c>
      <c r="K11" s="97">
        <v>0.0</v>
      </c>
      <c r="L11" s="97">
        <v>0.0</v>
      </c>
      <c r="M11" s="97">
        <v>0.0</v>
      </c>
      <c r="N11" s="97">
        <v>0.0</v>
      </c>
      <c r="O11" s="97">
        <v>0.0</v>
      </c>
      <c r="P11" s="97">
        <v>0.0</v>
      </c>
      <c r="Q11" s="97">
        <v>0.0</v>
      </c>
      <c r="R11" s="97">
        <v>0.0</v>
      </c>
      <c r="S11" s="97">
        <v>0.0</v>
      </c>
      <c r="T11" s="97">
        <v>0.0</v>
      </c>
      <c r="U11" s="97">
        <v>0.0</v>
      </c>
      <c r="V11" s="97">
        <v>6881986.0</v>
      </c>
    </row>
    <row r="12" ht="15.75" customHeight="1">
      <c r="A12" s="59" t="str">
        <f t="array" ref="A12">XLOOKUP(C12, 'マスタ'!$C$2:$C$312, 'マスタ'!$D$2:$D$312, "マスタ未登録")</f>
        <v>当期商品仕入高</v>
      </c>
      <c r="B12" s="53" t="str">
        <f>IF(AND(C12&lt;&gt;"", COUNTIF('マスタ'!$C:$C, C12)=0), "マスタ未登録", "")</f>
        <v/>
      </c>
      <c r="C12" s="53" t="str">
        <f t="shared" si="1"/>
        <v>給料手当(原・ビ)</v>
      </c>
      <c r="D12" s="10"/>
      <c r="E12" s="10"/>
      <c r="F12" s="10"/>
      <c r="G12" s="10"/>
      <c r="H12" s="10" t="s">
        <v>359</v>
      </c>
      <c r="I12" s="10"/>
      <c r="J12" s="97">
        <v>8052485.0</v>
      </c>
      <c r="K12" s="97">
        <v>0.0</v>
      </c>
      <c r="L12" s="97">
        <v>0.0</v>
      </c>
      <c r="M12" s="97">
        <v>0.0</v>
      </c>
      <c r="N12" s="97">
        <v>0.0</v>
      </c>
      <c r="O12" s="97">
        <v>0.0</v>
      </c>
      <c r="P12" s="97">
        <v>0.0</v>
      </c>
      <c r="Q12" s="97">
        <v>0.0</v>
      </c>
      <c r="R12" s="97">
        <v>0.0</v>
      </c>
      <c r="S12" s="97">
        <v>0.0</v>
      </c>
      <c r="T12" s="97">
        <v>0.0</v>
      </c>
      <c r="U12" s="97">
        <v>0.0</v>
      </c>
      <c r="V12" s="97">
        <v>8052485.0</v>
      </c>
    </row>
    <row r="13" ht="15.75" customHeight="1">
      <c r="A13" s="59" t="str">
        <f t="array" ref="A13">XLOOKUP(C13, 'マスタ'!$C$2:$C$312, 'マスタ'!$D$2:$D$312, "マスタ未登録")</f>
        <v>当期商品仕入高</v>
      </c>
      <c r="B13" s="53" t="str">
        <f>IF(AND(C13&lt;&gt;"", COUNTIF('マスタ'!$C:$C, C13)=0), "マスタ未登録", "")</f>
        <v/>
      </c>
      <c r="C13" s="53" t="str">
        <f t="shared" si="1"/>
        <v>給料手当(原・製)</v>
      </c>
      <c r="D13" s="10"/>
      <c r="E13" s="10"/>
      <c r="F13" s="10"/>
      <c r="G13" s="10"/>
      <c r="H13" s="10" t="s">
        <v>360</v>
      </c>
      <c r="I13" s="10"/>
      <c r="J13" s="97">
        <v>2.7763461E7</v>
      </c>
      <c r="K13" s="97">
        <v>0.0</v>
      </c>
      <c r="L13" s="97">
        <v>0.0</v>
      </c>
      <c r="M13" s="97">
        <v>0.0</v>
      </c>
      <c r="N13" s="97">
        <v>0.0</v>
      </c>
      <c r="O13" s="97">
        <v>0.0</v>
      </c>
      <c r="P13" s="97">
        <v>0.0</v>
      </c>
      <c r="Q13" s="97">
        <v>0.0</v>
      </c>
      <c r="R13" s="97">
        <v>0.0</v>
      </c>
      <c r="S13" s="97">
        <v>0.0</v>
      </c>
      <c r="T13" s="97">
        <v>0.0</v>
      </c>
      <c r="U13" s="97">
        <v>0.0</v>
      </c>
      <c r="V13" s="97">
        <v>2.7763461E7</v>
      </c>
    </row>
    <row r="14" ht="15.75" customHeight="1">
      <c r="A14" s="59" t="str">
        <f t="array" ref="A14">XLOOKUP(C14, 'マスタ'!$C$2:$C$312, 'マスタ'!$D$2:$D$312, "マスタ未登録")</f>
        <v>当期商品仕入高</v>
      </c>
      <c r="B14" s="53" t="str">
        <f>IF(AND(C14&lt;&gt;"", COUNTIF('マスタ'!$C:$C, C14)=0), "マスタ未登録", "")</f>
        <v/>
      </c>
      <c r="C14" s="53" t="str">
        <f t="shared" si="1"/>
        <v>法定福利費(原・ビ)</v>
      </c>
      <c r="D14" s="10"/>
      <c r="E14" s="10"/>
      <c r="F14" s="10"/>
      <c r="G14" s="10"/>
      <c r="H14" s="10" t="s">
        <v>361</v>
      </c>
      <c r="I14" s="10"/>
      <c r="J14" s="97">
        <v>1179172.0</v>
      </c>
      <c r="K14" s="97">
        <v>0.0</v>
      </c>
      <c r="L14" s="97">
        <v>0.0</v>
      </c>
      <c r="M14" s="97">
        <v>0.0</v>
      </c>
      <c r="N14" s="97">
        <v>0.0</v>
      </c>
      <c r="O14" s="97">
        <v>0.0</v>
      </c>
      <c r="P14" s="97">
        <v>0.0</v>
      </c>
      <c r="Q14" s="97">
        <v>0.0</v>
      </c>
      <c r="R14" s="97">
        <v>0.0</v>
      </c>
      <c r="S14" s="97">
        <v>0.0</v>
      </c>
      <c r="T14" s="97">
        <v>0.0</v>
      </c>
      <c r="U14" s="97">
        <v>0.0</v>
      </c>
      <c r="V14" s="97">
        <v>1179172.0</v>
      </c>
    </row>
    <row r="15" ht="15.75" customHeight="1">
      <c r="A15" s="59" t="str">
        <f t="array" ref="A15">XLOOKUP(C15, 'マスタ'!$C$2:$C$312, 'マスタ'!$D$2:$D$312, "マスタ未登録")</f>
        <v>当期商品仕入高</v>
      </c>
      <c r="B15" s="53" t="str">
        <f>IF(AND(C15&lt;&gt;"", COUNTIF('マスタ'!$C:$C, C15)=0), "マスタ未登録", "")</f>
        <v/>
      </c>
      <c r="C15" s="53" t="str">
        <f t="shared" si="1"/>
        <v>法定福利費(原・製)</v>
      </c>
      <c r="D15" s="10"/>
      <c r="E15" s="10"/>
      <c r="F15" s="10"/>
      <c r="G15" s="10"/>
      <c r="H15" s="10" t="s">
        <v>362</v>
      </c>
      <c r="I15" s="10"/>
      <c r="J15" s="97">
        <v>4588449.0</v>
      </c>
      <c r="K15" s="97">
        <v>0.0</v>
      </c>
      <c r="L15" s="97">
        <v>0.0</v>
      </c>
      <c r="M15" s="97">
        <v>0.0</v>
      </c>
      <c r="N15" s="97">
        <v>0.0</v>
      </c>
      <c r="O15" s="97">
        <v>0.0</v>
      </c>
      <c r="P15" s="97">
        <v>0.0</v>
      </c>
      <c r="Q15" s="97">
        <v>0.0</v>
      </c>
      <c r="R15" s="97">
        <v>0.0</v>
      </c>
      <c r="S15" s="97">
        <v>0.0</v>
      </c>
      <c r="T15" s="97">
        <v>0.0</v>
      </c>
      <c r="U15" s="97">
        <v>0.0</v>
      </c>
      <c r="V15" s="97">
        <v>4588449.0</v>
      </c>
    </row>
    <row r="16" ht="15.75" customHeight="1">
      <c r="A16" s="59" t="str">
        <f t="array" ref="A16">XLOOKUP(C16, 'マスタ'!$C$2:$C$312, 'マスタ'!$D$2:$D$312, "マスタ未登録")</f>
        <v>当期商品仕入高</v>
      </c>
      <c r="B16" s="53" t="str">
        <f>IF(AND(C16&lt;&gt;"", COUNTIF('マスタ'!$C:$C, C16)=0), "マスタ未登録", "")</f>
        <v/>
      </c>
      <c r="C16" s="53" t="str">
        <f t="shared" si="1"/>
        <v>外注費(原)</v>
      </c>
      <c r="D16" s="10"/>
      <c r="E16" s="10"/>
      <c r="F16" s="10"/>
      <c r="G16" s="10"/>
      <c r="H16" s="10" t="s">
        <v>231</v>
      </c>
      <c r="I16" s="10"/>
      <c r="J16" s="97">
        <v>5.7149571E7</v>
      </c>
      <c r="K16" s="97">
        <v>1451755.0</v>
      </c>
      <c r="L16" s="97">
        <v>0.0</v>
      </c>
      <c r="M16" s="97">
        <v>0.0</v>
      </c>
      <c r="N16" s="97">
        <v>0.0</v>
      </c>
      <c r="O16" s="97">
        <v>0.0</v>
      </c>
      <c r="P16" s="97">
        <v>0.0</v>
      </c>
      <c r="Q16" s="97">
        <v>0.0</v>
      </c>
      <c r="R16" s="97">
        <v>0.0</v>
      </c>
      <c r="S16" s="97">
        <v>0.0</v>
      </c>
      <c r="T16" s="97">
        <v>0.0</v>
      </c>
      <c r="U16" s="97">
        <v>0.0</v>
      </c>
      <c r="V16" s="97">
        <v>5.8601326E7</v>
      </c>
    </row>
    <row r="17" ht="15.75" customHeight="1">
      <c r="A17" s="59" t="str">
        <f t="array" ref="A17">XLOOKUP(C17, 'マスタ'!$C$2:$C$312, 'マスタ'!$D$2:$D$312, "マスタ未登録")</f>
        <v>当期商品仕入高</v>
      </c>
      <c r="B17" s="53" t="str">
        <f>IF(AND(C17&lt;&gt;"", COUNTIF('マスタ'!$C:$C, C17)=0), "マスタ未登録", "")</f>
        <v/>
      </c>
      <c r="C17" s="53" t="str">
        <f t="shared" si="1"/>
        <v>業務委託費(原・タレント)</v>
      </c>
      <c r="D17" s="10"/>
      <c r="E17" s="10"/>
      <c r="F17" s="10"/>
      <c r="G17" s="10"/>
      <c r="H17" s="10" t="s">
        <v>363</v>
      </c>
      <c r="I17" s="10"/>
      <c r="J17" s="97">
        <v>2.5778039E7</v>
      </c>
      <c r="K17" s="97">
        <v>0.0</v>
      </c>
      <c r="L17" s="97">
        <v>0.0</v>
      </c>
      <c r="M17" s="97">
        <v>0.0</v>
      </c>
      <c r="N17" s="97">
        <v>0.0</v>
      </c>
      <c r="O17" s="97">
        <v>0.0</v>
      </c>
      <c r="P17" s="97">
        <v>0.0</v>
      </c>
      <c r="Q17" s="97">
        <v>0.0</v>
      </c>
      <c r="R17" s="97">
        <v>0.0</v>
      </c>
      <c r="S17" s="97">
        <v>0.0</v>
      </c>
      <c r="T17" s="97">
        <v>0.0</v>
      </c>
      <c r="U17" s="97">
        <v>0.0</v>
      </c>
      <c r="V17" s="97">
        <v>2.5778039E7</v>
      </c>
    </row>
    <row r="18" ht="15.75" customHeight="1">
      <c r="A18" s="59" t="str">
        <f t="array" ref="A18">XLOOKUP(C18, 'マスタ'!$C$2:$C$312, 'マスタ'!$D$2:$D$312, "マスタ未登録")</f>
        <v>当期商品仕入高</v>
      </c>
      <c r="B18" s="53" t="str">
        <f>IF(AND(C18&lt;&gt;"", COUNTIF('マスタ'!$C:$C, C18)=0), "マスタ未登録", "")</f>
        <v/>
      </c>
      <c r="C18" s="53" t="str">
        <f t="shared" si="1"/>
        <v>業務委託費(原・製)</v>
      </c>
      <c r="D18" s="10"/>
      <c r="E18" s="10"/>
      <c r="F18" s="10"/>
      <c r="G18" s="10"/>
      <c r="H18" s="10" t="s">
        <v>364</v>
      </c>
      <c r="I18" s="10"/>
      <c r="J18" s="97">
        <v>1.5445571E7</v>
      </c>
      <c r="K18" s="97">
        <v>0.0</v>
      </c>
      <c r="L18" s="97">
        <v>0.0</v>
      </c>
      <c r="M18" s="97">
        <v>0.0</v>
      </c>
      <c r="N18" s="97">
        <v>0.0</v>
      </c>
      <c r="O18" s="97">
        <v>0.0</v>
      </c>
      <c r="P18" s="97">
        <v>0.0</v>
      </c>
      <c r="Q18" s="97">
        <v>0.0</v>
      </c>
      <c r="R18" s="97">
        <v>0.0</v>
      </c>
      <c r="S18" s="97">
        <v>0.0</v>
      </c>
      <c r="T18" s="97">
        <v>0.0</v>
      </c>
      <c r="U18" s="97">
        <v>0.0</v>
      </c>
      <c r="V18" s="97">
        <v>1.5445571E7</v>
      </c>
    </row>
    <row r="19" ht="15.75" customHeight="1">
      <c r="A19" s="59" t="str">
        <f t="array" ref="A19">XLOOKUP(C19, 'マスタ'!$C$2:$C$312, 'マスタ'!$D$2:$D$312, "マスタ未登録")</f>
        <v>当期商品仕入高</v>
      </c>
      <c r="B19" s="53" t="str">
        <f>IF(AND(C19&lt;&gt;"", COUNTIF('マスタ'!$C:$C, C19)=0), "マスタ未登録", "")</f>
        <v/>
      </c>
      <c r="C19" s="53" t="str">
        <f t="shared" si="1"/>
        <v>業務委託費(原・ビ)</v>
      </c>
      <c r="D19" s="10"/>
      <c r="E19" s="10"/>
      <c r="F19" s="10"/>
      <c r="G19" s="10"/>
      <c r="H19" s="10" t="s">
        <v>365</v>
      </c>
      <c r="I19" s="10"/>
      <c r="J19" s="97">
        <v>1138039.0</v>
      </c>
      <c r="K19" s="97">
        <v>0.0</v>
      </c>
      <c r="L19" s="97">
        <v>0.0</v>
      </c>
      <c r="M19" s="97">
        <v>0.0</v>
      </c>
      <c r="N19" s="97">
        <v>0.0</v>
      </c>
      <c r="O19" s="97">
        <v>0.0</v>
      </c>
      <c r="P19" s="97">
        <v>0.0</v>
      </c>
      <c r="Q19" s="97">
        <v>0.0</v>
      </c>
      <c r="R19" s="97">
        <v>0.0</v>
      </c>
      <c r="S19" s="97">
        <v>0.0</v>
      </c>
      <c r="T19" s="97">
        <v>0.0</v>
      </c>
      <c r="U19" s="97">
        <v>0.0</v>
      </c>
      <c r="V19" s="97">
        <v>1138039.0</v>
      </c>
    </row>
    <row r="20" ht="15.75" customHeight="1">
      <c r="A20" s="59" t="str">
        <f t="array" ref="A20">XLOOKUP(C20, 'マスタ'!$C$2:$C$312, 'マスタ'!$D$2:$D$312, "マスタ未登録")</f>
        <v>当期商品仕入高</v>
      </c>
      <c r="B20" s="53" t="str">
        <f>IF(AND(C20&lt;&gt;"", COUNTIF('マスタ'!$C:$C, C20)=0), "マスタ未登録", "")</f>
        <v/>
      </c>
      <c r="C20" s="53" t="str">
        <f t="shared" si="1"/>
        <v>旅費交通費(原)</v>
      </c>
      <c r="D20" s="10"/>
      <c r="E20" s="10"/>
      <c r="F20" s="10"/>
      <c r="G20" s="10"/>
      <c r="H20" s="10" t="s">
        <v>233</v>
      </c>
      <c r="I20" s="10"/>
      <c r="J20" s="97">
        <v>2743860.0</v>
      </c>
      <c r="K20" s="97">
        <v>0.0</v>
      </c>
      <c r="L20" s="97">
        <v>0.0</v>
      </c>
      <c r="M20" s="97">
        <v>0.0</v>
      </c>
      <c r="N20" s="97">
        <v>0.0</v>
      </c>
      <c r="O20" s="97">
        <v>0.0</v>
      </c>
      <c r="P20" s="97">
        <v>0.0</v>
      </c>
      <c r="Q20" s="97">
        <v>0.0</v>
      </c>
      <c r="R20" s="97">
        <v>0.0</v>
      </c>
      <c r="S20" s="97">
        <v>0.0</v>
      </c>
      <c r="T20" s="97">
        <v>0.0</v>
      </c>
      <c r="U20" s="97">
        <v>0.0</v>
      </c>
      <c r="V20" s="97">
        <v>2743860.0</v>
      </c>
    </row>
    <row r="21" ht="15.75" customHeight="1">
      <c r="A21" s="59" t="str">
        <f t="array" ref="A21">XLOOKUP(C21, 'マスタ'!$C$2:$C$312, 'マスタ'!$D$2:$D$312, "マスタ未登録")</f>
        <v>当期商品仕入高</v>
      </c>
      <c r="B21" s="53" t="str">
        <f>IF(AND(C21&lt;&gt;"", COUNTIF('マスタ'!$C:$C, C21)=0), "マスタ未登録", "")</f>
        <v/>
      </c>
      <c r="C21" s="53" t="str">
        <f t="shared" si="1"/>
        <v>通信費(原)</v>
      </c>
      <c r="D21" s="10"/>
      <c r="E21" s="10"/>
      <c r="F21" s="10"/>
      <c r="G21" s="10"/>
      <c r="H21" s="10" t="s">
        <v>351</v>
      </c>
      <c r="I21" s="10"/>
      <c r="J21" s="97">
        <v>1646407.0</v>
      </c>
      <c r="K21" s="97">
        <v>903439.0</v>
      </c>
      <c r="L21" s="97">
        <v>0.0</v>
      </c>
      <c r="M21" s="97">
        <v>0.0</v>
      </c>
      <c r="N21" s="97">
        <v>0.0</v>
      </c>
      <c r="O21" s="97">
        <v>0.0</v>
      </c>
      <c r="P21" s="97">
        <v>0.0</v>
      </c>
      <c r="Q21" s="97">
        <v>0.0</v>
      </c>
      <c r="R21" s="97">
        <v>0.0</v>
      </c>
      <c r="S21" s="97">
        <v>0.0</v>
      </c>
      <c r="T21" s="97">
        <v>0.0</v>
      </c>
      <c r="U21" s="97">
        <v>0.0</v>
      </c>
      <c r="V21" s="97">
        <v>2549846.0</v>
      </c>
    </row>
    <row r="22" ht="15.75" customHeight="1">
      <c r="A22" s="59" t="str">
        <f t="array" ref="A22">XLOOKUP(C22, 'マスタ'!$C$2:$C$312, 'マスタ'!$D$2:$D$312, "マスタ未登録")</f>
        <v>当期商品仕入高</v>
      </c>
      <c r="B22" s="53" t="str">
        <f>IF(AND(C22&lt;&gt;"", COUNTIF('マスタ'!$C:$C, C22)=0), "マスタ未登録", "")</f>
        <v/>
      </c>
      <c r="C22" s="53" t="str">
        <f t="shared" si="1"/>
        <v>消耗品費(原)</v>
      </c>
      <c r="D22" s="10"/>
      <c r="E22" s="10"/>
      <c r="F22" s="10"/>
      <c r="G22" s="10"/>
      <c r="H22" s="10" t="s">
        <v>234</v>
      </c>
      <c r="I22" s="10"/>
      <c r="J22" s="97">
        <v>1300808.0</v>
      </c>
      <c r="K22" s="97">
        <v>0.0</v>
      </c>
      <c r="L22" s="97">
        <v>0.0</v>
      </c>
      <c r="M22" s="97">
        <v>0.0</v>
      </c>
      <c r="N22" s="97">
        <v>0.0</v>
      </c>
      <c r="O22" s="97">
        <v>0.0</v>
      </c>
      <c r="P22" s="97">
        <v>0.0</v>
      </c>
      <c r="Q22" s="97">
        <v>0.0</v>
      </c>
      <c r="R22" s="97">
        <v>0.0</v>
      </c>
      <c r="S22" s="97">
        <v>0.0</v>
      </c>
      <c r="T22" s="97">
        <v>0.0</v>
      </c>
      <c r="U22" s="97">
        <v>0.0</v>
      </c>
      <c r="V22" s="97">
        <v>1300808.0</v>
      </c>
    </row>
    <row r="23" ht="15.75" customHeight="1">
      <c r="A23" s="59" t="str">
        <f t="array" ref="A23">XLOOKUP(C23, 'マスタ'!$C$2:$C$312, 'マスタ'!$D$2:$D$312, "マスタ未登録")</f>
        <v>当期商品仕入高</v>
      </c>
      <c r="B23" s="53" t="str">
        <f>IF(AND(C23&lt;&gt;"", COUNTIF('マスタ'!$C:$C, C23)=0), "マスタ未登録", "")</f>
        <v/>
      </c>
      <c r="C23" s="53" t="str">
        <f t="shared" si="1"/>
        <v>賃借料(原)</v>
      </c>
      <c r="D23" s="10"/>
      <c r="E23" s="10"/>
      <c r="F23" s="10"/>
      <c r="G23" s="10"/>
      <c r="H23" s="10" t="s">
        <v>366</v>
      </c>
      <c r="I23" s="10"/>
      <c r="J23" s="97">
        <v>1552201.0</v>
      </c>
      <c r="K23" s="97">
        <v>0.0</v>
      </c>
      <c r="L23" s="97">
        <v>0.0</v>
      </c>
      <c r="M23" s="97">
        <v>0.0</v>
      </c>
      <c r="N23" s="97">
        <v>0.0</v>
      </c>
      <c r="O23" s="97">
        <v>0.0</v>
      </c>
      <c r="P23" s="97">
        <v>0.0</v>
      </c>
      <c r="Q23" s="97">
        <v>0.0</v>
      </c>
      <c r="R23" s="97">
        <v>0.0</v>
      </c>
      <c r="S23" s="97">
        <v>0.0</v>
      </c>
      <c r="T23" s="97">
        <v>0.0</v>
      </c>
      <c r="U23" s="97">
        <v>0.0</v>
      </c>
      <c r="V23" s="97">
        <v>1552201.0</v>
      </c>
    </row>
    <row r="24" ht="15.75" customHeight="1">
      <c r="A24" s="59" t="str">
        <f t="array" ref="A24">XLOOKUP(C24, 'マスタ'!$C$2:$C$312, 'マスタ'!$D$2:$D$312, "マスタ未登録")</f>
        <v>他勘定振替高</v>
      </c>
      <c r="B24" s="53" t="str">
        <f>IF(AND(C24&lt;&gt;"", COUNTIF('マスタ'!$C:$C, C24)=0), "マスタ未登録", "")</f>
        <v/>
      </c>
      <c r="C24" s="53" t="str">
        <f t="shared" si="1"/>
        <v>他勘定振替高(商)</v>
      </c>
      <c r="D24" s="10"/>
      <c r="E24" s="10"/>
      <c r="F24" s="10"/>
      <c r="G24" s="10" t="s">
        <v>235</v>
      </c>
      <c r="H24" s="10"/>
      <c r="I24" s="10"/>
      <c r="J24" s="97">
        <v>0.0</v>
      </c>
      <c r="K24" s="97">
        <v>0.0</v>
      </c>
      <c r="L24" s="97">
        <v>0.0</v>
      </c>
      <c r="M24" s="97">
        <v>0.0</v>
      </c>
      <c r="N24" s="97">
        <v>0.0</v>
      </c>
      <c r="O24" s="97">
        <v>0.0</v>
      </c>
      <c r="P24" s="97">
        <v>0.0</v>
      </c>
      <c r="Q24" s="97">
        <v>0.0</v>
      </c>
      <c r="R24" s="97">
        <v>0.0</v>
      </c>
      <c r="S24" s="97">
        <v>0.0</v>
      </c>
      <c r="T24" s="97">
        <v>0.0</v>
      </c>
      <c r="U24" s="97">
        <v>0.0</v>
      </c>
      <c r="V24" s="97">
        <v>0.0</v>
      </c>
    </row>
    <row r="25" ht="15.75" customHeight="1">
      <c r="A25" s="59" t="str">
        <f t="array" ref="A25">XLOOKUP(C25, 'マスタ'!$C$2:$C$312, 'マスタ'!$D$2:$D$312, "マスタ未登録")</f>
        <v>期末商品棚卸高</v>
      </c>
      <c r="B25" s="53" t="str">
        <f>IF(AND(C25&lt;&gt;"", COUNTIF('マスタ'!$C:$C, C25)=0), "マスタ未登録", "")</f>
        <v/>
      </c>
      <c r="C25" s="53" t="str">
        <f t="shared" si="1"/>
        <v>期末商品棚卸</v>
      </c>
      <c r="D25" s="10"/>
      <c r="E25" s="10"/>
      <c r="F25" s="10"/>
      <c r="G25" s="10" t="s">
        <v>236</v>
      </c>
      <c r="H25" s="10"/>
      <c r="I25" s="10"/>
      <c r="J25" s="97">
        <v>-4289267.0</v>
      </c>
      <c r="K25" s="97">
        <v>-7478973.0</v>
      </c>
      <c r="L25" s="97">
        <v>0.0</v>
      </c>
      <c r="M25" s="97">
        <v>0.0</v>
      </c>
      <c r="N25" s="97">
        <v>0.0</v>
      </c>
      <c r="O25" s="97">
        <v>0.0</v>
      </c>
      <c r="P25" s="97">
        <v>0.0</v>
      </c>
      <c r="Q25" s="97">
        <v>0.0</v>
      </c>
      <c r="R25" s="97">
        <v>0.0</v>
      </c>
      <c r="S25" s="97">
        <v>0.0</v>
      </c>
      <c r="T25" s="97">
        <v>0.0</v>
      </c>
      <c r="U25" s="97">
        <v>0.0</v>
      </c>
      <c r="V25" s="97">
        <v>-1.176824E7</v>
      </c>
    </row>
    <row r="26" ht="15.75" customHeight="1">
      <c r="A26" s="59" t="str">
        <f t="array" ref="A26">XLOOKUP(C26, 'マスタ'!$C$2:$C$312, 'マスタ'!$D$2:$D$312, "マスタ未登録")</f>
        <v>期末商品棚卸高</v>
      </c>
      <c r="B26" s="53" t="str">
        <f>IF(AND(C26&lt;&gt;"", COUNTIF('マスタ'!$C:$C, C26)=0), "マスタ未登録", "")</f>
        <v/>
      </c>
      <c r="C26" s="53" t="str">
        <f t="shared" si="1"/>
        <v>期末商品棚卸高</v>
      </c>
      <c r="D26" s="10"/>
      <c r="E26" s="10"/>
      <c r="F26" s="10"/>
      <c r="G26" s="10"/>
      <c r="H26" s="10" t="s">
        <v>71</v>
      </c>
      <c r="I26" s="10"/>
      <c r="J26" s="97">
        <v>-4289267.0</v>
      </c>
      <c r="K26" s="97">
        <v>-7478973.0</v>
      </c>
      <c r="L26" s="97">
        <v>0.0</v>
      </c>
      <c r="M26" s="97">
        <v>0.0</v>
      </c>
      <c r="N26" s="97">
        <v>0.0</v>
      </c>
      <c r="O26" s="97">
        <v>0.0</v>
      </c>
      <c r="P26" s="97">
        <v>0.0</v>
      </c>
      <c r="Q26" s="97">
        <v>0.0</v>
      </c>
      <c r="R26" s="97">
        <v>0.0</v>
      </c>
      <c r="S26" s="97">
        <v>0.0</v>
      </c>
      <c r="T26" s="97">
        <v>0.0</v>
      </c>
      <c r="U26" s="97">
        <v>0.0</v>
      </c>
      <c r="V26" s="97">
        <v>-1.176824E7</v>
      </c>
    </row>
    <row r="27" ht="15.75" customHeight="1">
      <c r="A27" s="59" t="str">
        <f t="array" ref="A27">XLOOKUP(C27, 'マスタ'!$C$2:$C$312, 'マスタ'!$D$2:$D$312, "マスタ未登録")</f>
        <v>マスタ未登録</v>
      </c>
      <c r="B27" s="53" t="str">
        <f>IF(AND(C27&lt;&gt;"", COUNTIF('マスタ'!$C:$C, C27)=0), "マスタ未登録", "")</f>
        <v>マスタ未登録</v>
      </c>
      <c r="C27" s="53" t="str">
        <f t="shared" si="1"/>
        <v>商品売上原価</v>
      </c>
      <c r="D27" s="10"/>
      <c r="E27" s="10"/>
      <c r="F27" s="10" t="s">
        <v>3</v>
      </c>
      <c r="G27" s="10"/>
      <c r="H27" s="10"/>
      <c r="I27" s="10"/>
      <c r="J27" s="97">
        <v>1.59509316E8</v>
      </c>
      <c r="K27" s="97">
        <v>9834167.0</v>
      </c>
      <c r="L27" s="97">
        <v>0.0</v>
      </c>
      <c r="M27" s="97">
        <v>0.0</v>
      </c>
      <c r="N27" s="97">
        <v>0.0</v>
      </c>
      <c r="O27" s="97">
        <v>0.0</v>
      </c>
      <c r="P27" s="97">
        <v>0.0</v>
      </c>
      <c r="Q27" s="97">
        <v>0.0</v>
      </c>
      <c r="R27" s="97">
        <v>0.0</v>
      </c>
      <c r="S27" s="97">
        <v>0.0</v>
      </c>
      <c r="T27" s="97">
        <v>0.0</v>
      </c>
      <c r="U27" s="97">
        <v>0.0</v>
      </c>
      <c r="V27" s="97">
        <v>1.69343483E8</v>
      </c>
    </row>
    <row r="28" ht="15.75" customHeight="1">
      <c r="A28" s="59" t="str">
        <f t="array" ref="A28">XLOOKUP(C28, 'マスタ'!$C$2:$C$312, 'マスタ'!$D$2:$D$312, "マスタ未登録")</f>
        <v>マスタ未登録</v>
      </c>
      <c r="B28" s="53" t="str">
        <f>IF(AND(C28&lt;&gt;"", COUNTIF('マスタ'!$C:$C, C28)=0), "マスタ未登録", "")</f>
        <v>マスタ未登録</v>
      </c>
      <c r="C28" s="53" t="str">
        <f t="shared" si="1"/>
        <v>売上総損益金額</v>
      </c>
      <c r="D28" s="10" t="s">
        <v>237</v>
      </c>
      <c r="E28" s="10"/>
      <c r="F28" s="10"/>
      <c r="G28" s="10"/>
      <c r="H28" s="10"/>
      <c r="I28" s="10"/>
      <c r="J28" s="97">
        <v>-2.3446157E7</v>
      </c>
      <c r="K28" s="97">
        <v>-9834167.0</v>
      </c>
      <c r="L28" s="97">
        <v>0.0</v>
      </c>
      <c r="M28" s="97">
        <v>0.0</v>
      </c>
      <c r="N28" s="97">
        <v>0.0</v>
      </c>
      <c r="O28" s="97">
        <v>0.0</v>
      </c>
      <c r="P28" s="97">
        <v>0.0</v>
      </c>
      <c r="Q28" s="97">
        <v>0.0</v>
      </c>
      <c r="R28" s="97">
        <v>0.0</v>
      </c>
      <c r="S28" s="97">
        <v>0.0</v>
      </c>
      <c r="T28" s="97">
        <v>0.0</v>
      </c>
      <c r="U28" s="97">
        <v>0.0</v>
      </c>
      <c r="V28" s="97">
        <v>-3.3280324E7</v>
      </c>
    </row>
    <row r="29" ht="15.75" customHeight="1">
      <c r="A29" s="59" t="str">
        <f t="array" ref="A29">XLOOKUP(C29, 'マスタ'!$C$2:$C$312, 'マスタ'!$D$2:$D$312, "マスタ未登録")</f>
        <v>マスタ未登録</v>
      </c>
      <c r="B29" s="53" t="str">
        <f>IF(AND(C29&lt;&gt;"", COUNTIF('マスタ'!$C:$C, C29)=0), "マスタ未登録", "")</f>
        <v>マスタ未登録</v>
      </c>
      <c r="C29" s="53" t="str">
        <f t="shared" si="1"/>
        <v>販売管理費</v>
      </c>
      <c r="D29" s="10"/>
      <c r="E29" s="10" t="s">
        <v>238</v>
      </c>
      <c r="F29" s="10"/>
      <c r="G29" s="10"/>
      <c r="H29" s="10"/>
      <c r="I29" s="10"/>
      <c r="J29" s="10"/>
      <c r="K29" s="10"/>
      <c r="L29" s="10"/>
      <c r="M29" s="10"/>
      <c r="N29" s="10"/>
      <c r="O29" s="10"/>
      <c r="P29" s="10"/>
      <c r="Q29" s="10"/>
      <c r="R29" s="10"/>
      <c r="S29" s="10"/>
      <c r="T29" s="10"/>
      <c r="U29" s="10"/>
      <c r="V29" s="10"/>
    </row>
    <row r="30" ht="15.75" customHeight="1">
      <c r="A30" s="59" t="str">
        <f t="array" ref="A30">XLOOKUP(C30, 'マスタ'!$C$2:$C$312, 'マスタ'!$D$2:$D$312, "マスタ未登録")</f>
        <v>給料手当</v>
      </c>
      <c r="B30" s="53" t="str">
        <f>IF(AND(C30&lt;&gt;"", COUNTIF('マスタ'!$C:$C, C30)=0), "マスタ未登録", "")</f>
        <v/>
      </c>
      <c r="C30" s="53" t="str">
        <f t="shared" si="1"/>
        <v>給料手当</v>
      </c>
      <c r="D30" s="10"/>
      <c r="E30" s="10"/>
      <c r="F30" s="10" t="s">
        <v>73</v>
      </c>
      <c r="G30" s="10"/>
      <c r="H30" s="10"/>
      <c r="I30" s="10"/>
      <c r="J30" s="97">
        <v>9286900.0</v>
      </c>
      <c r="K30" s="97">
        <v>0.0</v>
      </c>
      <c r="L30" s="97">
        <v>0.0</v>
      </c>
      <c r="M30" s="97">
        <v>0.0</v>
      </c>
      <c r="N30" s="97">
        <v>0.0</v>
      </c>
      <c r="O30" s="97">
        <v>0.0</v>
      </c>
      <c r="P30" s="97">
        <v>0.0</v>
      </c>
      <c r="Q30" s="97">
        <v>0.0</v>
      </c>
      <c r="R30" s="97">
        <v>0.0</v>
      </c>
      <c r="S30" s="97">
        <v>0.0</v>
      </c>
      <c r="T30" s="97">
        <v>0.0</v>
      </c>
      <c r="U30" s="97">
        <v>0.0</v>
      </c>
      <c r="V30" s="97">
        <v>9286900.0</v>
      </c>
    </row>
    <row r="31" ht="15.75" customHeight="1">
      <c r="A31" s="59" t="str">
        <f t="array" ref="A31">XLOOKUP(C31, 'マスタ'!$C$2:$C$312, 'マスタ'!$D$2:$D$312, "マスタ未登録")</f>
        <v>法定福利費</v>
      </c>
      <c r="B31" s="53" t="str">
        <f>IF(AND(C31&lt;&gt;"", COUNTIF('マスタ'!$C:$C, C31)=0), "マスタ未登録", "")</f>
        <v/>
      </c>
      <c r="C31" s="53" t="str">
        <f t="shared" si="1"/>
        <v>法定福利費</v>
      </c>
      <c r="D31" s="10"/>
      <c r="E31" s="10"/>
      <c r="F31" s="10" t="s">
        <v>74</v>
      </c>
      <c r="G31" s="10"/>
      <c r="H31" s="10"/>
      <c r="I31" s="10"/>
      <c r="J31" s="97">
        <v>966320.0</v>
      </c>
      <c r="K31" s="97">
        <v>0.0</v>
      </c>
      <c r="L31" s="97">
        <v>0.0</v>
      </c>
      <c r="M31" s="97">
        <v>0.0</v>
      </c>
      <c r="N31" s="97">
        <v>0.0</v>
      </c>
      <c r="O31" s="97">
        <v>0.0</v>
      </c>
      <c r="P31" s="97">
        <v>0.0</v>
      </c>
      <c r="Q31" s="97">
        <v>0.0</v>
      </c>
      <c r="R31" s="97">
        <v>0.0</v>
      </c>
      <c r="S31" s="97">
        <v>0.0</v>
      </c>
      <c r="T31" s="97">
        <v>0.0</v>
      </c>
      <c r="U31" s="97">
        <v>0.0</v>
      </c>
      <c r="V31" s="97">
        <v>966320.0</v>
      </c>
    </row>
    <row r="32" ht="15.75" customHeight="1">
      <c r="A32" s="59" t="str">
        <f t="array" ref="A32">XLOOKUP(C32, 'マスタ'!$C$2:$C$312, 'マスタ'!$D$2:$D$312, "マスタ未登録")</f>
        <v>福利厚生費</v>
      </c>
      <c r="B32" s="53" t="str">
        <f>IF(AND(C32&lt;&gt;"", COUNTIF('マスタ'!$C:$C, C32)=0), "マスタ未登録", "")</f>
        <v/>
      </c>
      <c r="C32" s="53" t="str">
        <f t="shared" si="1"/>
        <v>福利厚生費</v>
      </c>
      <c r="D32" s="10"/>
      <c r="E32" s="10"/>
      <c r="F32" s="10" t="s">
        <v>75</v>
      </c>
      <c r="G32" s="10"/>
      <c r="H32" s="10"/>
      <c r="I32" s="10"/>
      <c r="J32" s="97">
        <v>432775.0</v>
      </c>
      <c r="K32" s="97">
        <v>35630.0</v>
      </c>
      <c r="L32" s="97">
        <v>0.0</v>
      </c>
      <c r="M32" s="97">
        <v>0.0</v>
      </c>
      <c r="N32" s="97">
        <v>0.0</v>
      </c>
      <c r="O32" s="97">
        <v>0.0</v>
      </c>
      <c r="P32" s="97">
        <v>0.0</v>
      </c>
      <c r="Q32" s="97">
        <v>0.0</v>
      </c>
      <c r="R32" s="97">
        <v>0.0</v>
      </c>
      <c r="S32" s="97">
        <v>0.0</v>
      </c>
      <c r="T32" s="97">
        <v>0.0</v>
      </c>
      <c r="U32" s="97">
        <v>0.0</v>
      </c>
      <c r="V32" s="97">
        <v>468405.0</v>
      </c>
    </row>
    <row r="33" ht="15.75" customHeight="1">
      <c r="A33" s="59" t="str">
        <f t="array" ref="A33">XLOOKUP(C33, 'マスタ'!$C$2:$C$312, 'マスタ'!$D$2:$D$312, "マスタ未登録")</f>
        <v>旅費交通費</v>
      </c>
      <c r="B33" s="53" t="str">
        <f>IF(AND(C33&lt;&gt;"", COUNTIF('マスタ'!$C:$C, C33)=0), "マスタ未登録", "")</f>
        <v/>
      </c>
      <c r="C33" s="53" t="str">
        <f t="shared" si="1"/>
        <v>旅費交通費</v>
      </c>
      <c r="D33" s="10"/>
      <c r="E33" s="10"/>
      <c r="F33" s="10" t="s">
        <v>83</v>
      </c>
      <c r="G33" s="10"/>
      <c r="H33" s="10"/>
      <c r="I33" s="10"/>
      <c r="J33" s="97">
        <v>136176.0</v>
      </c>
      <c r="K33" s="97">
        <v>0.0</v>
      </c>
      <c r="L33" s="97">
        <v>0.0</v>
      </c>
      <c r="M33" s="97">
        <v>0.0</v>
      </c>
      <c r="N33" s="97">
        <v>0.0</v>
      </c>
      <c r="O33" s="97">
        <v>0.0</v>
      </c>
      <c r="P33" s="97">
        <v>0.0</v>
      </c>
      <c r="Q33" s="97">
        <v>0.0</v>
      </c>
      <c r="R33" s="97">
        <v>0.0</v>
      </c>
      <c r="S33" s="97">
        <v>0.0</v>
      </c>
      <c r="T33" s="97">
        <v>0.0</v>
      </c>
      <c r="U33" s="97">
        <v>0.0</v>
      </c>
      <c r="V33" s="97">
        <v>136176.0</v>
      </c>
    </row>
    <row r="34" ht="15.75" customHeight="1">
      <c r="A34" s="59" t="str">
        <f t="array" ref="A34">XLOOKUP(C34, 'マスタ'!$C$2:$C$312, 'マスタ'!$D$2:$D$312, "マスタ未登録")</f>
        <v>通信費</v>
      </c>
      <c r="B34" s="53" t="str">
        <f>IF(AND(C34&lt;&gt;"", COUNTIF('マスタ'!$C:$C, C34)=0), "マスタ未登録", "")</f>
        <v/>
      </c>
      <c r="C34" s="53" t="str">
        <f t="shared" si="1"/>
        <v>通信費</v>
      </c>
      <c r="D34" s="10"/>
      <c r="E34" s="10"/>
      <c r="F34" s="10" t="s">
        <v>84</v>
      </c>
      <c r="G34" s="10"/>
      <c r="H34" s="10"/>
      <c r="I34" s="10"/>
      <c r="J34" s="97">
        <v>2884315.0</v>
      </c>
      <c r="K34" s="97">
        <v>1908278.0</v>
      </c>
      <c r="L34" s="97">
        <v>0.0</v>
      </c>
      <c r="M34" s="97">
        <v>0.0</v>
      </c>
      <c r="N34" s="97">
        <v>0.0</v>
      </c>
      <c r="O34" s="97">
        <v>0.0</v>
      </c>
      <c r="P34" s="97">
        <v>0.0</v>
      </c>
      <c r="Q34" s="97">
        <v>0.0</v>
      </c>
      <c r="R34" s="97">
        <v>0.0</v>
      </c>
      <c r="S34" s="97">
        <v>0.0</v>
      </c>
      <c r="T34" s="97">
        <v>0.0</v>
      </c>
      <c r="U34" s="97">
        <v>0.0</v>
      </c>
      <c r="V34" s="97">
        <v>4792593.0</v>
      </c>
    </row>
    <row r="35" ht="15.75" customHeight="1">
      <c r="A35" s="59" t="str">
        <f t="array" ref="A35">XLOOKUP(C35, 'マスタ'!$C$2:$C$312, 'マスタ'!$D$2:$D$312, "マスタ未登録")</f>
        <v>採用教育費</v>
      </c>
      <c r="B35" s="53" t="str">
        <f>IF(AND(C35&lt;&gt;"", COUNTIF('マスタ'!$C:$C, C35)=0), "マスタ未登録", "")</f>
        <v/>
      </c>
      <c r="C35" s="53" t="str">
        <f t="shared" si="1"/>
        <v>採用教育費</v>
      </c>
      <c r="D35" s="10"/>
      <c r="E35" s="10"/>
      <c r="F35" s="10" t="s">
        <v>77</v>
      </c>
      <c r="G35" s="10"/>
      <c r="H35" s="10"/>
      <c r="I35" s="10"/>
      <c r="J35" s="97">
        <v>72000.0</v>
      </c>
      <c r="K35" s="97">
        <v>45000.0</v>
      </c>
      <c r="L35" s="97">
        <v>0.0</v>
      </c>
      <c r="M35" s="97">
        <v>0.0</v>
      </c>
      <c r="N35" s="97">
        <v>0.0</v>
      </c>
      <c r="O35" s="97">
        <v>0.0</v>
      </c>
      <c r="P35" s="97">
        <v>0.0</v>
      </c>
      <c r="Q35" s="97">
        <v>0.0</v>
      </c>
      <c r="R35" s="97">
        <v>0.0</v>
      </c>
      <c r="S35" s="97">
        <v>0.0</v>
      </c>
      <c r="T35" s="97">
        <v>0.0</v>
      </c>
      <c r="U35" s="97">
        <v>0.0</v>
      </c>
      <c r="V35" s="97">
        <v>117000.0</v>
      </c>
    </row>
    <row r="36" ht="15.75" customHeight="1">
      <c r="A36" s="59" t="str">
        <f t="array" ref="A36">XLOOKUP(C36, 'マスタ'!$C$2:$C$312, 'マスタ'!$D$2:$D$312, "マスタ未登録")</f>
        <v>業務委託費</v>
      </c>
      <c r="B36" s="53" t="str">
        <f>IF(AND(C36&lt;&gt;"", COUNTIF('マスタ'!$C:$C, C36)=0), "マスタ未登録", "")</f>
        <v/>
      </c>
      <c r="C36" s="53" t="str">
        <f t="shared" si="1"/>
        <v>業務委託費</v>
      </c>
      <c r="D36" s="10"/>
      <c r="E36" s="10"/>
      <c r="F36" s="10" t="s">
        <v>78</v>
      </c>
      <c r="G36" s="10"/>
      <c r="H36" s="10"/>
      <c r="I36" s="10"/>
      <c r="J36" s="97">
        <v>1.0327403E7</v>
      </c>
      <c r="K36" s="97">
        <v>0.0</v>
      </c>
      <c r="L36" s="97">
        <v>0.0</v>
      </c>
      <c r="M36" s="97">
        <v>0.0</v>
      </c>
      <c r="N36" s="97">
        <v>0.0</v>
      </c>
      <c r="O36" s="97">
        <v>0.0</v>
      </c>
      <c r="P36" s="97">
        <v>0.0</v>
      </c>
      <c r="Q36" s="97">
        <v>0.0</v>
      </c>
      <c r="R36" s="97">
        <v>0.0</v>
      </c>
      <c r="S36" s="97">
        <v>0.0</v>
      </c>
      <c r="T36" s="97">
        <v>0.0</v>
      </c>
      <c r="U36" s="97">
        <v>0.0</v>
      </c>
      <c r="V36" s="97">
        <v>1.0327403E7</v>
      </c>
    </row>
    <row r="37" ht="15.75" customHeight="1">
      <c r="A37" s="59" t="str">
        <f t="array" ref="A37">XLOOKUP(C37, 'マスタ'!$C$2:$C$312, 'マスタ'!$D$2:$D$312, "マスタ未登録")</f>
        <v>支払報酬</v>
      </c>
      <c r="B37" s="53" t="str">
        <f>IF(AND(C37&lt;&gt;"", COUNTIF('マスタ'!$C:$C, C37)=0), "マスタ未登録", "")</f>
        <v/>
      </c>
      <c r="C37" s="53" t="str">
        <f t="shared" si="1"/>
        <v>支払報酬料</v>
      </c>
      <c r="D37" s="10"/>
      <c r="E37" s="10"/>
      <c r="F37" s="10" t="s">
        <v>239</v>
      </c>
      <c r="G37" s="10"/>
      <c r="H37" s="10"/>
      <c r="I37" s="10"/>
      <c r="J37" s="97">
        <v>580000.0</v>
      </c>
      <c r="K37" s="97">
        <v>360000.0</v>
      </c>
      <c r="L37" s="97">
        <v>0.0</v>
      </c>
      <c r="M37" s="97">
        <v>0.0</v>
      </c>
      <c r="N37" s="97">
        <v>0.0</v>
      </c>
      <c r="O37" s="97">
        <v>0.0</v>
      </c>
      <c r="P37" s="97">
        <v>0.0</v>
      </c>
      <c r="Q37" s="97">
        <v>0.0</v>
      </c>
      <c r="R37" s="97">
        <v>0.0</v>
      </c>
      <c r="S37" s="97">
        <v>0.0</v>
      </c>
      <c r="T37" s="97">
        <v>0.0</v>
      </c>
      <c r="U37" s="97">
        <v>0.0</v>
      </c>
      <c r="V37" s="97">
        <v>940000.0</v>
      </c>
    </row>
    <row r="38" ht="15.75" customHeight="1">
      <c r="A38" s="59" t="str">
        <f t="array" ref="A38">XLOOKUP(C38, 'マスタ'!$C$2:$C$312, 'マスタ'!$D$2:$D$312, "マスタ未登録")</f>
        <v>販売促進費</v>
      </c>
      <c r="B38" s="53" t="str">
        <f>IF(AND(C38&lt;&gt;"", COUNTIF('マスタ'!$C:$C, C38)=0), "マスタ未登録", "")</f>
        <v/>
      </c>
      <c r="C38" s="53" t="str">
        <f t="shared" si="1"/>
        <v>販売促進費</v>
      </c>
      <c r="D38" s="10"/>
      <c r="E38" s="10"/>
      <c r="F38" s="10" t="s">
        <v>101</v>
      </c>
      <c r="G38" s="10"/>
      <c r="H38" s="10"/>
      <c r="I38" s="10"/>
      <c r="J38" s="97">
        <v>4130080.0</v>
      </c>
      <c r="K38" s="97">
        <v>0.0</v>
      </c>
      <c r="L38" s="97">
        <v>0.0</v>
      </c>
      <c r="M38" s="97">
        <v>0.0</v>
      </c>
      <c r="N38" s="97">
        <v>0.0</v>
      </c>
      <c r="O38" s="97">
        <v>0.0</v>
      </c>
      <c r="P38" s="97">
        <v>0.0</v>
      </c>
      <c r="Q38" s="97">
        <v>0.0</v>
      </c>
      <c r="R38" s="97">
        <v>0.0</v>
      </c>
      <c r="S38" s="97">
        <v>0.0</v>
      </c>
      <c r="T38" s="97">
        <v>0.0</v>
      </c>
      <c r="U38" s="97">
        <v>0.0</v>
      </c>
      <c r="V38" s="97">
        <v>4130080.0</v>
      </c>
    </row>
    <row r="39" ht="15.75" customHeight="1">
      <c r="A39" s="59" t="str">
        <f t="array" ref="A39">XLOOKUP(C39, 'マスタ'!$C$2:$C$312, 'マスタ'!$D$2:$D$312, "マスタ未登録")</f>
        <v>広告宣伝費</v>
      </c>
      <c r="B39" s="53" t="str">
        <f>IF(AND(C39&lt;&gt;"", COUNTIF('マスタ'!$C:$C, C39)=0), "マスタ未登録", "")</f>
        <v/>
      </c>
      <c r="C39" s="53" t="str">
        <f t="shared" si="1"/>
        <v>広告宣伝費</v>
      </c>
      <c r="D39" s="10"/>
      <c r="E39" s="10"/>
      <c r="F39" s="10" t="s">
        <v>81</v>
      </c>
      <c r="G39" s="10"/>
      <c r="H39" s="10"/>
      <c r="I39" s="10"/>
      <c r="J39" s="97">
        <v>1853930.0</v>
      </c>
      <c r="K39" s="97">
        <v>0.0</v>
      </c>
      <c r="L39" s="97">
        <v>0.0</v>
      </c>
      <c r="M39" s="97">
        <v>0.0</v>
      </c>
      <c r="N39" s="97">
        <v>0.0</v>
      </c>
      <c r="O39" s="97">
        <v>0.0</v>
      </c>
      <c r="P39" s="97">
        <v>0.0</v>
      </c>
      <c r="Q39" s="97">
        <v>0.0</v>
      </c>
      <c r="R39" s="97">
        <v>0.0</v>
      </c>
      <c r="S39" s="97">
        <v>0.0</v>
      </c>
      <c r="T39" s="97">
        <v>0.0</v>
      </c>
      <c r="U39" s="97">
        <v>0.0</v>
      </c>
      <c r="V39" s="97">
        <v>1853930.0</v>
      </c>
    </row>
    <row r="40" ht="15.75" customHeight="1">
      <c r="A40" s="59" t="str">
        <f t="array" ref="A40">XLOOKUP(C40, 'マスタ'!$C$2:$C$312, 'マスタ'!$D$2:$D$312, "マスタ未登録")</f>
        <v>荷造運賃</v>
      </c>
      <c r="B40" s="53" t="str">
        <f>IF(AND(C40&lt;&gt;"", COUNTIF('マスタ'!$C:$C, C40)=0), "マスタ未登録", "")</f>
        <v/>
      </c>
      <c r="C40" s="53" t="str">
        <f t="shared" si="1"/>
        <v>荷造運賃</v>
      </c>
      <c r="D40" s="10"/>
      <c r="E40" s="10"/>
      <c r="F40" s="10" t="s">
        <v>80</v>
      </c>
      <c r="G40" s="10"/>
      <c r="H40" s="10"/>
      <c r="I40" s="10"/>
      <c r="J40" s="97">
        <v>4585467.0</v>
      </c>
      <c r="K40" s="97">
        <v>0.0</v>
      </c>
      <c r="L40" s="97">
        <v>0.0</v>
      </c>
      <c r="M40" s="97">
        <v>0.0</v>
      </c>
      <c r="N40" s="97">
        <v>0.0</v>
      </c>
      <c r="O40" s="97">
        <v>0.0</v>
      </c>
      <c r="P40" s="97">
        <v>0.0</v>
      </c>
      <c r="Q40" s="97">
        <v>0.0</v>
      </c>
      <c r="R40" s="97">
        <v>0.0</v>
      </c>
      <c r="S40" s="97">
        <v>0.0</v>
      </c>
      <c r="T40" s="97">
        <v>0.0</v>
      </c>
      <c r="U40" s="97">
        <v>0.0</v>
      </c>
      <c r="V40" s="97">
        <v>4585467.0</v>
      </c>
    </row>
    <row r="41" ht="15.75" customHeight="1">
      <c r="A41" s="59" t="str">
        <f t="array" ref="A41">XLOOKUP(C41, 'マスタ'!$C$2:$C$312, 'マスタ'!$D$2:$D$312, "マスタ未登録")</f>
        <v>水道光熱費</v>
      </c>
      <c r="B41" s="53" t="str">
        <f>IF(AND(C41&lt;&gt;"", COUNTIF('マスタ'!$C:$C, C41)=0), "マスタ未登録", "")</f>
        <v/>
      </c>
      <c r="C41" s="53" t="str">
        <f t="shared" si="1"/>
        <v>水道光熱費</v>
      </c>
      <c r="D41" s="10"/>
      <c r="E41" s="10"/>
      <c r="F41" s="10" t="s">
        <v>178</v>
      </c>
      <c r="G41" s="10"/>
      <c r="H41" s="10"/>
      <c r="I41" s="10"/>
      <c r="J41" s="97">
        <v>367893.0</v>
      </c>
      <c r="K41" s="97">
        <v>0.0</v>
      </c>
      <c r="L41" s="97">
        <v>0.0</v>
      </c>
      <c r="M41" s="97">
        <v>0.0</v>
      </c>
      <c r="N41" s="97">
        <v>0.0</v>
      </c>
      <c r="O41" s="97">
        <v>0.0</v>
      </c>
      <c r="P41" s="97">
        <v>0.0</v>
      </c>
      <c r="Q41" s="97">
        <v>0.0</v>
      </c>
      <c r="R41" s="97">
        <v>0.0</v>
      </c>
      <c r="S41" s="97">
        <v>0.0</v>
      </c>
      <c r="T41" s="97">
        <v>0.0</v>
      </c>
      <c r="U41" s="97">
        <v>0.0</v>
      </c>
      <c r="V41" s="97">
        <v>367893.0</v>
      </c>
    </row>
    <row r="42" ht="15.75" customHeight="1">
      <c r="A42" s="59" t="str">
        <f t="array" ref="A42">XLOOKUP(C42, 'マスタ'!$C$2:$C$312, 'マスタ'!$D$2:$D$312, "マスタ未登録")</f>
        <v>支払手数料</v>
      </c>
      <c r="B42" s="53" t="str">
        <f>IF(AND(C42&lt;&gt;"", COUNTIF('マスタ'!$C:$C, C42)=0), "マスタ未登録", "")</f>
        <v/>
      </c>
      <c r="C42" s="53" t="str">
        <f t="shared" si="1"/>
        <v>支払手数料</v>
      </c>
      <c r="D42" s="10"/>
      <c r="E42" s="10"/>
      <c r="F42" s="10" t="s">
        <v>92</v>
      </c>
      <c r="G42" s="10"/>
      <c r="H42" s="10"/>
      <c r="I42" s="10"/>
      <c r="J42" s="97">
        <v>8392514.0</v>
      </c>
      <c r="K42" s="97">
        <v>5000.0</v>
      </c>
      <c r="L42" s="97">
        <v>0.0</v>
      </c>
      <c r="M42" s="97">
        <v>0.0</v>
      </c>
      <c r="N42" s="97">
        <v>0.0</v>
      </c>
      <c r="O42" s="97">
        <v>0.0</v>
      </c>
      <c r="P42" s="97">
        <v>0.0</v>
      </c>
      <c r="Q42" s="97">
        <v>0.0</v>
      </c>
      <c r="R42" s="97">
        <v>0.0</v>
      </c>
      <c r="S42" s="97">
        <v>0.0</v>
      </c>
      <c r="T42" s="97">
        <v>0.0</v>
      </c>
      <c r="U42" s="97">
        <v>0.0</v>
      </c>
      <c r="V42" s="97">
        <v>8397514.0</v>
      </c>
    </row>
    <row r="43" ht="15.75" customHeight="1">
      <c r="A43" s="59" t="str">
        <f t="array" ref="A43">XLOOKUP(C43, 'マスタ'!$C$2:$C$312, 'マスタ'!$D$2:$D$312, "マスタ未登録")</f>
        <v>地代家賃</v>
      </c>
      <c r="B43" s="53" t="str">
        <f>IF(AND(C43&lt;&gt;"", COUNTIF('マスタ'!$C:$C, C43)=0), "マスタ未登録", "")</f>
        <v/>
      </c>
      <c r="C43" s="53" t="str">
        <f t="shared" si="1"/>
        <v>地代家賃</v>
      </c>
      <c r="D43" s="10"/>
      <c r="E43" s="10"/>
      <c r="F43" s="10" t="s">
        <v>87</v>
      </c>
      <c r="G43" s="10"/>
      <c r="H43" s="10"/>
      <c r="I43" s="10"/>
      <c r="J43" s="97">
        <v>9547760.0</v>
      </c>
      <c r="K43" s="97">
        <v>8683760.0</v>
      </c>
      <c r="L43" s="97">
        <v>0.0</v>
      </c>
      <c r="M43" s="97">
        <v>0.0</v>
      </c>
      <c r="N43" s="97">
        <v>0.0</v>
      </c>
      <c r="O43" s="97">
        <v>0.0</v>
      </c>
      <c r="P43" s="97">
        <v>0.0</v>
      </c>
      <c r="Q43" s="97">
        <v>0.0</v>
      </c>
      <c r="R43" s="97">
        <v>0.0</v>
      </c>
      <c r="S43" s="97">
        <v>0.0</v>
      </c>
      <c r="T43" s="97">
        <v>0.0</v>
      </c>
      <c r="U43" s="97">
        <v>0.0</v>
      </c>
      <c r="V43" s="97">
        <v>1.823152E7</v>
      </c>
    </row>
    <row r="44" ht="15.75" customHeight="1">
      <c r="A44" s="59" t="str">
        <f t="array" ref="A44">XLOOKUP(C44, 'マスタ'!$C$2:$C$312, 'マスタ'!$D$2:$D$312, "マスタ未登録")</f>
        <v>消耗品費</v>
      </c>
      <c r="B44" s="53" t="str">
        <f>IF(AND(C44&lt;&gt;"", COUNTIF('マスタ'!$C:$C, C44)=0), "マスタ未登録", "")</f>
        <v/>
      </c>
      <c r="C44" s="53" t="str">
        <f t="shared" si="1"/>
        <v>消耗品費</v>
      </c>
      <c r="D44" s="10"/>
      <c r="E44" s="10"/>
      <c r="F44" s="10" t="s">
        <v>86</v>
      </c>
      <c r="G44" s="10"/>
      <c r="H44" s="10"/>
      <c r="I44" s="10"/>
      <c r="J44" s="97">
        <v>353434.0</v>
      </c>
      <c r="K44" s="97">
        <v>0.0</v>
      </c>
      <c r="L44" s="97">
        <v>0.0</v>
      </c>
      <c r="M44" s="97">
        <v>0.0</v>
      </c>
      <c r="N44" s="97">
        <v>0.0</v>
      </c>
      <c r="O44" s="97">
        <v>0.0</v>
      </c>
      <c r="P44" s="97">
        <v>0.0</v>
      </c>
      <c r="Q44" s="97">
        <v>0.0</v>
      </c>
      <c r="R44" s="97">
        <v>0.0</v>
      </c>
      <c r="S44" s="97">
        <v>0.0</v>
      </c>
      <c r="T44" s="97">
        <v>0.0</v>
      </c>
      <c r="U44" s="97">
        <v>0.0</v>
      </c>
      <c r="V44" s="97">
        <v>353434.0</v>
      </c>
    </row>
    <row r="45" ht="15.75" customHeight="1">
      <c r="A45" s="59" t="str">
        <f t="array" ref="A45">XLOOKUP(C45, 'マスタ'!$C$2:$C$312, 'マスタ'!$D$2:$D$312, "マスタ未登録")</f>
        <v>接待交際費</v>
      </c>
      <c r="B45" s="53" t="str">
        <f>IF(AND(C45&lt;&gt;"", COUNTIF('マスタ'!$C:$C, C45)=0), "マスタ未登録", "")</f>
        <v/>
      </c>
      <c r="C45" s="53" t="str">
        <f t="shared" si="1"/>
        <v>交際費（11,000円以下/人）</v>
      </c>
      <c r="D45" s="10"/>
      <c r="E45" s="10"/>
      <c r="F45" s="10" t="s">
        <v>240</v>
      </c>
      <c r="G45" s="10"/>
      <c r="H45" s="10"/>
      <c r="I45" s="10"/>
      <c r="J45" s="97">
        <v>84638.0</v>
      </c>
      <c r="K45" s="97">
        <v>0.0</v>
      </c>
      <c r="L45" s="97">
        <v>0.0</v>
      </c>
      <c r="M45" s="97">
        <v>0.0</v>
      </c>
      <c r="N45" s="97">
        <v>0.0</v>
      </c>
      <c r="O45" s="97">
        <v>0.0</v>
      </c>
      <c r="P45" s="97">
        <v>0.0</v>
      </c>
      <c r="Q45" s="97">
        <v>0.0</v>
      </c>
      <c r="R45" s="97">
        <v>0.0</v>
      </c>
      <c r="S45" s="97">
        <v>0.0</v>
      </c>
      <c r="T45" s="97">
        <v>0.0</v>
      </c>
      <c r="U45" s="97">
        <v>0.0</v>
      </c>
      <c r="V45" s="97">
        <v>84638.0</v>
      </c>
    </row>
    <row r="46" ht="15.75" customHeight="1">
      <c r="A46" s="59" t="str">
        <f t="array" ref="A46">XLOOKUP(C46, 'マスタ'!$C$2:$C$312, 'マスタ'!$D$2:$D$312, "マスタ未登録")</f>
        <v>接待交際費</v>
      </c>
      <c r="B46" s="53" t="str">
        <f>IF(AND(C46&lt;&gt;"", COUNTIF('マスタ'!$C:$C, C46)=0), "マスタ未登録", "")</f>
        <v/>
      </c>
      <c r="C46" s="53" t="str">
        <f t="shared" si="1"/>
        <v>交際費（11,000円超/人）</v>
      </c>
      <c r="D46" s="10"/>
      <c r="E46" s="10"/>
      <c r="F46" s="10" t="s">
        <v>241</v>
      </c>
      <c r="G46" s="10"/>
      <c r="H46" s="10"/>
      <c r="I46" s="10"/>
      <c r="J46" s="97">
        <v>103720.0</v>
      </c>
      <c r="K46" s="97">
        <v>0.0</v>
      </c>
      <c r="L46" s="97">
        <v>0.0</v>
      </c>
      <c r="M46" s="97">
        <v>0.0</v>
      </c>
      <c r="N46" s="97">
        <v>0.0</v>
      </c>
      <c r="O46" s="97">
        <v>0.0</v>
      </c>
      <c r="P46" s="97">
        <v>0.0</v>
      </c>
      <c r="Q46" s="97">
        <v>0.0</v>
      </c>
      <c r="R46" s="97">
        <v>0.0</v>
      </c>
      <c r="S46" s="97">
        <v>0.0</v>
      </c>
      <c r="T46" s="97">
        <v>0.0</v>
      </c>
      <c r="U46" s="97">
        <v>0.0</v>
      </c>
      <c r="V46" s="97">
        <v>103720.0</v>
      </c>
    </row>
    <row r="47" ht="15.75" customHeight="1">
      <c r="A47" s="59" t="str">
        <f t="array" ref="A47">XLOOKUP(C47, 'マスタ'!$C$2:$C$312, 'マスタ'!$D$2:$D$312, "マスタ未登録")</f>
        <v>接待交際費</v>
      </c>
      <c r="B47" s="53" t="str">
        <f>IF(AND(C47&lt;&gt;"", COUNTIF('マスタ'!$C:$C, C47)=0), "マスタ未登録", "")</f>
        <v/>
      </c>
      <c r="C47" s="53" t="str">
        <f t="shared" si="1"/>
        <v>交際費（その他）</v>
      </c>
      <c r="D47" s="10"/>
      <c r="E47" s="10"/>
      <c r="F47" s="10" t="s">
        <v>242</v>
      </c>
      <c r="G47" s="10"/>
      <c r="H47" s="10"/>
      <c r="I47" s="10"/>
      <c r="J47" s="97">
        <v>4567.0</v>
      </c>
      <c r="K47" s="97">
        <v>0.0</v>
      </c>
      <c r="L47" s="97">
        <v>0.0</v>
      </c>
      <c r="M47" s="97">
        <v>0.0</v>
      </c>
      <c r="N47" s="97">
        <v>0.0</v>
      </c>
      <c r="O47" s="97">
        <v>0.0</v>
      </c>
      <c r="P47" s="97">
        <v>0.0</v>
      </c>
      <c r="Q47" s="97">
        <v>0.0</v>
      </c>
      <c r="R47" s="97">
        <v>0.0</v>
      </c>
      <c r="S47" s="97">
        <v>0.0</v>
      </c>
      <c r="T47" s="97">
        <v>0.0</v>
      </c>
      <c r="U47" s="97">
        <v>0.0</v>
      </c>
      <c r="V47" s="97">
        <v>4567.0</v>
      </c>
    </row>
    <row r="48" ht="15.75" customHeight="1">
      <c r="A48" s="59" t="str">
        <f t="array" ref="A48">XLOOKUP(C48, 'マスタ'!$C$2:$C$312, 'マスタ'!$D$2:$D$312, "マスタ未登録")</f>
        <v>会議費</v>
      </c>
      <c r="B48" s="53" t="str">
        <f>IF(AND(C48&lt;&gt;"", COUNTIF('マスタ'!$C:$C, C48)=0), "マスタ未登録", "")</f>
        <v/>
      </c>
      <c r="C48" s="53" t="str">
        <f t="shared" si="1"/>
        <v>会議費</v>
      </c>
      <c r="D48" s="10"/>
      <c r="E48" s="10"/>
      <c r="F48" s="10" t="s">
        <v>94</v>
      </c>
      <c r="G48" s="10"/>
      <c r="H48" s="10"/>
      <c r="I48" s="10"/>
      <c r="J48" s="97">
        <v>3280.0</v>
      </c>
      <c r="K48" s="97">
        <v>0.0</v>
      </c>
      <c r="L48" s="97">
        <v>0.0</v>
      </c>
      <c r="M48" s="97">
        <v>0.0</v>
      </c>
      <c r="N48" s="97">
        <v>0.0</v>
      </c>
      <c r="O48" s="97">
        <v>0.0</v>
      </c>
      <c r="P48" s="97">
        <v>0.0</v>
      </c>
      <c r="Q48" s="97">
        <v>0.0</v>
      </c>
      <c r="R48" s="97">
        <v>0.0</v>
      </c>
      <c r="S48" s="97">
        <v>0.0</v>
      </c>
      <c r="T48" s="97">
        <v>0.0</v>
      </c>
      <c r="U48" s="97">
        <v>0.0</v>
      </c>
      <c r="V48" s="97">
        <v>3280.0</v>
      </c>
    </row>
    <row r="49" ht="15.75" customHeight="1">
      <c r="A49" s="59" t="str">
        <f t="array" ref="A49">XLOOKUP(C49, 'マスタ'!$C$2:$C$312, 'マスタ'!$D$2:$D$312, "マスタ未登録")</f>
        <v>租税公課</v>
      </c>
      <c r="B49" s="53" t="str">
        <f>IF(AND(C49&lt;&gt;"", COUNTIF('マスタ'!$C:$C, C49)=0), "マスタ未登録", "")</f>
        <v/>
      </c>
      <c r="C49" s="53" t="str">
        <f t="shared" si="1"/>
        <v>租税公課</v>
      </c>
      <c r="D49" s="10"/>
      <c r="E49" s="10"/>
      <c r="F49" s="10" t="s">
        <v>91</v>
      </c>
      <c r="G49" s="10"/>
      <c r="H49" s="10"/>
      <c r="I49" s="10"/>
      <c r="J49" s="97">
        <v>10243.0</v>
      </c>
      <c r="K49" s="97">
        <v>1040.0</v>
      </c>
      <c r="L49" s="97">
        <v>0.0</v>
      </c>
      <c r="M49" s="97">
        <v>0.0</v>
      </c>
      <c r="N49" s="97">
        <v>0.0</v>
      </c>
      <c r="O49" s="97">
        <v>0.0</v>
      </c>
      <c r="P49" s="97">
        <v>0.0</v>
      </c>
      <c r="Q49" s="97">
        <v>0.0</v>
      </c>
      <c r="R49" s="97">
        <v>0.0</v>
      </c>
      <c r="S49" s="97">
        <v>0.0</v>
      </c>
      <c r="T49" s="97">
        <v>0.0</v>
      </c>
      <c r="U49" s="97">
        <v>0.0</v>
      </c>
      <c r="V49" s="97">
        <v>11283.0</v>
      </c>
    </row>
    <row r="50" ht="15.75" customHeight="1">
      <c r="A50" s="59" t="str">
        <f t="array" ref="A50">XLOOKUP(C50, 'マスタ'!$C$2:$C$312, 'マスタ'!$D$2:$D$312, "マスタ未登録")</f>
        <v>保険料</v>
      </c>
      <c r="B50" s="53" t="str">
        <f>IF(AND(C50&lt;&gt;"", COUNTIF('マスタ'!$C:$C, C50)=0), "マスタ未登録", "")</f>
        <v/>
      </c>
      <c r="C50" s="53" t="str">
        <f t="shared" si="1"/>
        <v>保険料</v>
      </c>
      <c r="D50" s="10"/>
      <c r="E50" s="10"/>
      <c r="F50" s="10" t="s">
        <v>90</v>
      </c>
      <c r="G50" s="10"/>
      <c r="H50" s="10"/>
      <c r="I50" s="10"/>
      <c r="J50" s="97">
        <v>10719.0</v>
      </c>
      <c r="K50" s="97">
        <v>10719.0</v>
      </c>
      <c r="L50" s="97">
        <v>0.0</v>
      </c>
      <c r="M50" s="97">
        <v>0.0</v>
      </c>
      <c r="N50" s="97">
        <v>0.0</v>
      </c>
      <c r="O50" s="97">
        <v>0.0</v>
      </c>
      <c r="P50" s="97">
        <v>0.0</v>
      </c>
      <c r="Q50" s="97">
        <v>0.0</v>
      </c>
      <c r="R50" s="97">
        <v>0.0</v>
      </c>
      <c r="S50" s="97">
        <v>0.0</v>
      </c>
      <c r="T50" s="97">
        <v>0.0</v>
      </c>
      <c r="U50" s="97">
        <v>0.0</v>
      </c>
      <c r="V50" s="97">
        <v>21438.0</v>
      </c>
    </row>
    <row r="51" ht="15.75" customHeight="1">
      <c r="A51" s="59" t="str">
        <f t="array" ref="A51">XLOOKUP(C51, 'マスタ'!$C$2:$C$312, 'マスタ'!$D$2:$D$312, "マスタ未登録")</f>
        <v>減価償却費</v>
      </c>
      <c r="B51" s="53" t="str">
        <f>IF(AND(C51&lt;&gt;"", COUNTIF('マスタ'!$C:$C, C51)=0), "マスタ未登録", "")</f>
        <v/>
      </c>
      <c r="C51" s="53" t="str">
        <f t="shared" si="1"/>
        <v>減価償却費</v>
      </c>
      <c r="D51" s="10"/>
      <c r="E51" s="10"/>
      <c r="F51" s="10" t="s">
        <v>95</v>
      </c>
      <c r="G51" s="10"/>
      <c r="H51" s="10"/>
      <c r="I51" s="10"/>
      <c r="J51" s="97">
        <v>1737996.0</v>
      </c>
      <c r="K51" s="97">
        <v>0.0</v>
      </c>
      <c r="L51" s="97">
        <v>0.0</v>
      </c>
      <c r="M51" s="97">
        <v>0.0</v>
      </c>
      <c r="N51" s="97">
        <v>0.0</v>
      </c>
      <c r="O51" s="97">
        <v>0.0</v>
      </c>
      <c r="P51" s="97">
        <v>0.0</v>
      </c>
      <c r="Q51" s="97">
        <v>0.0</v>
      </c>
      <c r="R51" s="97">
        <v>0.0</v>
      </c>
      <c r="S51" s="97">
        <v>0.0</v>
      </c>
      <c r="T51" s="97">
        <v>0.0</v>
      </c>
      <c r="U51" s="97">
        <v>0.0</v>
      </c>
      <c r="V51" s="97">
        <v>1737996.0</v>
      </c>
    </row>
    <row r="52" ht="15.75" customHeight="1">
      <c r="A52" s="59" t="str">
        <f t="array" ref="A52">XLOOKUP(C52, 'マスタ'!$C$2:$C$312, 'マスタ'!$D$2:$D$312, "マスタ未登録")</f>
        <v>マスタ未登録</v>
      </c>
      <c r="B52" s="53" t="str">
        <f>IF(AND(C52&lt;&gt;"", COUNTIF('マスタ'!$C:$C, C52)=0), "マスタ未登録", "")</f>
        <v>マスタ未登録</v>
      </c>
      <c r="C52" s="53" t="str">
        <f t="shared" si="1"/>
        <v>販売管理費 計</v>
      </c>
      <c r="D52" s="10"/>
      <c r="E52" s="10" t="s">
        <v>183</v>
      </c>
      <c r="F52" s="10"/>
      <c r="G52" s="10"/>
      <c r="H52" s="10"/>
      <c r="I52" s="10"/>
      <c r="J52" s="97">
        <v>5.587213E7</v>
      </c>
      <c r="K52" s="97">
        <v>1.1049427E7</v>
      </c>
      <c r="L52" s="97">
        <v>0.0</v>
      </c>
      <c r="M52" s="97">
        <v>0.0</v>
      </c>
      <c r="N52" s="97">
        <v>0.0</v>
      </c>
      <c r="O52" s="97">
        <v>0.0</v>
      </c>
      <c r="P52" s="97">
        <v>0.0</v>
      </c>
      <c r="Q52" s="97">
        <v>0.0</v>
      </c>
      <c r="R52" s="97">
        <v>0.0</v>
      </c>
      <c r="S52" s="97">
        <v>0.0</v>
      </c>
      <c r="T52" s="97">
        <v>0.0</v>
      </c>
      <c r="U52" s="97">
        <v>0.0</v>
      </c>
      <c r="V52" s="97">
        <v>6.6921557E7</v>
      </c>
    </row>
    <row r="53" ht="15.75" customHeight="1">
      <c r="A53" s="59" t="str">
        <f t="array" ref="A53">XLOOKUP(C53, 'マスタ'!$C$2:$C$312, 'マスタ'!$D$2:$D$312, "マスタ未登録")</f>
        <v>マスタ未登録</v>
      </c>
      <c r="B53" s="53" t="str">
        <f>IF(AND(C53&lt;&gt;"", COUNTIF('マスタ'!$C:$C, C53)=0), "マスタ未登録", "")</f>
        <v>マスタ未登録</v>
      </c>
      <c r="C53" s="53" t="str">
        <f t="shared" si="1"/>
        <v>営業損益金額</v>
      </c>
      <c r="D53" s="10" t="s">
        <v>184</v>
      </c>
      <c r="E53" s="10"/>
      <c r="F53" s="10"/>
      <c r="G53" s="10"/>
      <c r="H53" s="10"/>
      <c r="I53" s="10"/>
      <c r="J53" s="97">
        <v>-7.9318287E7</v>
      </c>
      <c r="K53" s="97">
        <v>-2.0883594E7</v>
      </c>
      <c r="L53" s="97">
        <v>0.0</v>
      </c>
      <c r="M53" s="97">
        <v>0.0</v>
      </c>
      <c r="N53" s="97">
        <v>0.0</v>
      </c>
      <c r="O53" s="97">
        <v>0.0</v>
      </c>
      <c r="P53" s="97">
        <v>0.0</v>
      </c>
      <c r="Q53" s="97">
        <v>0.0</v>
      </c>
      <c r="R53" s="97">
        <v>0.0</v>
      </c>
      <c r="S53" s="97">
        <v>0.0</v>
      </c>
      <c r="T53" s="97">
        <v>0.0</v>
      </c>
      <c r="U53" s="97">
        <v>0.0</v>
      </c>
      <c r="V53" s="97">
        <v>-1.00201881E8</v>
      </c>
    </row>
    <row r="54" ht="15.75" customHeight="1">
      <c r="A54" s="59" t="str">
        <f t="array" ref="A54">XLOOKUP(C54, 'マスタ'!$C$2:$C$312, 'マスタ'!$D$2:$D$312, "マスタ未登録")</f>
        <v>マスタ未登録</v>
      </c>
      <c r="B54" s="53" t="str">
        <f>IF(AND(C54&lt;&gt;"", COUNTIF('マスタ'!$C:$C, C54)=0), "マスタ未登録", "")</f>
        <v>マスタ未登録</v>
      </c>
      <c r="C54" s="53" t="str">
        <f t="shared" si="1"/>
        <v>営業外収益</v>
      </c>
      <c r="D54" s="10"/>
      <c r="E54" s="10" t="s">
        <v>32</v>
      </c>
      <c r="F54" s="10"/>
      <c r="G54" s="10"/>
      <c r="H54" s="10"/>
      <c r="I54" s="10"/>
      <c r="J54" s="97">
        <v>102214.0</v>
      </c>
      <c r="K54" s="97">
        <v>30147.0</v>
      </c>
      <c r="L54" s="97">
        <v>0.0</v>
      </c>
      <c r="M54" s="97">
        <v>0.0</v>
      </c>
      <c r="N54" s="97">
        <v>0.0</v>
      </c>
      <c r="O54" s="97">
        <v>0.0</v>
      </c>
      <c r="P54" s="97">
        <v>0.0</v>
      </c>
      <c r="Q54" s="97">
        <v>0.0</v>
      </c>
      <c r="R54" s="97">
        <v>0.0</v>
      </c>
      <c r="S54" s="97">
        <v>0.0</v>
      </c>
      <c r="T54" s="97">
        <v>0.0</v>
      </c>
      <c r="U54" s="97">
        <v>0.0</v>
      </c>
      <c r="V54" s="97">
        <v>132361.0</v>
      </c>
    </row>
    <row r="55" ht="15.75" customHeight="1">
      <c r="A55" s="59" t="str">
        <f t="array" ref="A55">XLOOKUP(C55, 'マスタ'!$C$2:$C$312, 'マスタ'!$D$2:$D$312, "マスタ未登録")</f>
        <v>受取利息</v>
      </c>
      <c r="B55" s="53" t="str">
        <f>IF(AND(C55&lt;&gt;"", COUNTIF('マスタ'!$C:$C, C55)=0), "マスタ未登録", "")</f>
        <v/>
      </c>
      <c r="C55" s="53" t="str">
        <f t="shared" si="1"/>
        <v>受取利息</v>
      </c>
      <c r="D55" s="10"/>
      <c r="E55" s="10"/>
      <c r="F55" s="10" t="s">
        <v>103</v>
      </c>
      <c r="G55" s="10"/>
      <c r="H55" s="10"/>
      <c r="I55" s="10"/>
      <c r="J55" s="97">
        <v>32085.0</v>
      </c>
      <c r="K55" s="97">
        <v>0.0</v>
      </c>
      <c r="L55" s="97">
        <v>0.0</v>
      </c>
      <c r="M55" s="97">
        <v>0.0</v>
      </c>
      <c r="N55" s="97">
        <v>0.0</v>
      </c>
      <c r="O55" s="97">
        <v>0.0</v>
      </c>
      <c r="P55" s="97">
        <v>0.0</v>
      </c>
      <c r="Q55" s="97">
        <v>0.0</v>
      </c>
      <c r="R55" s="97">
        <v>0.0</v>
      </c>
      <c r="S55" s="97">
        <v>0.0</v>
      </c>
      <c r="T55" s="97">
        <v>0.0</v>
      </c>
      <c r="U55" s="97">
        <v>0.0</v>
      </c>
      <c r="V55" s="97">
        <v>32085.0</v>
      </c>
    </row>
    <row r="56" ht="15.75" customHeight="1">
      <c r="A56" s="59" t="str">
        <f t="array" ref="A56">XLOOKUP(C56, 'マスタ'!$C$2:$C$312, 'マスタ'!$D$2:$D$312, "マスタ未登録")</f>
        <v>雑収入</v>
      </c>
      <c r="B56" s="53" t="str">
        <f>IF(AND(C56&lt;&gt;"", COUNTIF('マスタ'!$C:$C, C56)=0), "マスタ未登録", "")</f>
        <v/>
      </c>
      <c r="C56" s="53" t="str">
        <f t="shared" si="1"/>
        <v>雑収入</v>
      </c>
      <c r="D56" s="10"/>
      <c r="E56" s="10"/>
      <c r="F56" s="10" t="s">
        <v>108</v>
      </c>
      <c r="G56" s="10"/>
      <c r="H56" s="10"/>
      <c r="I56" s="10"/>
      <c r="J56" s="97">
        <v>70129.0</v>
      </c>
      <c r="K56" s="97">
        <v>30147.0</v>
      </c>
      <c r="L56" s="97">
        <v>0.0</v>
      </c>
      <c r="M56" s="97">
        <v>0.0</v>
      </c>
      <c r="N56" s="97">
        <v>0.0</v>
      </c>
      <c r="O56" s="97">
        <v>0.0</v>
      </c>
      <c r="P56" s="97">
        <v>0.0</v>
      </c>
      <c r="Q56" s="97">
        <v>0.0</v>
      </c>
      <c r="R56" s="97">
        <v>0.0</v>
      </c>
      <c r="S56" s="97">
        <v>0.0</v>
      </c>
      <c r="T56" s="97">
        <v>0.0</v>
      </c>
      <c r="U56" s="97">
        <v>0.0</v>
      </c>
      <c r="V56" s="97">
        <v>100276.0</v>
      </c>
    </row>
    <row r="57" ht="15.75" customHeight="1">
      <c r="D57" s="10"/>
      <c r="E57" s="10" t="s">
        <v>34</v>
      </c>
      <c r="F57" s="10"/>
      <c r="G57" s="10"/>
      <c r="H57" s="10"/>
      <c r="I57" s="10"/>
      <c r="J57" s="97">
        <v>139716.0</v>
      </c>
      <c r="K57" s="97">
        <v>0.0</v>
      </c>
      <c r="L57" s="97">
        <v>0.0</v>
      </c>
      <c r="M57" s="97">
        <v>0.0</v>
      </c>
      <c r="N57" s="97">
        <v>0.0</v>
      </c>
      <c r="O57" s="97">
        <v>0.0</v>
      </c>
      <c r="P57" s="97">
        <v>0.0</v>
      </c>
      <c r="Q57" s="97">
        <v>0.0</v>
      </c>
      <c r="R57" s="97">
        <v>0.0</v>
      </c>
      <c r="S57" s="97">
        <v>0.0</v>
      </c>
      <c r="T57" s="97">
        <v>0.0</v>
      </c>
      <c r="U57" s="97">
        <v>0.0</v>
      </c>
      <c r="V57" s="97">
        <v>139716.0</v>
      </c>
    </row>
    <row r="58" ht="15.75" customHeight="1">
      <c r="D58" s="10"/>
      <c r="E58" s="10"/>
      <c r="F58" s="10" t="s">
        <v>109</v>
      </c>
      <c r="G58" s="10"/>
      <c r="H58" s="10"/>
      <c r="I58" s="10"/>
      <c r="J58" s="97">
        <v>139716.0</v>
      </c>
      <c r="K58" s="97">
        <v>0.0</v>
      </c>
      <c r="L58" s="97">
        <v>0.0</v>
      </c>
      <c r="M58" s="97">
        <v>0.0</v>
      </c>
      <c r="N58" s="97">
        <v>0.0</v>
      </c>
      <c r="O58" s="97">
        <v>0.0</v>
      </c>
      <c r="P58" s="97">
        <v>0.0</v>
      </c>
      <c r="Q58" s="97">
        <v>0.0</v>
      </c>
      <c r="R58" s="97">
        <v>0.0</v>
      </c>
      <c r="S58" s="97">
        <v>0.0</v>
      </c>
      <c r="T58" s="97">
        <v>0.0</v>
      </c>
      <c r="U58" s="97">
        <v>0.0</v>
      </c>
      <c r="V58" s="97">
        <v>139716.0</v>
      </c>
    </row>
    <row r="59" ht="15.75" customHeight="1">
      <c r="D59" s="10" t="s">
        <v>112</v>
      </c>
      <c r="E59" s="10"/>
      <c r="F59" s="10"/>
      <c r="G59" s="10"/>
      <c r="H59" s="10"/>
      <c r="I59" s="10"/>
      <c r="J59" s="97">
        <v>-7.9355789E7</v>
      </c>
      <c r="K59" s="97">
        <v>-2.0853447E7</v>
      </c>
      <c r="L59" s="97">
        <v>0.0</v>
      </c>
      <c r="M59" s="97">
        <v>0.0</v>
      </c>
      <c r="N59" s="97">
        <v>0.0</v>
      </c>
      <c r="O59" s="97">
        <v>0.0</v>
      </c>
      <c r="P59" s="97">
        <v>0.0</v>
      </c>
      <c r="Q59" s="97">
        <v>0.0</v>
      </c>
      <c r="R59" s="97">
        <v>0.0</v>
      </c>
      <c r="S59" s="97">
        <v>0.0</v>
      </c>
      <c r="T59" s="97">
        <v>0.0</v>
      </c>
      <c r="U59" s="97">
        <v>0.0</v>
      </c>
      <c r="V59" s="97">
        <v>-1.00209236E8</v>
      </c>
    </row>
    <row r="60" ht="15.75" customHeight="1">
      <c r="D60" s="10"/>
      <c r="E60" s="10" t="s">
        <v>37</v>
      </c>
      <c r="F60" s="10"/>
      <c r="G60" s="10"/>
      <c r="H60" s="10"/>
      <c r="I60" s="10"/>
      <c r="J60" s="97">
        <v>0.0</v>
      </c>
      <c r="K60" s="97">
        <v>0.0</v>
      </c>
      <c r="L60" s="97">
        <v>0.0</v>
      </c>
      <c r="M60" s="97">
        <v>0.0</v>
      </c>
      <c r="N60" s="97">
        <v>0.0</v>
      </c>
      <c r="O60" s="97">
        <v>0.0</v>
      </c>
      <c r="P60" s="97">
        <v>0.0</v>
      </c>
      <c r="Q60" s="97">
        <v>0.0</v>
      </c>
      <c r="R60" s="97">
        <v>0.0</v>
      </c>
      <c r="S60" s="97">
        <v>0.0</v>
      </c>
      <c r="T60" s="97">
        <v>0.0</v>
      </c>
      <c r="U60" s="97">
        <v>0.0</v>
      </c>
      <c r="V60" s="97">
        <v>0.0</v>
      </c>
    </row>
    <row r="61" ht="15.75" customHeight="1">
      <c r="D61" s="10"/>
      <c r="E61" s="10" t="s">
        <v>39</v>
      </c>
      <c r="F61" s="10"/>
      <c r="G61" s="10"/>
      <c r="H61" s="10"/>
      <c r="I61" s="10"/>
      <c r="J61" s="97">
        <v>0.0</v>
      </c>
      <c r="K61" s="97">
        <v>0.0</v>
      </c>
      <c r="L61" s="97">
        <v>0.0</v>
      </c>
      <c r="M61" s="97">
        <v>0.0</v>
      </c>
      <c r="N61" s="97">
        <v>0.0</v>
      </c>
      <c r="O61" s="97">
        <v>0.0</v>
      </c>
      <c r="P61" s="97">
        <v>0.0</v>
      </c>
      <c r="Q61" s="97">
        <v>0.0</v>
      </c>
      <c r="R61" s="97">
        <v>0.0</v>
      </c>
      <c r="S61" s="97">
        <v>0.0</v>
      </c>
      <c r="T61" s="97">
        <v>0.0</v>
      </c>
      <c r="U61" s="97">
        <v>0.0</v>
      </c>
      <c r="V61" s="97">
        <v>0.0</v>
      </c>
    </row>
    <row r="62" ht="15.75" customHeight="1">
      <c r="D62" s="10" t="s">
        <v>117</v>
      </c>
      <c r="E62" s="10"/>
      <c r="F62" s="10"/>
      <c r="G62" s="10"/>
      <c r="H62" s="10"/>
      <c r="I62" s="10"/>
      <c r="J62" s="97">
        <v>-7.9355789E7</v>
      </c>
      <c r="K62" s="97">
        <v>-2.0853447E7</v>
      </c>
      <c r="L62" s="97">
        <v>0.0</v>
      </c>
      <c r="M62" s="97">
        <v>0.0</v>
      </c>
      <c r="N62" s="97">
        <v>0.0</v>
      </c>
      <c r="O62" s="97">
        <v>0.0</v>
      </c>
      <c r="P62" s="97">
        <v>0.0</v>
      </c>
      <c r="Q62" s="97">
        <v>0.0</v>
      </c>
      <c r="R62" s="97">
        <v>0.0</v>
      </c>
      <c r="S62" s="97">
        <v>0.0</v>
      </c>
      <c r="T62" s="97">
        <v>0.0</v>
      </c>
      <c r="U62" s="97">
        <v>0.0</v>
      </c>
      <c r="V62" s="97">
        <v>-1.00209236E8</v>
      </c>
    </row>
    <row r="63" ht="15.75" customHeight="1">
      <c r="D63" s="10"/>
      <c r="E63" s="10" t="s">
        <v>43</v>
      </c>
      <c r="F63" s="10"/>
      <c r="G63" s="10"/>
      <c r="H63" s="10"/>
      <c r="I63" s="10"/>
      <c r="J63" s="97">
        <v>0.0</v>
      </c>
      <c r="K63" s="97">
        <v>0.0</v>
      </c>
      <c r="L63" s="97">
        <v>0.0</v>
      </c>
      <c r="M63" s="97">
        <v>0.0</v>
      </c>
      <c r="N63" s="97">
        <v>0.0</v>
      </c>
      <c r="O63" s="97">
        <v>0.0</v>
      </c>
      <c r="P63" s="97">
        <v>0.0</v>
      </c>
      <c r="Q63" s="97">
        <v>0.0</v>
      </c>
      <c r="R63" s="97">
        <v>0.0</v>
      </c>
      <c r="S63" s="97">
        <v>0.0</v>
      </c>
      <c r="T63" s="97">
        <v>0.0</v>
      </c>
      <c r="U63" s="97">
        <v>0.0</v>
      </c>
      <c r="V63" s="97">
        <v>0.0</v>
      </c>
    </row>
    <row r="64" ht="15.75" customHeight="1">
      <c r="D64" s="10"/>
      <c r="E64" s="10" t="s">
        <v>118</v>
      </c>
      <c r="F64" s="10"/>
      <c r="G64" s="10"/>
      <c r="H64" s="10"/>
      <c r="I64" s="10"/>
      <c r="J64" s="97">
        <v>0.0</v>
      </c>
      <c r="K64" s="97">
        <v>0.0</v>
      </c>
      <c r="L64" s="97">
        <v>0.0</v>
      </c>
      <c r="M64" s="97">
        <v>0.0</v>
      </c>
      <c r="N64" s="97">
        <v>0.0</v>
      </c>
      <c r="O64" s="97">
        <v>0.0</v>
      </c>
      <c r="P64" s="97">
        <v>0.0</v>
      </c>
      <c r="Q64" s="97">
        <v>0.0</v>
      </c>
      <c r="R64" s="97">
        <v>0.0</v>
      </c>
      <c r="S64" s="97">
        <v>0.0</v>
      </c>
      <c r="T64" s="97">
        <v>0.0</v>
      </c>
      <c r="U64" s="97">
        <v>0.0</v>
      </c>
      <c r="V64" s="97">
        <v>0.0</v>
      </c>
    </row>
    <row r="65" ht="15.75" customHeight="1">
      <c r="D65" s="10" t="s">
        <v>119</v>
      </c>
      <c r="E65" s="10"/>
      <c r="F65" s="10"/>
      <c r="G65" s="10"/>
      <c r="H65" s="10"/>
      <c r="I65" s="10"/>
      <c r="J65" s="97">
        <v>-7.9355789E7</v>
      </c>
      <c r="K65" s="97">
        <v>-2.0853447E7</v>
      </c>
      <c r="L65" s="97">
        <v>0.0</v>
      </c>
      <c r="M65" s="97">
        <v>0.0</v>
      </c>
      <c r="N65" s="97">
        <v>0.0</v>
      </c>
      <c r="O65" s="97">
        <v>0.0</v>
      </c>
      <c r="P65" s="97">
        <v>0.0</v>
      </c>
      <c r="Q65" s="97">
        <v>0.0</v>
      </c>
      <c r="R65" s="97">
        <v>0.0</v>
      </c>
      <c r="S65" s="97">
        <v>0.0</v>
      </c>
      <c r="T65" s="97">
        <v>0.0</v>
      </c>
      <c r="U65" s="97">
        <v>0.0</v>
      </c>
      <c r="V65" s="97">
        <v>-1.00209236E8</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8" t="s">
        <v>338</v>
      </c>
      <c r="B1" s="53" t="s">
        <v>222</v>
      </c>
      <c r="C1" s="53" t="s">
        <v>223</v>
      </c>
      <c r="D1" s="10" t="s">
        <v>357</v>
      </c>
      <c r="E1" s="10"/>
      <c r="F1" s="10"/>
      <c r="G1" s="10"/>
      <c r="H1" s="10"/>
      <c r="I1" s="10"/>
      <c r="J1" s="10"/>
      <c r="K1" s="10"/>
      <c r="L1" s="10"/>
      <c r="M1" s="10"/>
      <c r="N1" s="10"/>
      <c r="O1" s="10"/>
      <c r="P1" s="10"/>
      <c r="Q1" s="10"/>
      <c r="R1" s="10"/>
      <c r="S1" s="10"/>
      <c r="T1" s="10"/>
      <c r="U1" s="10"/>
      <c r="V1" s="10"/>
      <c r="W1" s="10"/>
      <c r="X1" s="10"/>
      <c r="Y1" s="10"/>
      <c r="Z1" s="10"/>
      <c r="AA1" s="10"/>
      <c r="AB1" s="10"/>
      <c r="AC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c r="W2" s="10"/>
      <c r="X2" s="10"/>
      <c r="Y2" s="10"/>
      <c r="Z2" s="10"/>
      <c r="AA2" s="10"/>
      <c r="AB2" s="10"/>
      <c r="AC2" s="10"/>
    </row>
    <row r="3" ht="15.75" customHeight="1">
      <c r="B3" s="53"/>
      <c r="C3" s="53"/>
      <c r="D3" s="10" t="s">
        <v>1</v>
      </c>
      <c r="E3" s="10"/>
      <c r="F3" s="10"/>
      <c r="G3" s="10"/>
      <c r="H3" s="10"/>
      <c r="I3" s="10"/>
      <c r="J3" s="10"/>
      <c r="K3" s="10"/>
      <c r="L3" s="10"/>
      <c r="M3" s="10"/>
      <c r="N3" s="10"/>
      <c r="O3" s="10"/>
      <c r="P3" s="10"/>
      <c r="Q3" s="10"/>
      <c r="R3" s="10"/>
      <c r="S3" s="10"/>
      <c r="T3" s="10"/>
      <c r="U3" s="10"/>
      <c r="V3" s="10"/>
      <c r="W3" s="10"/>
      <c r="X3" s="10"/>
      <c r="Y3" s="10"/>
      <c r="Z3" s="10"/>
      <c r="AA3" s="10"/>
      <c r="AB3" s="10"/>
      <c r="AC3" s="10"/>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D4" s="10"/>
      <c r="E4" s="10" t="s">
        <v>1</v>
      </c>
      <c r="F4" s="10"/>
      <c r="G4" s="10"/>
      <c r="H4" s="10"/>
      <c r="I4" s="10"/>
      <c r="J4" s="97">
        <v>7.2501616E7</v>
      </c>
      <c r="K4" s="97">
        <v>0.0</v>
      </c>
      <c r="L4" s="97">
        <v>0.0</v>
      </c>
      <c r="M4" s="97">
        <v>0.0</v>
      </c>
      <c r="N4" s="97">
        <v>0.0</v>
      </c>
      <c r="O4" s="97">
        <v>0.0</v>
      </c>
      <c r="P4" s="97">
        <v>0.0</v>
      </c>
      <c r="Q4" s="97">
        <v>0.0</v>
      </c>
      <c r="R4" s="97">
        <v>0.0</v>
      </c>
      <c r="S4" s="97">
        <v>0.0</v>
      </c>
      <c r="T4" s="97">
        <v>0.0</v>
      </c>
      <c r="U4" s="97">
        <v>0.0</v>
      </c>
      <c r="V4" s="97">
        <v>7.2501616E7</v>
      </c>
      <c r="W4" s="10"/>
      <c r="X4" s="10"/>
      <c r="Y4" s="10"/>
      <c r="Z4" s="10"/>
      <c r="AA4" s="10"/>
      <c r="AB4" s="10"/>
      <c r="AC4" s="10"/>
    </row>
    <row r="5" ht="15.75" customHeight="1">
      <c r="A5" s="59" t="str">
        <f t="array" ref="A5">XLOOKUP(C5, 'マスタ'!$C$2:$C$312, 'マスタ'!$D$2:$D$312, "マスタ未登録")</f>
        <v>売上高</v>
      </c>
      <c r="B5" s="53" t="str">
        <f>IF(AND(C5&lt;&gt;"", COUNTIF('マスタ'!$C:$C, C5)=0), "マスタ未登録", "")</f>
        <v/>
      </c>
      <c r="C5" s="53" t="str">
        <f t="shared" si="1"/>
        <v>委託販売売上高</v>
      </c>
      <c r="D5" s="10"/>
      <c r="E5" s="10" t="s">
        <v>358</v>
      </c>
      <c r="F5" s="10"/>
      <c r="G5" s="10"/>
      <c r="H5" s="10"/>
      <c r="I5" s="10"/>
      <c r="J5" s="97">
        <v>3698888.0</v>
      </c>
      <c r="K5" s="97">
        <v>0.0</v>
      </c>
      <c r="L5" s="97">
        <v>0.0</v>
      </c>
      <c r="M5" s="97">
        <v>0.0</v>
      </c>
      <c r="N5" s="97">
        <v>0.0</v>
      </c>
      <c r="O5" s="97">
        <v>0.0</v>
      </c>
      <c r="P5" s="97">
        <v>0.0</v>
      </c>
      <c r="Q5" s="97">
        <v>0.0</v>
      </c>
      <c r="R5" s="97">
        <v>0.0</v>
      </c>
      <c r="S5" s="97">
        <v>0.0</v>
      </c>
      <c r="T5" s="97">
        <v>0.0</v>
      </c>
      <c r="U5" s="97">
        <v>0.0</v>
      </c>
      <c r="V5" s="97">
        <v>3698888.0</v>
      </c>
      <c r="W5" s="10"/>
      <c r="X5" s="10"/>
      <c r="Y5" s="10"/>
      <c r="Z5" s="10"/>
      <c r="AA5" s="10"/>
      <c r="AB5" s="10"/>
      <c r="AC5" s="10"/>
    </row>
    <row r="6" ht="15.75" customHeight="1">
      <c r="A6" s="59" t="str">
        <f t="array" ref="A6">XLOOKUP(C6, 'マスタ'!$C$2:$C$312, 'マスタ'!$D$2:$D$312, "マスタ未登録")</f>
        <v>マスタ未登録</v>
      </c>
      <c r="B6" s="53" t="str">
        <f>IF(AND(C6&lt;&gt;"", COUNTIF('マスタ'!$C:$C, C6)=0), "マスタ未登録", "")</f>
        <v>マスタ未登録</v>
      </c>
      <c r="C6" s="53" t="str">
        <f t="shared" si="1"/>
        <v>売上高 計</v>
      </c>
      <c r="D6" s="10" t="s">
        <v>226</v>
      </c>
      <c r="E6" s="10"/>
      <c r="F6" s="10"/>
      <c r="G6" s="10"/>
      <c r="H6" s="10"/>
      <c r="I6" s="10"/>
      <c r="J6" s="97">
        <v>7.6200504E7</v>
      </c>
      <c r="K6" s="97">
        <v>0.0</v>
      </c>
      <c r="L6" s="97">
        <v>0.0</v>
      </c>
      <c r="M6" s="97">
        <v>0.0</v>
      </c>
      <c r="N6" s="97">
        <v>0.0</v>
      </c>
      <c r="O6" s="97">
        <v>0.0</v>
      </c>
      <c r="P6" s="97">
        <v>0.0</v>
      </c>
      <c r="Q6" s="97">
        <v>0.0</v>
      </c>
      <c r="R6" s="97">
        <v>0.0</v>
      </c>
      <c r="S6" s="97">
        <v>0.0</v>
      </c>
      <c r="T6" s="97">
        <v>0.0</v>
      </c>
      <c r="U6" s="97">
        <v>0.0</v>
      </c>
      <c r="V6" s="97">
        <v>7.6200504E7</v>
      </c>
      <c r="W6" s="10"/>
      <c r="X6" s="10"/>
      <c r="Y6" s="10"/>
      <c r="Z6" s="10"/>
      <c r="AA6" s="10"/>
      <c r="AB6" s="10"/>
      <c r="AC6" s="10"/>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D7" s="10"/>
      <c r="E7" s="10" t="s">
        <v>28</v>
      </c>
      <c r="F7" s="10"/>
      <c r="G7" s="10"/>
      <c r="H7" s="10"/>
      <c r="I7" s="10"/>
      <c r="J7" s="10"/>
      <c r="K7" s="10"/>
      <c r="L7" s="10"/>
      <c r="M7" s="10"/>
      <c r="N7" s="10"/>
      <c r="O7" s="10"/>
      <c r="P7" s="10"/>
      <c r="Q7" s="10"/>
      <c r="R7" s="10"/>
      <c r="S7" s="10"/>
      <c r="T7" s="10"/>
      <c r="U7" s="10"/>
      <c r="V7" s="10"/>
      <c r="W7" s="10"/>
      <c r="X7" s="10"/>
      <c r="Y7" s="10"/>
      <c r="Z7" s="10"/>
      <c r="AA7" s="10"/>
      <c r="AB7" s="10"/>
      <c r="AC7" s="10"/>
    </row>
    <row r="8" ht="15.75" customHeight="1">
      <c r="A8" s="59" t="str">
        <f t="array" ref="A8">XLOOKUP(C8, 'マスタ'!$C$2:$C$312, 'マスタ'!$D$2:$D$312, "マスタ未登録")</f>
        <v>マスタ未登録</v>
      </c>
      <c r="B8" s="53" t="str">
        <f>IF(AND(C8&lt;&gt;"", COUNTIF('マスタ'!$C:$C, C8)=0), "マスタ未登録", "")</f>
        <v>マスタ未登録</v>
      </c>
      <c r="C8" s="53" t="str">
        <f t="shared" si="1"/>
        <v>売上原価</v>
      </c>
      <c r="D8" s="10"/>
      <c r="E8" s="10" t="s">
        <v>28</v>
      </c>
      <c r="F8" s="10"/>
      <c r="G8" s="10"/>
      <c r="H8" s="10"/>
      <c r="I8" s="10"/>
      <c r="J8" s="97">
        <v>4.8118946E7</v>
      </c>
      <c r="K8" s="97">
        <v>3753998.0</v>
      </c>
      <c r="L8" s="97">
        <v>0.0</v>
      </c>
      <c r="M8" s="97">
        <v>0.0</v>
      </c>
      <c r="N8" s="97">
        <v>0.0</v>
      </c>
      <c r="O8" s="97">
        <v>0.0</v>
      </c>
      <c r="P8" s="97">
        <v>0.0</v>
      </c>
      <c r="Q8" s="97">
        <v>0.0</v>
      </c>
      <c r="R8" s="97">
        <v>0.0</v>
      </c>
      <c r="S8" s="97">
        <v>0.0</v>
      </c>
      <c r="T8" s="97">
        <v>0.0</v>
      </c>
      <c r="U8" s="97">
        <v>0.0</v>
      </c>
      <c r="V8" s="97">
        <v>5.1872944E7</v>
      </c>
      <c r="W8" s="10"/>
      <c r="X8" s="10"/>
      <c r="Y8" s="10"/>
      <c r="Z8" s="10"/>
      <c r="AA8" s="10"/>
      <c r="AB8" s="10"/>
      <c r="AC8" s="10"/>
    </row>
    <row r="9" ht="15.75" customHeight="1">
      <c r="A9" s="59" t="str">
        <f t="array" ref="A9">XLOOKUP(C9, 'マスタ'!$C$2:$C$312, 'マスタ'!$D$2:$D$312, "マスタ未登録")</f>
        <v>期首商品棚卸高</v>
      </c>
      <c r="B9" s="53" t="str">
        <f>IF(AND(C9&lt;&gt;"", COUNTIF('マスタ'!$C:$C, C9)=0), "マスタ未登録", "")</f>
        <v/>
      </c>
      <c r="C9" s="53" t="str">
        <f t="shared" si="1"/>
        <v>期首商品棚卸</v>
      </c>
      <c r="D9" s="10"/>
      <c r="E9" s="10"/>
      <c r="F9" s="10"/>
      <c r="G9" s="10" t="s">
        <v>227</v>
      </c>
      <c r="H9" s="10"/>
      <c r="I9" s="10"/>
      <c r="J9" s="97">
        <v>0.0</v>
      </c>
      <c r="K9" s="97">
        <v>0.0</v>
      </c>
      <c r="L9" s="97">
        <v>0.0</v>
      </c>
      <c r="M9" s="97">
        <v>0.0</v>
      </c>
      <c r="N9" s="97">
        <v>0.0</v>
      </c>
      <c r="O9" s="97">
        <v>0.0</v>
      </c>
      <c r="P9" s="97">
        <v>0.0</v>
      </c>
      <c r="Q9" s="97">
        <v>0.0</v>
      </c>
      <c r="R9" s="97">
        <v>0.0</v>
      </c>
      <c r="S9" s="97">
        <v>0.0</v>
      </c>
      <c r="T9" s="97">
        <v>0.0</v>
      </c>
      <c r="U9" s="97">
        <v>0.0</v>
      </c>
      <c r="V9" s="97">
        <v>0.0</v>
      </c>
      <c r="W9" s="10"/>
      <c r="X9" s="10"/>
      <c r="Y9" s="10"/>
      <c r="Z9" s="10"/>
      <c r="AA9" s="10"/>
      <c r="AB9" s="10"/>
      <c r="AC9" s="10"/>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当期商品仕入(見出し）</v>
      </c>
      <c r="D10" s="10"/>
      <c r="E10" s="10"/>
      <c r="F10" s="10"/>
      <c r="G10" s="10" t="s">
        <v>367</v>
      </c>
      <c r="H10" s="10"/>
      <c r="I10" s="10"/>
      <c r="J10" s="97">
        <v>4.7062337E7</v>
      </c>
      <c r="K10" s="97">
        <v>1116300.0</v>
      </c>
      <c r="L10" s="97">
        <v>0.0</v>
      </c>
      <c r="M10" s="97">
        <v>0.0</v>
      </c>
      <c r="N10" s="97">
        <v>0.0</v>
      </c>
      <c r="O10" s="97">
        <v>0.0</v>
      </c>
      <c r="P10" s="97">
        <v>0.0</v>
      </c>
      <c r="Q10" s="97">
        <v>0.0</v>
      </c>
      <c r="R10" s="97">
        <v>0.0</v>
      </c>
      <c r="S10" s="97">
        <v>0.0</v>
      </c>
      <c r="T10" s="97">
        <v>0.0</v>
      </c>
      <c r="U10" s="97">
        <v>0.0</v>
      </c>
      <c r="V10" s="97">
        <v>4.8178637E7</v>
      </c>
      <c r="W10" s="10"/>
      <c r="X10" s="10"/>
      <c r="Y10" s="10"/>
      <c r="Z10" s="10"/>
      <c r="AA10" s="10"/>
      <c r="AB10" s="10"/>
      <c r="AC10" s="10"/>
    </row>
    <row r="11" ht="15.75" customHeight="1">
      <c r="A11" s="59" t="str">
        <f t="array" ref="A11">XLOOKUP(C11, 'マスタ'!$C$2:$C$312, 'マスタ'!$D$2:$D$312, "マスタ未登録")</f>
        <v>当期商品仕入高</v>
      </c>
      <c r="B11" s="53" t="str">
        <f>IF(AND(C11&lt;&gt;"", COUNTIF('マスタ'!$C:$C, C11)=0), "マスタ未登録", "")</f>
        <v/>
      </c>
      <c r="C11" s="53" t="str">
        <f t="shared" si="1"/>
        <v>仕入高</v>
      </c>
      <c r="D11" s="10"/>
      <c r="E11" s="10"/>
      <c r="F11" s="10"/>
      <c r="G11" s="10"/>
      <c r="H11" s="10" t="s">
        <v>138</v>
      </c>
      <c r="I11" s="10"/>
      <c r="J11" s="97">
        <v>2294400.0</v>
      </c>
      <c r="K11" s="97">
        <v>0.0</v>
      </c>
      <c r="L11" s="97">
        <v>0.0</v>
      </c>
      <c r="M11" s="97">
        <v>0.0</v>
      </c>
      <c r="N11" s="97">
        <v>0.0</v>
      </c>
      <c r="O11" s="97">
        <v>0.0</v>
      </c>
      <c r="P11" s="97">
        <v>0.0</v>
      </c>
      <c r="Q11" s="97">
        <v>0.0</v>
      </c>
      <c r="R11" s="97">
        <v>0.0</v>
      </c>
      <c r="S11" s="97">
        <v>0.0</v>
      </c>
      <c r="T11" s="97">
        <v>0.0</v>
      </c>
      <c r="U11" s="97">
        <v>0.0</v>
      </c>
      <c r="V11" s="97">
        <v>2294400.0</v>
      </c>
      <c r="W11" s="10"/>
      <c r="X11" s="10"/>
      <c r="Y11" s="10"/>
      <c r="Z11" s="10"/>
      <c r="AA11" s="10"/>
      <c r="AB11" s="10"/>
      <c r="AC11" s="10"/>
    </row>
    <row r="12" ht="15.75" customHeight="1">
      <c r="A12" s="59" t="str">
        <f t="array" ref="A12">XLOOKUP(C12, 'マスタ'!$C$2:$C$312, 'マスタ'!$D$2:$D$312, "マスタ未登録")</f>
        <v>当期商品仕入高</v>
      </c>
      <c r="B12" s="53" t="str">
        <f>IF(AND(C12&lt;&gt;"", COUNTIF('マスタ'!$C:$C, C12)=0), "マスタ未登録", "")</f>
        <v/>
      </c>
      <c r="C12" s="53" t="str">
        <f t="shared" si="1"/>
        <v>外注費(原)</v>
      </c>
      <c r="D12" s="10"/>
      <c r="E12" s="10"/>
      <c r="F12" s="10"/>
      <c r="G12" s="10"/>
      <c r="H12" s="10" t="s">
        <v>231</v>
      </c>
      <c r="I12" s="10"/>
      <c r="J12" s="97">
        <v>2.4825482E7</v>
      </c>
      <c r="K12" s="97">
        <v>1116300.0</v>
      </c>
      <c r="L12" s="97">
        <v>0.0</v>
      </c>
      <c r="M12" s="97">
        <v>0.0</v>
      </c>
      <c r="N12" s="97">
        <v>0.0</v>
      </c>
      <c r="O12" s="97">
        <v>0.0</v>
      </c>
      <c r="P12" s="97">
        <v>0.0</v>
      </c>
      <c r="Q12" s="97">
        <v>0.0</v>
      </c>
      <c r="R12" s="97">
        <v>0.0</v>
      </c>
      <c r="S12" s="97">
        <v>0.0</v>
      </c>
      <c r="T12" s="97">
        <v>0.0</v>
      </c>
      <c r="U12" s="97">
        <v>0.0</v>
      </c>
      <c r="V12" s="97">
        <v>2.5941782E7</v>
      </c>
      <c r="W12" s="10"/>
      <c r="X12" s="10"/>
      <c r="Y12" s="10"/>
      <c r="Z12" s="10"/>
      <c r="AA12" s="10"/>
      <c r="AB12" s="10"/>
      <c r="AC12" s="10"/>
    </row>
    <row r="13" ht="15.75" customHeight="1">
      <c r="A13" s="59" t="str">
        <f t="array" ref="A13">XLOOKUP(C13, 'マスタ'!$C$2:$C$312, 'マスタ'!$D$2:$D$312, "マスタ未登録")</f>
        <v>当期商品仕入高</v>
      </c>
      <c r="B13" s="53" t="str">
        <f>IF(AND(C13&lt;&gt;"", COUNTIF('マスタ'!$C:$C, C13)=0), "マスタ未登録", "")</f>
        <v/>
      </c>
      <c r="C13" s="53" t="str">
        <f t="shared" si="1"/>
        <v>業務委託費(原・タレント)</v>
      </c>
      <c r="D13" s="10"/>
      <c r="E13" s="10"/>
      <c r="F13" s="10"/>
      <c r="G13" s="10"/>
      <c r="H13" s="10" t="s">
        <v>363</v>
      </c>
      <c r="I13" s="10"/>
      <c r="J13" s="97">
        <v>1.6433661E7</v>
      </c>
      <c r="K13" s="97">
        <v>0.0</v>
      </c>
      <c r="L13" s="97">
        <v>0.0</v>
      </c>
      <c r="M13" s="97">
        <v>0.0</v>
      </c>
      <c r="N13" s="97">
        <v>0.0</v>
      </c>
      <c r="O13" s="97">
        <v>0.0</v>
      </c>
      <c r="P13" s="97">
        <v>0.0</v>
      </c>
      <c r="Q13" s="97">
        <v>0.0</v>
      </c>
      <c r="R13" s="97">
        <v>0.0</v>
      </c>
      <c r="S13" s="97">
        <v>0.0</v>
      </c>
      <c r="T13" s="97">
        <v>0.0</v>
      </c>
      <c r="U13" s="97">
        <v>0.0</v>
      </c>
      <c r="V13" s="97">
        <v>1.6433661E7</v>
      </c>
      <c r="W13" s="10"/>
      <c r="X13" s="10"/>
      <c r="Y13" s="10"/>
      <c r="Z13" s="10"/>
      <c r="AA13" s="10"/>
      <c r="AB13" s="10"/>
      <c r="AC13" s="10"/>
    </row>
    <row r="14" ht="15.75" customHeight="1">
      <c r="A14" s="59" t="str">
        <f t="array" ref="A14">XLOOKUP(C14, 'マスタ'!$C$2:$C$312, 'マスタ'!$D$2:$D$312, "マスタ未登録")</f>
        <v>当期商品仕入高</v>
      </c>
      <c r="B14" s="53" t="str">
        <f>IF(AND(C14&lt;&gt;"", COUNTIF('マスタ'!$C:$C, C14)=0), "マスタ未登録", "")</f>
        <v/>
      </c>
      <c r="C14" s="53" t="str">
        <f t="shared" si="1"/>
        <v>業務委託費(原・製)</v>
      </c>
      <c r="D14" s="10"/>
      <c r="E14" s="10"/>
      <c r="F14" s="10"/>
      <c r="G14" s="10"/>
      <c r="H14" s="10" t="s">
        <v>364</v>
      </c>
      <c r="I14" s="10"/>
      <c r="J14" s="97">
        <v>2175130.0</v>
      </c>
      <c r="K14" s="97">
        <v>0.0</v>
      </c>
      <c r="L14" s="97">
        <v>0.0</v>
      </c>
      <c r="M14" s="97">
        <v>0.0</v>
      </c>
      <c r="N14" s="97">
        <v>0.0</v>
      </c>
      <c r="O14" s="97">
        <v>0.0</v>
      </c>
      <c r="P14" s="97">
        <v>0.0</v>
      </c>
      <c r="Q14" s="97">
        <v>0.0</v>
      </c>
      <c r="R14" s="97">
        <v>0.0</v>
      </c>
      <c r="S14" s="97">
        <v>0.0</v>
      </c>
      <c r="T14" s="97">
        <v>0.0</v>
      </c>
      <c r="U14" s="97">
        <v>0.0</v>
      </c>
      <c r="V14" s="97">
        <v>2175130.0</v>
      </c>
      <c r="W14" s="10"/>
      <c r="X14" s="10"/>
      <c r="Y14" s="10"/>
      <c r="Z14" s="10"/>
      <c r="AA14" s="10"/>
      <c r="AB14" s="10"/>
      <c r="AC14" s="10"/>
    </row>
    <row r="15" ht="15.75" customHeight="1">
      <c r="A15" s="59" t="str">
        <f t="array" ref="A15">XLOOKUP(C15, 'マスタ'!$C$2:$C$312, 'マスタ'!$D$2:$D$312, "マスタ未登録")</f>
        <v>当期商品仕入高</v>
      </c>
      <c r="B15" s="53" t="str">
        <f>IF(AND(C15&lt;&gt;"", COUNTIF('マスタ'!$C:$C, C15)=0), "マスタ未登録", "")</f>
        <v/>
      </c>
      <c r="C15" s="53" t="str">
        <f t="shared" si="1"/>
        <v>旅費交通費(原)</v>
      </c>
      <c r="D15" s="10"/>
      <c r="E15" s="10"/>
      <c r="F15" s="10"/>
      <c r="G15" s="10"/>
      <c r="H15" s="10" t="s">
        <v>233</v>
      </c>
      <c r="I15" s="10"/>
      <c r="J15" s="97">
        <v>1052365.0</v>
      </c>
      <c r="K15" s="97">
        <v>0.0</v>
      </c>
      <c r="L15" s="97">
        <v>0.0</v>
      </c>
      <c r="M15" s="97">
        <v>0.0</v>
      </c>
      <c r="N15" s="97">
        <v>0.0</v>
      </c>
      <c r="O15" s="97">
        <v>0.0</v>
      </c>
      <c r="P15" s="97">
        <v>0.0</v>
      </c>
      <c r="Q15" s="97">
        <v>0.0</v>
      </c>
      <c r="R15" s="97">
        <v>0.0</v>
      </c>
      <c r="S15" s="97">
        <v>0.0</v>
      </c>
      <c r="T15" s="97">
        <v>0.0</v>
      </c>
      <c r="U15" s="97">
        <v>0.0</v>
      </c>
      <c r="V15" s="97">
        <v>1052365.0</v>
      </c>
      <c r="W15" s="10"/>
      <c r="X15" s="10"/>
      <c r="Y15" s="10"/>
      <c r="Z15" s="10"/>
      <c r="AA15" s="10"/>
      <c r="AB15" s="10"/>
      <c r="AC15" s="10"/>
    </row>
    <row r="16" ht="15.75" customHeight="1">
      <c r="A16" s="59" t="str">
        <f t="array" ref="A16">XLOOKUP(C16, 'マスタ'!$C$2:$C$312, 'マスタ'!$D$2:$D$312, "マスタ未登録")</f>
        <v>当期商品仕入高</v>
      </c>
      <c r="B16" s="53" t="str">
        <f>IF(AND(C16&lt;&gt;"", COUNTIF('マスタ'!$C:$C, C16)=0), "マスタ未登録", "")</f>
        <v/>
      </c>
      <c r="C16" s="53" t="str">
        <f t="shared" si="1"/>
        <v>通信費(原)</v>
      </c>
      <c r="D16" s="10"/>
      <c r="E16" s="10"/>
      <c r="F16" s="10"/>
      <c r="G16" s="10"/>
      <c r="H16" s="10" t="s">
        <v>351</v>
      </c>
      <c r="I16" s="10"/>
      <c r="J16" s="97">
        <v>75560.0</v>
      </c>
      <c r="K16" s="97">
        <v>0.0</v>
      </c>
      <c r="L16" s="97">
        <v>0.0</v>
      </c>
      <c r="M16" s="97">
        <v>0.0</v>
      </c>
      <c r="N16" s="97">
        <v>0.0</v>
      </c>
      <c r="O16" s="97">
        <v>0.0</v>
      </c>
      <c r="P16" s="97">
        <v>0.0</v>
      </c>
      <c r="Q16" s="97">
        <v>0.0</v>
      </c>
      <c r="R16" s="97">
        <v>0.0</v>
      </c>
      <c r="S16" s="97">
        <v>0.0</v>
      </c>
      <c r="T16" s="97">
        <v>0.0</v>
      </c>
      <c r="U16" s="97">
        <v>0.0</v>
      </c>
      <c r="V16" s="97">
        <v>75560.0</v>
      </c>
      <c r="W16" s="10"/>
      <c r="X16" s="10"/>
      <c r="Y16" s="10"/>
      <c r="Z16" s="10"/>
      <c r="AA16" s="10"/>
      <c r="AB16" s="10"/>
      <c r="AC16" s="10"/>
    </row>
    <row r="17" ht="15.75" customHeight="1">
      <c r="A17" s="59" t="str">
        <f t="array" ref="A17">XLOOKUP(C17, 'マスタ'!$C$2:$C$312, 'マスタ'!$D$2:$D$312, "マスタ未登録")</f>
        <v>当期商品仕入高</v>
      </c>
      <c r="B17" s="53" t="str">
        <f>IF(AND(C17&lt;&gt;"", COUNTIF('マスタ'!$C:$C, C17)=0), "マスタ未登録", "")</f>
        <v/>
      </c>
      <c r="C17" s="53" t="str">
        <f t="shared" si="1"/>
        <v>消耗品費(原)</v>
      </c>
      <c r="D17" s="10"/>
      <c r="E17" s="10"/>
      <c r="F17" s="10"/>
      <c r="G17" s="10"/>
      <c r="H17" s="10" t="s">
        <v>234</v>
      </c>
      <c r="I17" s="10"/>
      <c r="J17" s="97">
        <v>132539.0</v>
      </c>
      <c r="K17" s="97">
        <v>0.0</v>
      </c>
      <c r="L17" s="97">
        <v>0.0</v>
      </c>
      <c r="M17" s="97">
        <v>0.0</v>
      </c>
      <c r="N17" s="97">
        <v>0.0</v>
      </c>
      <c r="O17" s="97">
        <v>0.0</v>
      </c>
      <c r="P17" s="97">
        <v>0.0</v>
      </c>
      <c r="Q17" s="97">
        <v>0.0</v>
      </c>
      <c r="R17" s="97">
        <v>0.0</v>
      </c>
      <c r="S17" s="97">
        <v>0.0</v>
      </c>
      <c r="T17" s="97">
        <v>0.0</v>
      </c>
      <c r="U17" s="97">
        <v>0.0</v>
      </c>
      <c r="V17" s="97">
        <v>132539.0</v>
      </c>
      <c r="W17" s="10"/>
      <c r="X17" s="10"/>
      <c r="Y17" s="10"/>
      <c r="Z17" s="10"/>
      <c r="AA17" s="10"/>
      <c r="AB17" s="10"/>
      <c r="AC17" s="10"/>
    </row>
    <row r="18" ht="15.75" customHeight="1">
      <c r="A18" s="59" t="str">
        <f t="array" ref="A18">XLOOKUP(C18, 'マスタ'!$C$2:$C$312, 'マスタ'!$D$2:$D$312, "マスタ未登録")</f>
        <v>当期商品仕入高</v>
      </c>
      <c r="B18" s="53" t="str">
        <f>IF(AND(C18&lt;&gt;"", COUNTIF('マスタ'!$C:$C, C18)=0), "マスタ未登録", "")</f>
        <v/>
      </c>
      <c r="C18" s="53" t="str">
        <f t="shared" si="1"/>
        <v>賃借料(原)</v>
      </c>
      <c r="D18" s="10"/>
      <c r="E18" s="10"/>
      <c r="F18" s="10"/>
      <c r="G18" s="10"/>
      <c r="H18" s="10" t="s">
        <v>366</v>
      </c>
      <c r="I18" s="10"/>
      <c r="J18" s="97">
        <v>73200.0</v>
      </c>
      <c r="K18" s="97">
        <v>0.0</v>
      </c>
      <c r="L18" s="97">
        <v>0.0</v>
      </c>
      <c r="M18" s="97">
        <v>0.0</v>
      </c>
      <c r="N18" s="97">
        <v>0.0</v>
      </c>
      <c r="O18" s="97">
        <v>0.0</v>
      </c>
      <c r="P18" s="97">
        <v>0.0</v>
      </c>
      <c r="Q18" s="97">
        <v>0.0</v>
      </c>
      <c r="R18" s="97">
        <v>0.0</v>
      </c>
      <c r="S18" s="97">
        <v>0.0</v>
      </c>
      <c r="T18" s="97">
        <v>0.0</v>
      </c>
      <c r="U18" s="97">
        <v>0.0</v>
      </c>
      <c r="V18" s="97">
        <v>73200.0</v>
      </c>
      <c r="W18" s="10"/>
      <c r="X18" s="10"/>
      <c r="Y18" s="10"/>
      <c r="Z18" s="10"/>
      <c r="AA18" s="10"/>
      <c r="AB18" s="10"/>
      <c r="AC18" s="10"/>
    </row>
    <row r="19" ht="15.75" customHeight="1">
      <c r="A19" s="59" t="str">
        <f t="array" ref="A19">XLOOKUP(C19, 'マスタ'!$C$2:$C$312, 'マスタ'!$D$2:$D$312, "マスタ未登録")</f>
        <v>他勘定振替高</v>
      </c>
      <c r="B19" s="53" t="str">
        <f>IF(AND(C19&lt;&gt;"", COUNTIF('マスタ'!$C:$C, C19)=0), "マスタ未登録", "")</f>
        <v/>
      </c>
      <c r="C19" s="53" t="str">
        <f t="shared" si="1"/>
        <v>他勘定振替高(商)</v>
      </c>
      <c r="D19" s="10"/>
      <c r="E19" s="10"/>
      <c r="F19" s="10"/>
      <c r="G19" s="10" t="s">
        <v>235</v>
      </c>
      <c r="H19" s="10"/>
      <c r="I19" s="10"/>
      <c r="J19" s="97">
        <v>0.0</v>
      </c>
      <c r="K19" s="97">
        <v>0.0</v>
      </c>
      <c r="L19" s="97">
        <v>0.0</v>
      </c>
      <c r="M19" s="97">
        <v>0.0</v>
      </c>
      <c r="N19" s="97">
        <v>0.0</v>
      </c>
      <c r="O19" s="97">
        <v>0.0</v>
      </c>
      <c r="P19" s="97">
        <v>0.0</v>
      </c>
      <c r="Q19" s="97">
        <v>0.0</v>
      </c>
      <c r="R19" s="97">
        <v>0.0</v>
      </c>
      <c r="S19" s="97">
        <v>0.0</v>
      </c>
      <c r="T19" s="97">
        <v>0.0</v>
      </c>
      <c r="U19" s="97">
        <v>0.0</v>
      </c>
      <c r="V19" s="97">
        <v>0.0</v>
      </c>
      <c r="W19" s="10"/>
      <c r="X19" s="10"/>
      <c r="Y19" s="10"/>
      <c r="Z19" s="10"/>
      <c r="AA19" s="10"/>
      <c r="AB19" s="10"/>
      <c r="AC19" s="10"/>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期末商品棚卸（見出し）</v>
      </c>
      <c r="D20" s="10"/>
      <c r="E20" s="10"/>
      <c r="F20" s="10"/>
      <c r="G20" s="10" t="s">
        <v>368</v>
      </c>
      <c r="H20" s="10"/>
      <c r="I20" s="10"/>
      <c r="J20" s="97">
        <v>-1056609.0</v>
      </c>
      <c r="K20" s="97">
        <v>-2637698.0</v>
      </c>
      <c r="L20" s="97">
        <v>0.0</v>
      </c>
      <c r="M20" s="97">
        <v>0.0</v>
      </c>
      <c r="N20" s="97">
        <v>0.0</v>
      </c>
      <c r="O20" s="97">
        <v>0.0</v>
      </c>
      <c r="P20" s="97">
        <v>0.0</v>
      </c>
      <c r="Q20" s="97">
        <v>0.0</v>
      </c>
      <c r="R20" s="97">
        <v>0.0</v>
      </c>
      <c r="S20" s="97">
        <v>0.0</v>
      </c>
      <c r="T20" s="97">
        <v>0.0</v>
      </c>
      <c r="U20" s="97">
        <v>0.0</v>
      </c>
      <c r="V20" s="97">
        <v>-3694307.0</v>
      </c>
      <c r="W20" s="10"/>
      <c r="X20" s="10"/>
      <c r="Y20" s="10"/>
      <c r="Z20" s="10"/>
      <c r="AA20" s="10"/>
      <c r="AB20" s="10"/>
      <c r="AC20" s="10"/>
    </row>
    <row r="21" ht="15.75" customHeight="1">
      <c r="A21" s="59" t="str">
        <f t="array" ref="A21">XLOOKUP(C21, 'マスタ'!$C$2:$C$312, 'マスタ'!$D$2:$D$312, "マスタ未登録")</f>
        <v>期末商品棚卸高</v>
      </c>
      <c r="B21" s="53" t="str">
        <f>IF(AND(C21&lt;&gt;"", COUNTIF('マスタ'!$C:$C, C21)=0), "マスタ未登録", "")</f>
        <v/>
      </c>
      <c r="C21" s="53" t="str">
        <f t="shared" si="1"/>
        <v>期末商品棚卸高</v>
      </c>
      <c r="D21" s="10"/>
      <c r="E21" s="10"/>
      <c r="F21" s="10"/>
      <c r="G21" s="10"/>
      <c r="H21" s="10" t="s">
        <v>71</v>
      </c>
      <c r="I21" s="10"/>
      <c r="J21" s="97">
        <v>-1056609.0</v>
      </c>
      <c r="K21" s="97">
        <v>-2637698.0</v>
      </c>
      <c r="L21" s="97">
        <v>0.0</v>
      </c>
      <c r="M21" s="97">
        <v>0.0</v>
      </c>
      <c r="N21" s="97">
        <v>0.0</v>
      </c>
      <c r="O21" s="97">
        <v>0.0</v>
      </c>
      <c r="P21" s="97">
        <v>0.0</v>
      </c>
      <c r="Q21" s="97">
        <v>0.0</v>
      </c>
      <c r="R21" s="97">
        <v>0.0</v>
      </c>
      <c r="S21" s="97">
        <v>0.0</v>
      </c>
      <c r="T21" s="97">
        <v>0.0</v>
      </c>
      <c r="U21" s="97">
        <v>0.0</v>
      </c>
      <c r="V21" s="97">
        <v>-3694307.0</v>
      </c>
      <c r="W21" s="10"/>
      <c r="X21" s="10"/>
      <c r="Y21" s="10"/>
      <c r="Z21" s="10"/>
      <c r="AA21" s="10"/>
      <c r="AB21" s="10"/>
      <c r="AC21" s="10"/>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商品売上原価</v>
      </c>
      <c r="D22" s="10"/>
      <c r="E22" s="10"/>
      <c r="F22" s="10" t="s">
        <v>3</v>
      </c>
      <c r="G22" s="10"/>
      <c r="H22" s="10"/>
      <c r="I22" s="10"/>
      <c r="J22" s="97">
        <v>4.8118946E7</v>
      </c>
      <c r="K22" s="97">
        <v>3753998.0</v>
      </c>
      <c r="L22" s="97">
        <v>0.0</v>
      </c>
      <c r="M22" s="97">
        <v>0.0</v>
      </c>
      <c r="N22" s="97">
        <v>0.0</v>
      </c>
      <c r="O22" s="97">
        <v>0.0</v>
      </c>
      <c r="P22" s="97">
        <v>0.0</v>
      </c>
      <c r="Q22" s="97">
        <v>0.0</v>
      </c>
      <c r="R22" s="97">
        <v>0.0</v>
      </c>
      <c r="S22" s="97">
        <v>0.0</v>
      </c>
      <c r="T22" s="97">
        <v>0.0</v>
      </c>
      <c r="U22" s="97">
        <v>0.0</v>
      </c>
      <c r="V22" s="97">
        <v>5.1872944E7</v>
      </c>
      <c r="W22" s="10"/>
      <c r="X22" s="10"/>
      <c r="Y22" s="10"/>
      <c r="Z22" s="10"/>
      <c r="AA22" s="10"/>
      <c r="AB22" s="10"/>
      <c r="AC22" s="10"/>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売上総損益金額</v>
      </c>
      <c r="D23" s="10" t="s">
        <v>237</v>
      </c>
      <c r="E23" s="10"/>
      <c r="F23" s="10"/>
      <c r="G23" s="10"/>
      <c r="H23" s="10"/>
      <c r="I23" s="10"/>
      <c r="J23" s="97">
        <v>2.8081558E7</v>
      </c>
      <c r="K23" s="97">
        <v>-3753998.0</v>
      </c>
      <c r="L23" s="97">
        <v>0.0</v>
      </c>
      <c r="M23" s="97">
        <v>0.0</v>
      </c>
      <c r="N23" s="97">
        <v>0.0</v>
      </c>
      <c r="O23" s="97">
        <v>0.0</v>
      </c>
      <c r="P23" s="97">
        <v>0.0</v>
      </c>
      <c r="Q23" s="97">
        <v>0.0</v>
      </c>
      <c r="R23" s="97">
        <v>0.0</v>
      </c>
      <c r="S23" s="97">
        <v>0.0</v>
      </c>
      <c r="T23" s="97">
        <v>0.0</v>
      </c>
      <c r="U23" s="97">
        <v>0.0</v>
      </c>
      <c r="V23" s="97">
        <v>2.432756E7</v>
      </c>
      <c r="W23" s="10"/>
      <c r="X23" s="10"/>
      <c r="Y23" s="10"/>
      <c r="Z23" s="10"/>
      <c r="AA23" s="10"/>
      <c r="AB23" s="10"/>
      <c r="AC23" s="10"/>
    </row>
    <row r="24" ht="15.75" customHeight="1">
      <c r="A24" s="59" t="str">
        <f t="array" ref="A24">XLOOKUP(C24, 'マスタ'!$C$2:$C$312, 'マスタ'!$D$2:$D$312, "マスタ未登録")</f>
        <v>マスタ未登録</v>
      </c>
      <c r="B24" s="53" t="str">
        <f>IF(AND(C24&lt;&gt;"", COUNTIF('マスタ'!$C:$C, C24)=0), "マスタ未登録", "")</f>
        <v>マスタ未登録</v>
      </c>
      <c r="C24" s="53" t="str">
        <f t="shared" si="1"/>
        <v>販売管理費</v>
      </c>
      <c r="D24" s="10"/>
      <c r="E24" s="10" t="s">
        <v>238</v>
      </c>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ht="15.75" customHeight="1">
      <c r="A25" s="59" t="str">
        <f t="array" ref="A25">XLOOKUP(C25, 'マスタ'!$C$2:$C$312, 'マスタ'!$D$2:$D$312, "マスタ未登録")</f>
        <v>販売促進費</v>
      </c>
      <c r="B25" s="53" t="str">
        <f>IF(AND(C25&lt;&gt;"", COUNTIF('マスタ'!$C:$C, C25)=0), "マスタ未登録", "")</f>
        <v/>
      </c>
      <c r="C25" s="53" t="str">
        <f t="shared" si="1"/>
        <v>販売促進費</v>
      </c>
      <c r="D25" s="10"/>
      <c r="E25" s="10"/>
      <c r="F25" s="10" t="s">
        <v>101</v>
      </c>
      <c r="G25" s="10"/>
      <c r="H25" s="10"/>
      <c r="I25" s="10"/>
      <c r="J25" s="97">
        <v>3109000.0</v>
      </c>
      <c r="K25" s="97">
        <v>0.0</v>
      </c>
      <c r="L25" s="97">
        <v>0.0</v>
      </c>
      <c r="M25" s="97">
        <v>0.0</v>
      </c>
      <c r="N25" s="97">
        <v>0.0</v>
      </c>
      <c r="O25" s="97">
        <v>0.0</v>
      </c>
      <c r="P25" s="97">
        <v>0.0</v>
      </c>
      <c r="Q25" s="97">
        <v>0.0</v>
      </c>
      <c r="R25" s="97">
        <v>0.0</v>
      </c>
      <c r="S25" s="97">
        <v>0.0</v>
      </c>
      <c r="T25" s="97">
        <v>0.0</v>
      </c>
      <c r="U25" s="97">
        <v>0.0</v>
      </c>
      <c r="V25" s="97">
        <v>3109000.0</v>
      </c>
      <c r="W25" s="10"/>
      <c r="X25" s="10"/>
      <c r="Y25" s="10"/>
      <c r="Z25" s="10"/>
      <c r="AA25" s="10"/>
      <c r="AB25" s="10"/>
      <c r="AC25" s="10"/>
    </row>
    <row r="26" ht="15.75" customHeight="1">
      <c r="A26" s="59" t="str">
        <f t="array" ref="A26">XLOOKUP(C26, 'マスタ'!$C$2:$C$312, 'マスタ'!$D$2:$D$312, "マスタ未登録")</f>
        <v>広告宣伝費</v>
      </c>
      <c r="B26" s="53" t="str">
        <f>IF(AND(C26&lt;&gt;"", COUNTIF('マスタ'!$C:$C, C26)=0), "マスタ未登録", "")</f>
        <v/>
      </c>
      <c r="C26" s="53" t="str">
        <f t="shared" si="1"/>
        <v>広告宣伝費</v>
      </c>
      <c r="D26" s="10"/>
      <c r="E26" s="10"/>
      <c r="F26" s="10" t="s">
        <v>81</v>
      </c>
      <c r="G26" s="10"/>
      <c r="H26" s="10"/>
      <c r="I26" s="10"/>
      <c r="J26" s="97">
        <v>117855.0</v>
      </c>
      <c r="K26" s="97">
        <v>0.0</v>
      </c>
      <c r="L26" s="97">
        <v>0.0</v>
      </c>
      <c r="M26" s="97">
        <v>0.0</v>
      </c>
      <c r="N26" s="97">
        <v>0.0</v>
      </c>
      <c r="O26" s="97">
        <v>0.0</v>
      </c>
      <c r="P26" s="97">
        <v>0.0</v>
      </c>
      <c r="Q26" s="97">
        <v>0.0</v>
      </c>
      <c r="R26" s="97">
        <v>0.0</v>
      </c>
      <c r="S26" s="97">
        <v>0.0</v>
      </c>
      <c r="T26" s="97">
        <v>0.0</v>
      </c>
      <c r="U26" s="97">
        <v>0.0</v>
      </c>
      <c r="V26" s="97">
        <v>117855.0</v>
      </c>
      <c r="W26" s="10"/>
      <c r="X26" s="10"/>
      <c r="Y26" s="10"/>
      <c r="Z26" s="10"/>
      <c r="AA26" s="10"/>
      <c r="AB26" s="10"/>
      <c r="AC26" s="10"/>
    </row>
    <row r="27" ht="15.75" customHeight="1">
      <c r="A27" s="59" t="str">
        <f t="array" ref="A27">XLOOKUP(C27, 'マスタ'!$C$2:$C$312, 'マスタ'!$D$2:$D$312, "マスタ未登録")</f>
        <v>荷造運賃</v>
      </c>
      <c r="B27" s="53" t="str">
        <f>IF(AND(C27&lt;&gt;"", COUNTIF('マスタ'!$C:$C, C27)=0), "マスタ未登録", "")</f>
        <v/>
      </c>
      <c r="C27" s="53" t="str">
        <f t="shared" si="1"/>
        <v>荷造運賃</v>
      </c>
      <c r="D27" s="10"/>
      <c r="E27" s="10"/>
      <c r="F27" s="10" t="s">
        <v>80</v>
      </c>
      <c r="G27" s="10"/>
      <c r="H27" s="10"/>
      <c r="I27" s="10"/>
      <c r="J27" s="97">
        <v>2406398.0</v>
      </c>
      <c r="K27" s="97">
        <v>0.0</v>
      </c>
      <c r="L27" s="97">
        <v>0.0</v>
      </c>
      <c r="M27" s="97">
        <v>0.0</v>
      </c>
      <c r="N27" s="97">
        <v>0.0</v>
      </c>
      <c r="O27" s="97">
        <v>0.0</v>
      </c>
      <c r="P27" s="97">
        <v>0.0</v>
      </c>
      <c r="Q27" s="97">
        <v>0.0</v>
      </c>
      <c r="R27" s="97">
        <v>0.0</v>
      </c>
      <c r="S27" s="97">
        <v>0.0</v>
      </c>
      <c r="T27" s="97">
        <v>0.0</v>
      </c>
      <c r="U27" s="97">
        <v>0.0</v>
      </c>
      <c r="V27" s="97">
        <v>2406398.0</v>
      </c>
      <c r="W27" s="10"/>
      <c r="X27" s="10"/>
      <c r="Y27" s="10"/>
      <c r="Z27" s="10"/>
      <c r="AA27" s="10"/>
      <c r="AB27" s="10"/>
      <c r="AC27" s="10"/>
    </row>
    <row r="28" ht="15.75" customHeight="1">
      <c r="A28" s="59" t="str">
        <f t="array" ref="A28">XLOOKUP(C28, 'マスタ'!$C$2:$C$312, 'マスタ'!$D$2:$D$312, "マスタ未登録")</f>
        <v>支払手数料</v>
      </c>
      <c r="B28" s="53" t="str">
        <f>IF(AND(C28&lt;&gt;"", COUNTIF('マスタ'!$C:$C, C28)=0), "マスタ未登録", "")</f>
        <v/>
      </c>
      <c r="C28" s="53" t="str">
        <f t="shared" si="1"/>
        <v>支払手数料</v>
      </c>
      <c r="D28" s="10"/>
      <c r="E28" s="10"/>
      <c r="F28" s="10" t="s">
        <v>92</v>
      </c>
      <c r="G28" s="10"/>
      <c r="H28" s="10"/>
      <c r="I28" s="10"/>
      <c r="J28" s="97">
        <v>4149491.0</v>
      </c>
      <c r="K28" s="97">
        <v>0.0</v>
      </c>
      <c r="L28" s="97">
        <v>0.0</v>
      </c>
      <c r="M28" s="97">
        <v>0.0</v>
      </c>
      <c r="N28" s="97">
        <v>0.0</v>
      </c>
      <c r="O28" s="97">
        <v>0.0</v>
      </c>
      <c r="P28" s="97">
        <v>0.0</v>
      </c>
      <c r="Q28" s="97">
        <v>0.0</v>
      </c>
      <c r="R28" s="97">
        <v>0.0</v>
      </c>
      <c r="S28" s="97">
        <v>0.0</v>
      </c>
      <c r="T28" s="97">
        <v>0.0</v>
      </c>
      <c r="U28" s="97">
        <v>0.0</v>
      </c>
      <c r="V28" s="97">
        <v>4149491.0</v>
      </c>
      <c r="W28" s="10"/>
      <c r="X28" s="10"/>
      <c r="Y28" s="10"/>
      <c r="Z28" s="10"/>
      <c r="AA28" s="10"/>
      <c r="AB28" s="10"/>
      <c r="AC28" s="10"/>
    </row>
    <row r="29" ht="15.75" customHeight="1">
      <c r="A29" s="59" t="str">
        <f t="array" ref="A29">XLOOKUP(C29, 'マスタ'!$C$2:$C$312, 'マスタ'!$D$2:$D$312, "マスタ未登録")</f>
        <v>租税公課</v>
      </c>
      <c r="B29" s="53" t="str">
        <f>IF(AND(C29&lt;&gt;"", COUNTIF('マスタ'!$C:$C, C29)=0), "マスタ未登録", "")</f>
        <v/>
      </c>
      <c r="C29" s="53" t="str">
        <f t="shared" si="1"/>
        <v>租税公課</v>
      </c>
      <c r="D29" s="10"/>
      <c r="E29" s="10"/>
      <c r="F29" s="10" t="s">
        <v>91</v>
      </c>
      <c r="G29" s="10"/>
      <c r="H29" s="10"/>
      <c r="I29" s="10"/>
      <c r="J29" s="97">
        <v>2450.0</v>
      </c>
      <c r="K29" s="97">
        <v>0.0</v>
      </c>
      <c r="L29" s="97">
        <v>0.0</v>
      </c>
      <c r="M29" s="97">
        <v>0.0</v>
      </c>
      <c r="N29" s="97">
        <v>0.0</v>
      </c>
      <c r="O29" s="97">
        <v>0.0</v>
      </c>
      <c r="P29" s="97">
        <v>0.0</v>
      </c>
      <c r="Q29" s="97">
        <v>0.0</v>
      </c>
      <c r="R29" s="97">
        <v>0.0</v>
      </c>
      <c r="S29" s="97">
        <v>0.0</v>
      </c>
      <c r="T29" s="97">
        <v>0.0</v>
      </c>
      <c r="U29" s="97">
        <v>0.0</v>
      </c>
      <c r="V29" s="97">
        <v>2450.0</v>
      </c>
      <c r="W29" s="10"/>
      <c r="X29" s="10"/>
      <c r="Y29" s="10"/>
      <c r="Z29" s="10"/>
      <c r="AA29" s="10"/>
      <c r="AB29" s="10"/>
      <c r="AC29" s="10"/>
    </row>
    <row r="30" ht="15.75" customHeight="1">
      <c r="A30" s="59" t="str">
        <f t="array" ref="A30">XLOOKUP(C30, 'マスタ'!$C$2:$C$312, 'マスタ'!$D$2:$D$312, "マスタ未登録")</f>
        <v>マスタ未登録</v>
      </c>
      <c r="B30" s="53" t="str">
        <f>IF(AND(C30&lt;&gt;"", COUNTIF('マスタ'!$C:$C, C30)=0), "マスタ未登録", "")</f>
        <v>マスタ未登録</v>
      </c>
      <c r="C30" s="53" t="str">
        <f t="shared" si="1"/>
        <v>販売管理費 計</v>
      </c>
      <c r="D30" s="10"/>
      <c r="E30" s="10" t="s">
        <v>183</v>
      </c>
      <c r="F30" s="10"/>
      <c r="G30" s="10"/>
      <c r="H30" s="10"/>
      <c r="I30" s="10"/>
      <c r="J30" s="97">
        <v>9785194.0</v>
      </c>
      <c r="K30" s="97">
        <v>0.0</v>
      </c>
      <c r="L30" s="97">
        <v>0.0</v>
      </c>
      <c r="M30" s="97">
        <v>0.0</v>
      </c>
      <c r="N30" s="97">
        <v>0.0</v>
      </c>
      <c r="O30" s="97">
        <v>0.0</v>
      </c>
      <c r="P30" s="97">
        <v>0.0</v>
      </c>
      <c r="Q30" s="97">
        <v>0.0</v>
      </c>
      <c r="R30" s="97">
        <v>0.0</v>
      </c>
      <c r="S30" s="97">
        <v>0.0</v>
      </c>
      <c r="T30" s="97">
        <v>0.0</v>
      </c>
      <c r="U30" s="97">
        <v>0.0</v>
      </c>
      <c r="V30" s="97">
        <v>9785194.0</v>
      </c>
      <c r="W30" s="10"/>
      <c r="X30" s="10"/>
      <c r="Y30" s="10"/>
      <c r="Z30" s="10"/>
      <c r="AA30" s="10"/>
      <c r="AB30" s="10"/>
      <c r="AC30" s="10"/>
    </row>
    <row r="31" ht="15.75" customHeight="1">
      <c r="A31" s="59" t="str">
        <f t="array" ref="A31">XLOOKUP(C31, 'マスタ'!$C$2:$C$312, 'マスタ'!$D$2:$D$312, "マスタ未登録")</f>
        <v>マスタ未登録</v>
      </c>
      <c r="B31" s="53" t="str">
        <f>IF(AND(C31&lt;&gt;"", COUNTIF('マスタ'!$C:$C, C31)=0), "マスタ未登録", "")</f>
        <v>マスタ未登録</v>
      </c>
      <c r="C31" s="53" t="str">
        <f t="shared" si="1"/>
        <v>営業損益金額</v>
      </c>
      <c r="D31" s="10" t="s">
        <v>184</v>
      </c>
      <c r="E31" s="10"/>
      <c r="F31" s="10"/>
      <c r="G31" s="10"/>
      <c r="H31" s="10"/>
      <c r="I31" s="10"/>
      <c r="J31" s="97">
        <v>1.8296364E7</v>
      </c>
      <c r="K31" s="97">
        <v>-3753998.0</v>
      </c>
      <c r="L31" s="97">
        <v>0.0</v>
      </c>
      <c r="M31" s="97">
        <v>0.0</v>
      </c>
      <c r="N31" s="97">
        <v>0.0</v>
      </c>
      <c r="O31" s="97">
        <v>0.0</v>
      </c>
      <c r="P31" s="97">
        <v>0.0</v>
      </c>
      <c r="Q31" s="97">
        <v>0.0</v>
      </c>
      <c r="R31" s="97">
        <v>0.0</v>
      </c>
      <c r="S31" s="97">
        <v>0.0</v>
      </c>
      <c r="T31" s="97">
        <v>0.0</v>
      </c>
      <c r="U31" s="97">
        <v>0.0</v>
      </c>
      <c r="V31" s="97">
        <v>1.4542366E7</v>
      </c>
      <c r="W31" s="10"/>
      <c r="X31" s="10"/>
      <c r="Y31" s="10"/>
      <c r="Z31" s="10"/>
      <c r="AA31" s="10"/>
      <c r="AB31" s="10"/>
      <c r="AC31" s="10"/>
    </row>
    <row r="32" ht="15.75" customHeight="1">
      <c r="A32" s="59" t="str">
        <f t="array" ref="A32">XLOOKUP(C32, 'マスタ'!$C$2:$C$312, 'マスタ'!$D$2:$D$312, "マスタ未登録")</f>
        <v>マスタ未登録</v>
      </c>
      <c r="B32" s="53" t="str">
        <f>IF(AND(C32&lt;&gt;"", COUNTIF('マスタ'!$C:$C, C32)=0), "マスタ未登録", "")</f>
        <v>マスタ未登録</v>
      </c>
      <c r="C32" s="53" t="str">
        <f t="shared" si="1"/>
        <v>営業外収益</v>
      </c>
      <c r="D32" s="10"/>
      <c r="E32" s="10" t="s">
        <v>32</v>
      </c>
      <c r="F32" s="10"/>
      <c r="G32" s="10"/>
      <c r="H32" s="10"/>
      <c r="I32" s="10"/>
      <c r="J32" s="97">
        <v>0.0</v>
      </c>
      <c r="K32" s="97">
        <v>0.0</v>
      </c>
      <c r="L32" s="97">
        <v>0.0</v>
      </c>
      <c r="M32" s="97">
        <v>0.0</v>
      </c>
      <c r="N32" s="97">
        <v>0.0</v>
      </c>
      <c r="O32" s="97">
        <v>0.0</v>
      </c>
      <c r="P32" s="97">
        <v>0.0</v>
      </c>
      <c r="Q32" s="97">
        <v>0.0</v>
      </c>
      <c r="R32" s="97">
        <v>0.0</v>
      </c>
      <c r="S32" s="97">
        <v>0.0</v>
      </c>
      <c r="T32" s="97">
        <v>0.0</v>
      </c>
      <c r="U32" s="97">
        <v>0.0</v>
      </c>
      <c r="V32" s="97">
        <v>0.0</v>
      </c>
      <c r="W32" s="10"/>
      <c r="X32" s="10"/>
      <c r="Y32" s="10"/>
      <c r="Z32" s="10"/>
      <c r="AA32" s="10"/>
      <c r="AB32" s="10"/>
      <c r="AC32" s="10"/>
    </row>
    <row r="33" ht="15.75" customHeight="1">
      <c r="A33" s="59" t="str">
        <f t="array" ref="A33">XLOOKUP(C33, 'マスタ'!$C$2:$C$312, 'マスタ'!$D$2:$D$312, "マスタ未登録")</f>
        <v>マスタ未登録</v>
      </c>
      <c r="B33" s="53" t="str">
        <f>IF(AND(C33&lt;&gt;"", COUNTIF('マスタ'!$C:$C, C33)=0), "マスタ未登録", "")</f>
        <v>マスタ未登録</v>
      </c>
      <c r="C33" s="53" t="str">
        <f t="shared" si="1"/>
        <v>営業外費用</v>
      </c>
      <c r="D33" s="10"/>
      <c r="E33" s="10" t="s">
        <v>34</v>
      </c>
      <c r="F33" s="10"/>
      <c r="G33" s="10"/>
      <c r="H33" s="10"/>
      <c r="I33" s="10"/>
      <c r="J33" s="97">
        <v>0.0</v>
      </c>
      <c r="K33" s="97">
        <v>0.0</v>
      </c>
      <c r="L33" s="97">
        <v>0.0</v>
      </c>
      <c r="M33" s="97">
        <v>0.0</v>
      </c>
      <c r="N33" s="97">
        <v>0.0</v>
      </c>
      <c r="O33" s="97">
        <v>0.0</v>
      </c>
      <c r="P33" s="97">
        <v>0.0</v>
      </c>
      <c r="Q33" s="97">
        <v>0.0</v>
      </c>
      <c r="R33" s="97">
        <v>0.0</v>
      </c>
      <c r="S33" s="97">
        <v>0.0</v>
      </c>
      <c r="T33" s="97">
        <v>0.0</v>
      </c>
      <c r="U33" s="97">
        <v>0.0</v>
      </c>
      <c r="V33" s="97">
        <v>0.0</v>
      </c>
      <c r="W33" s="10"/>
      <c r="X33" s="10"/>
      <c r="Y33" s="10"/>
      <c r="Z33" s="10"/>
      <c r="AA33" s="10"/>
      <c r="AB33" s="10"/>
      <c r="AC33" s="10"/>
    </row>
    <row r="34" ht="15.75" customHeight="1">
      <c r="A34" s="59" t="str">
        <f t="array" ref="A34">XLOOKUP(C34, 'マスタ'!$C$2:$C$312, 'マスタ'!$D$2:$D$312, "マスタ未登録")</f>
        <v>マスタ未登録</v>
      </c>
      <c r="B34" s="53" t="str">
        <f>IF(AND(C34&lt;&gt;"", COUNTIF('マスタ'!$C:$C, C34)=0), "マスタ未登録", "")</f>
        <v>マスタ未登録</v>
      </c>
      <c r="C34" s="53" t="str">
        <f t="shared" si="1"/>
        <v>経常損益金額</v>
      </c>
      <c r="D34" s="10" t="s">
        <v>112</v>
      </c>
      <c r="E34" s="10"/>
      <c r="F34" s="10"/>
      <c r="G34" s="10"/>
      <c r="H34" s="10"/>
      <c r="I34" s="10"/>
      <c r="J34" s="97">
        <v>1.8296364E7</v>
      </c>
      <c r="K34" s="97">
        <v>-3753998.0</v>
      </c>
      <c r="L34" s="97">
        <v>0.0</v>
      </c>
      <c r="M34" s="97">
        <v>0.0</v>
      </c>
      <c r="N34" s="97">
        <v>0.0</v>
      </c>
      <c r="O34" s="97">
        <v>0.0</v>
      </c>
      <c r="P34" s="97">
        <v>0.0</v>
      </c>
      <c r="Q34" s="97">
        <v>0.0</v>
      </c>
      <c r="R34" s="97">
        <v>0.0</v>
      </c>
      <c r="S34" s="97">
        <v>0.0</v>
      </c>
      <c r="T34" s="97">
        <v>0.0</v>
      </c>
      <c r="U34" s="97">
        <v>0.0</v>
      </c>
      <c r="V34" s="97">
        <v>1.4542366E7</v>
      </c>
      <c r="W34" s="10"/>
      <c r="X34" s="10"/>
      <c r="Y34" s="10"/>
      <c r="Z34" s="10"/>
      <c r="AA34" s="10"/>
      <c r="AB34" s="10"/>
      <c r="AC34" s="10"/>
    </row>
    <row r="35" ht="15.75" customHeight="1">
      <c r="A35" s="59" t="str">
        <f t="array" ref="A35">XLOOKUP(C35, 'マスタ'!$C$2:$C$312, 'マスタ'!$D$2:$D$312, "マスタ未登録")</f>
        <v>マスタ未登録</v>
      </c>
      <c r="B35" s="53" t="str">
        <f>IF(AND(C35&lt;&gt;"", COUNTIF('マスタ'!$C:$C, C35)=0), "マスタ未登録", "")</f>
        <v>マスタ未登録</v>
      </c>
      <c r="C35" s="53" t="str">
        <f t="shared" si="1"/>
        <v>特別利益</v>
      </c>
      <c r="D35" s="10"/>
      <c r="E35" s="10" t="s">
        <v>37</v>
      </c>
      <c r="F35" s="10"/>
      <c r="G35" s="10"/>
      <c r="H35" s="10"/>
      <c r="I35" s="10"/>
      <c r="J35" s="97">
        <v>0.0</v>
      </c>
      <c r="K35" s="97">
        <v>0.0</v>
      </c>
      <c r="L35" s="97">
        <v>0.0</v>
      </c>
      <c r="M35" s="97">
        <v>0.0</v>
      </c>
      <c r="N35" s="97">
        <v>0.0</v>
      </c>
      <c r="O35" s="97">
        <v>0.0</v>
      </c>
      <c r="P35" s="97">
        <v>0.0</v>
      </c>
      <c r="Q35" s="97">
        <v>0.0</v>
      </c>
      <c r="R35" s="97">
        <v>0.0</v>
      </c>
      <c r="S35" s="97">
        <v>0.0</v>
      </c>
      <c r="T35" s="97">
        <v>0.0</v>
      </c>
      <c r="U35" s="97">
        <v>0.0</v>
      </c>
      <c r="V35" s="97">
        <v>0.0</v>
      </c>
      <c r="W35" s="10"/>
      <c r="X35" s="10"/>
      <c r="Y35" s="10"/>
      <c r="Z35" s="10"/>
      <c r="AA35" s="10"/>
      <c r="AB35" s="10"/>
      <c r="AC35" s="10"/>
    </row>
    <row r="36" ht="15.75" customHeight="1">
      <c r="A36" s="59" t="str">
        <f t="array" ref="A36">XLOOKUP(C36, 'マスタ'!$C$2:$C$312, 'マスタ'!$D$2:$D$312, "マスタ未登録")</f>
        <v>マスタ未登録</v>
      </c>
      <c r="B36" s="53" t="str">
        <f>IF(AND(C36&lt;&gt;"", COUNTIF('マスタ'!$C:$C, C36)=0), "マスタ未登録", "")</f>
        <v>マスタ未登録</v>
      </c>
      <c r="C36" s="53" t="str">
        <f t="shared" si="1"/>
        <v>特別損失</v>
      </c>
      <c r="D36" s="10"/>
      <c r="E36" s="10" t="s">
        <v>39</v>
      </c>
      <c r="F36" s="10"/>
      <c r="G36" s="10"/>
      <c r="H36" s="10"/>
      <c r="I36" s="10"/>
      <c r="J36" s="97">
        <v>0.0</v>
      </c>
      <c r="K36" s="97">
        <v>0.0</v>
      </c>
      <c r="L36" s="97">
        <v>0.0</v>
      </c>
      <c r="M36" s="97">
        <v>0.0</v>
      </c>
      <c r="N36" s="97">
        <v>0.0</v>
      </c>
      <c r="O36" s="97">
        <v>0.0</v>
      </c>
      <c r="P36" s="97">
        <v>0.0</v>
      </c>
      <c r="Q36" s="97">
        <v>0.0</v>
      </c>
      <c r="R36" s="97">
        <v>0.0</v>
      </c>
      <c r="S36" s="97">
        <v>0.0</v>
      </c>
      <c r="T36" s="97">
        <v>0.0</v>
      </c>
      <c r="U36" s="97">
        <v>0.0</v>
      </c>
      <c r="V36" s="97">
        <v>0.0</v>
      </c>
      <c r="W36" s="10"/>
      <c r="X36" s="10"/>
      <c r="Y36" s="10"/>
      <c r="Z36" s="10"/>
      <c r="AA36" s="10"/>
      <c r="AB36" s="10"/>
      <c r="AC36" s="10"/>
    </row>
    <row r="37" ht="15.75" customHeight="1">
      <c r="A37" s="59" t="str">
        <f t="array" ref="A37">XLOOKUP(C37, 'マスタ'!$C$2:$C$312, 'マスタ'!$D$2:$D$312, "マスタ未登録")</f>
        <v>マスタ未登録</v>
      </c>
      <c r="B37" s="53" t="str">
        <f>IF(AND(C37&lt;&gt;"", COUNTIF('マスタ'!$C:$C, C37)=0), "マスタ未登録", "")</f>
        <v>マスタ未登録</v>
      </c>
      <c r="C37" s="53" t="str">
        <f t="shared" si="1"/>
        <v>税引前当期純損益金額</v>
      </c>
      <c r="D37" s="10" t="s">
        <v>117</v>
      </c>
      <c r="E37" s="10"/>
      <c r="F37" s="10"/>
      <c r="G37" s="10"/>
      <c r="H37" s="10"/>
      <c r="I37" s="10"/>
      <c r="J37" s="97">
        <v>1.8296364E7</v>
      </c>
      <c r="K37" s="97">
        <v>-3753998.0</v>
      </c>
      <c r="L37" s="97">
        <v>0.0</v>
      </c>
      <c r="M37" s="97">
        <v>0.0</v>
      </c>
      <c r="N37" s="97">
        <v>0.0</v>
      </c>
      <c r="O37" s="97">
        <v>0.0</v>
      </c>
      <c r="P37" s="97">
        <v>0.0</v>
      </c>
      <c r="Q37" s="97">
        <v>0.0</v>
      </c>
      <c r="R37" s="97">
        <v>0.0</v>
      </c>
      <c r="S37" s="97">
        <v>0.0</v>
      </c>
      <c r="T37" s="97">
        <v>0.0</v>
      </c>
      <c r="U37" s="97">
        <v>0.0</v>
      </c>
      <c r="V37" s="97">
        <v>1.4542366E7</v>
      </c>
      <c r="W37" s="10"/>
      <c r="X37" s="10"/>
      <c r="Y37" s="10"/>
      <c r="Z37" s="10"/>
      <c r="AA37" s="10"/>
      <c r="AB37" s="10"/>
      <c r="AC37" s="10"/>
    </row>
    <row r="38" ht="15.75" customHeight="1">
      <c r="A38" s="59" t="str">
        <f t="array" ref="A38">XLOOKUP(C38, 'マスタ'!$C$2:$C$312, 'マスタ'!$D$2:$D$312, "マスタ未登録")</f>
        <v>法人税等</v>
      </c>
      <c r="B38" s="53" t="str">
        <f>IF(AND(C38&lt;&gt;"", COUNTIF('マスタ'!$C:$C, C38)=0), "マスタ未登録", "")</f>
        <v/>
      </c>
      <c r="C38" s="53" t="str">
        <f t="shared" si="1"/>
        <v>法人税等</v>
      </c>
      <c r="D38" s="10"/>
      <c r="E38" s="10" t="s">
        <v>43</v>
      </c>
      <c r="F38" s="10"/>
      <c r="G38" s="10"/>
      <c r="H38" s="10"/>
      <c r="I38" s="10"/>
      <c r="J38" s="97">
        <v>0.0</v>
      </c>
      <c r="K38" s="97">
        <v>0.0</v>
      </c>
      <c r="L38" s="97">
        <v>0.0</v>
      </c>
      <c r="M38" s="97">
        <v>0.0</v>
      </c>
      <c r="N38" s="97">
        <v>0.0</v>
      </c>
      <c r="O38" s="97">
        <v>0.0</v>
      </c>
      <c r="P38" s="97">
        <v>0.0</v>
      </c>
      <c r="Q38" s="97">
        <v>0.0</v>
      </c>
      <c r="R38" s="97">
        <v>0.0</v>
      </c>
      <c r="S38" s="97">
        <v>0.0</v>
      </c>
      <c r="T38" s="97">
        <v>0.0</v>
      </c>
      <c r="U38" s="97">
        <v>0.0</v>
      </c>
      <c r="V38" s="97">
        <v>0.0</v>
      </c>
      <c r="W38" s="10"/>
      <c r="X38" s="10"/>
      <c r="Y38" s="10"/>
      <c r="Z38" s="10"/>
      <c r="AA38" s="10"/>
      <c r="AB38" s="10"/>
      <c r="AC38" s="10"/>
    </row>
    <row r="39" ht="15.75" customHeight="1">
      <c r="A39" s="59" t="str">
        <f t="array" ref="A39">XLOOKUP(C39, 'マスタ'!$C$2:$C$312, 'マスタ'!$D$2:$D$312, "マスタ未登録")</f>
        <v>法人税等調整額</v>
      </c>
      <c r="B39" s="53" t="str">
        <f>IF(AND(C39&lt;&gt;"", COUNTIF('マスタ'!$C:$C, C39)=0), "マスタ未登録", "")</f>
        <v/>
      </c>
      <c r="C39" s="53" t="str">
        <f t="shared" si="1"/>
        <v>法人税等調整額</v>
      </c>
      <c r="D39" s="10"/>
      <c r="E39" s="10" t="s">
        <v>118</v>
      </c>
      <c r="F39" s="10"/>
      <c r="G39" s="10"/>
      <c r="H39" s="10"/>
      <c r="I39" s="10"/>
      <c r="J39" s="97">
        <v>0.0</v>
      </c>
      <c r="K39" s="97">
        <v>0.0</v>
      </c>
      <c r="L39" s="97">
        <v>0.0</v>
      </c>
      <c r="M39" s="97">
        <v>0.0</v>
      </c>
      <c r="N39" s="97">
        <v>0.0</v>
      </c>
      <c r="O39" s="97">
        <v>0.0</v>
      </c>
      <c r="P39" s="97">
        <v>0.0</v>
      </c>
      <c r="Q39" s="97">
        <v>0.0</v>
      </c>
      <c r="R39" s="97">
        <v>0.0</v>
      </c>
      <c r="S39" s="97">
        <v>0.0</v>
      </c>
      <c r="T39" s="97">
        <v>0.0</v>
      </c>
      <c r="U39" s="97">
        <v>0.0</v>
      </c>
      <c r="V39" s="97">
        <v>0.0</v>
      </c>
      <c r="W39" s="10"/>
      <c r="X39" s="10"/>
      <c r="Y39" s="10"/>
      <c r="Z39" s="10"/>
      <c r="AA39" s="10"/>
      <c r="AB39" s="10"/>
      <c r="AC39" s="10"/>
    </row>
    <row r="40" ht="15.75" customHeight="1">
      <c r="A40" s="59" t="str">
        <f t="array" ref="A40">XLOOKUP(C40, 'マスタ'!$C$2:$C$312, 'マスタ'!$D$2:$D$312, "マスタ未登録")</f>
        <v>マスタ未登録</v>
      </c>
      <c r="B40" s="53" t="str">
        <f>IF(AND(C40&lt;&gt;"", COUNTIF('マスタ'!$C:$C, C40)=0), "マスタ未登録", "")</f>
        <v>マスタ未登録</v>
      </c>
      <c r="C40" s="53" t="str">
        <f t="shared" si="1"/>
        <v>当期純損益金額</v>
      </c>
      <c r="D40" s="10" t="s">
        <v>119</v>
      </c>
      <c r="E40" s="10"/>
      <c r="F40" s="10"/>
      <c r="G40" s="10"/>
      <c r="H40" s="10"/>
      <c r="I40" s="10"/>
      <c r="J40" s="97">
        <v>1.8296364E7</v>
      </c>
      <c r="K40" s="97">
        <v>-3753998.0</v>
      </c>
      <c r="L40" s="97">
        <v>0.0</v>
      </c>
      <c r="M40" s="97">
        <v>0.0</v>
      </c>
      <c r="N40" s="97">
        <v>0.0</v>
      </c>
      <c r="O40" s="97">
        <v>0.0</v>
      </c>
      <c r="P40" s="97">
        <v>0.0</v>
      </c>
      <c r="Q40" s="97">
        <v>0.0</v>
      </c>
      <c r="R40" s="97">
        <v>0.0</v>
      </c>
      <c r="S40" s="97">
        <v>0.0</v>
      </c>
      <c r="T40" s="97">
        <v>0.0</v>
      </c>
      <c r="U40" s="97">
        <v>0.0</v>
      </c>
      <c r="V40" s="97">
        <v>1.4542366E7</v>
      </c>
      <c r="W40" s="10"/>
      <c r="X40" s="10"/>
      <c r="Y40" s="10"/>
      <c r="Z40" s="10"/>
      <c r="AA40" s="10"/>
      <c r="AB40" s="10"/>
      <c r="AC40" s="10"/>
    </row>
    <row r="41" ht="15.75" customHeight="1">
      <c r="A41" s="59"/>
      <c r="B41" s="53" t="str">
        <f>IF(AND(C41&lt;&gt;"", COUNTIF('マスタ'!$C:$C, C41)=0), "マスタ未登録", "")</f>
        <v/>
      </c>
      <c r="C41" s="53" t="str">
        <f t="shared" si="1"/>
        <v/>
      </c>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ht="15.75" customHeight="1">
      <c r="A42" s="59"/>
      <c r="B42" s="53" t="str">
        <f>IF(AND(C42&lt;&gt;"", COUNTIF('マスタ'!$C:$C, C42)=0), "マスタ未登録", "")</f>
        <v/>
      </c>
      <c r="C42" s="53" t="str">
        <f t="shared" si="1"/>
        <v/>
      </c>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ht="15.75" customHeight="1">
      <c r="A43" s="59"/>
      <c r="B43" s="53" t="str">
        <f>IF(AND(C43&lt;&gt;"", COUNTIF('マスタ'!$C:$C, C43)=0), "マスタ未登録", "")</f>
        <v/>
      </c>
      <c r="C43" s="53" t="str">
        <f t="shared" si="1"/>
        <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ht="15.75" customHeight="1">
      <c r="A44" s="59"/>
      <c r="B44" s="53" t="str">
        <f>IF(AND(C44&lt;&gt;"", COUNTIF('マスタ'!$C:$C, C44)=0), "マスタ未登録", "")</f>
        <v/>
      </c>
      <c r="C44" s="53" t="str">
        <f t="shared" si="1"/>
        <v/>
      </c>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ht="15.75" customHeight="1">
      <c r="A45" s="59"/>
      <c r="B45" s="53" t="str">
        <f>IF(AND(C45&lt;&gt;"", COUNTIF('マスタ'!$C:$C, C45)=0), "マスタ未登録", "")</f>
        <v/>
      </c>
      <c r="C45" s="53" t="str">
        <f t="shared" si="1"/>
        <v/>
      </c>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ht="15.75" customHeight="1">
      <c r="A46" s="59"/>
      <c r="B46" s="53" t="str">
        <f>IF(AND(C46&lt;&gt;"", COUNTIF('マスタ'!$C:$C, C46)=0), "マスタ未登録", "")</f>
        <v/>
      </c>
      <c r="C46" s="53" t="str">
        <f t="shared" si="1"/>
        <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ht="15.75" customHeight="1">
      <c r="A47" s="59"/>
      <c r="B47" s="53" t="str">
        <f>IF(AND(C47&lt;&gt;"", COUNTIF('マスタ'!$C:$C, C47)=0), "マスタ未登録", "")</f>
        <v/>
      </c>
      <c r="C47" s="53" t="str">
        <f t="shared" si="1"/>
        <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ht="15.75" customHeight="1">
      <c r="A48" s="59"/>
      <c r="B48" s="53" t="str">
        <f>IF(AND(C48&lt;&gt;"", COUNTIF('マスタ'!$C:$C, C48)=0), "マスタ未登録", "")</f>
        <v/>
      </c>
      <c r="C48" s="53" t="str">
        <f t="shared" si="1"/>
        <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ht="15.75" customHeight="1">
      <c r="A49" s="59"/>
      <c r="B49" s="53" t="str">
        <f>IF(AND(C49&lt;&gt;"", COUNTIF('マスタ'!$C:$C, C49)=0), "マスタ未登録", "")</f>
        <v/>
      </c>
      <c r="C49" s="53" t="str">
        <f t="shared" si="1"/>
        <v/>
      </c>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ht="15.75" customHeight="1">
      <c r="A50" s="59"/>
      <c r="B50" s="53" t="str">
        <f>IF(AND(C50&lt;&gt;"", COUNTIF('マスタ'!$C:$C, C50)=0), "マスタ未登録", "")</f>
        <v/>
      </c>
      <c r="C50" s="53" t="str">
        <f t="shared" si="1"/>
        <v/>
      </c>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ht="15.75" customHeight="1">
      <c r="A51" s="59"/>
      <c r="B51" s="53" t="str">
        <f>IF(AND(C51&lt;&gt;"", COUNTIF('マスタ'!$C:$C, C51)=0), "マスタ未登録", "")</f>
        <v/>
      </c>
      <c r="C51" s="53" t="str">
        <f t="shared" si="1"/>
        <v/>
      </c>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ht="15.75" customHeight="1">
      <c r="A52" s="59"/>
      <c r="B52" s="53" t="str">
        <f>IF(AND(C52&lt;&gt;"", COUNTIF('マスタ'!$C:$C, C52)=0), "マスタ未登録", "")</f>
        <v/>
      </c>
      <c r="C52" s="53" t="str">
        <f t="shared" si="1"/>
        <v/>
      </c>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ht="15.75" customHeight="1">
      <c r="A53" s="59"/>
      <c r="B53" s="53" t="str">
        <f>IF(AND(C53&lt;&gt;"", COUNTIF('マスタ'!$C:$C, C53)=0), "マスタ未登録", "")</f>
        <v/>
      </c>
      <c r="C53" s="53" t="str">
        <f t="shared" si="1"/>
        <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ht="15.75" customHeight="1">
      <c r="A54" s="59"/>
      <c r="B54" s="53" t="str">
        <f>IF(AND(C54&lt;&gt;"", COUNTIF('マスタ'!$C:$C, C54)=0), "マスタ未登録", "")</f>
        <v/>
      </c>
      <c r="C54" s="53" t="str">
        <f t="shared" si="1"/>
        <v/>
      </c>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ht="15.75" customHeight="1">
      <c r="A55" s="59"/>
      <c r="B55" s="53" t="str">
        <f>IF(AND(C55&lt;&gt;"", COUNTIF('マスタ'!$C:$C, C55)=0), "マスタ未登録", "")</f>
        <v/>
      </c>
      <c r="C55" s="53" t="str">
        <f t="shared" si="1"/>
        <v/>
      </c>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ht="15.75" customHeight="1">
      <c r="A56" s="59"/>
      <c r="B56" s="53" t="str">
        <f>IF(AND(C56&lt;&gt;"", COUNTIF('マスタ'!$C:$C, C56)=0), "マスタ未登録", "")</f>
        <v/>
      </c>
      <c r="C56" s="53" t="str">
        <f t="shared" si="1"/>
        <v/>
      </c>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ht="15.75" customHeight="1">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ht="15.75" customHeight="1">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15.75" customHeight="1">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15.75" customHeight="1">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15.75" customHeight="1">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15.75" customHeight="1">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15.75" customHeight="1">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15.75" customHeight="1">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15.75" customHeight="1">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15.75" customHeight="1">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15.75" customHeight="1">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15.75" customHeight="1">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15.75" customHeight="1">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15.75" customHeight="1">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15.75" customHeight="1">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15.75" customHeight="1">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15.75" customHeight="1">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15.75" customHeight="1">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15.75" customHeight="1">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15.75" customHeight="1">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15.75" customHeight="1">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15.75" customHeight="1">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15.75" customHeight="1">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15.75" customHeight="1">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15.75" customHeight="1">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15.75" customHeight="1">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15.75" customHeight="1">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15.75" customHeight="1">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B1" s="53" t="s">
        <v>222</v>
      </c>
      <c r="C1" s="53" t="s">
        <v>223</v>
      </c>
      <c r="D1" s="10" t="s">
        <v>357</v>
      </c>
      <c r="E1" s="10"/>
      <c r="F1" s="10"/>
      <c r="G1" s="10"/>
      <c r="H1" s="10"/>
      <c r="I1" s="10"/>
      <c r="J1" s="10"/>
      <c r="K1" s="10"/>
      <c r="L1" s="10"/>
      <c r="M1" s="10"/>
      <c r="N1" s="10"/>
      <c r="O1" s="10"/>
      <c r="P1" s="10"/>
      <c r="Q1" s="10"/>
      <c r="R1" s="10"/>
      <c r="S1" s="10"/>
      <c r="T1" s="10"/>
      <c r="U1" s="10"/>
      <c r="V1" s="10"/>
      <c r="W1" s="10"/>
      <c r="X1" s="10"/>
      <c r="Y1" s="10"/>
      <c r="Z1" s="10"/>
      <c r="AA1" s="10"/>
      <c r="AB1" s="10"/>
      <c r="AC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c r="W2" s="10"/>
      <c r="X2" s="10"/>
      <c r="Y2" s="10"/>
      <c r="Z2" s="10"/>
      <c r="AA2" s="10"/>
      <c r="AB2" s="10"/>
      <c r="AC2" s="10"/>
    </row>
    <row r="3" ht="15.75" customHeight="1">
      <c r="B3" s="53"/>
      <c r="C3" s="53"/>
      <c r="D3" s="10" t="s">
        <v>1</v>
      </c>
      <c r="E3" s="10"/>
      <c r="F3" s="10"/>
      <c r="G3" s="10"/>
      <c r="H3" s="10"/>
      <c r="I3" s="10"/>
      <c r="J3" s="10"/>
      <c r="K3" s="10"/>
      <c r="L3" s="10"/>
      <c r="M3" s="10"/>
      <c r="N3" s="10"/>
      <c r="O3" s="10"/>
      <c r="P3" s="10"/>
      <c r="Q3" s="10"/>
      <c r="R3" s="10"/>
      <c r="S3" s="10"/>
      <c r="T3" s="10"/>
      <c r="U3" s="10"/>
      <c r="V3" s="10"/>
      <c r="W3" s="10"/>
      <c r="X3" s="10"/>
      <c r="Y3" s="10"/>
      <c r="Z3" s="10"/>
      <c r="AA3" s="10"/>
      <c r="AB3" s="10"/>
      <c r="AC3" s="10"/>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D4" s="10"/>
      <c r="E4" s="10" t="s">
        <v>1</v>
      </c>
      <c r="F4" s="10"/>
      <c r="G4" s="10"/>
      <c r="H4" s="10"/>
      <c r="I4" s="10"/>
      <c r="J4" s="97">
        <v>7050231.0</v>
      </c>
      <c r="K4" s="97">
        <v>0.0</v>
      </c>
      <c r="L4" s="97">
        <v>0.0</v>
      </c>
      <c r="M4" s="97">
        <v>0.0</v>
      </c>
      <c r="N4" s="97">
        <v>0.0</v>
      </c>
      <c r="O4" s="97">
        <v>0.0</v>
      </c>
      <c r="P4" s="97">
        <v>0.0</v>
      </c>
      <c r="Q4" s="97">
        <v>0.0</v>
      </c>
      <c r="R4" s="97">
        <v>0.0</v>
      </c>
      <c r="S4" s="97">
        <v>0.0</v>
      </c>
      <c r="T4" s="97">
        <v>0.0</v>
      </c>
      <c r="U4" s="97">
        <v>0.0</v>
      </c>
      <c r="V4" s="97">
        <v>7050231.0</v>
      </c>
      <c r="W4" s="10"/>
      <c r="X4" s="10"/>
      <c r="Y4" s="10"/>
      <c r="Z4" s="10"/>
      <c r="AA4" s="10"/>
      <c r="AB4" s="10"/>
      <c r="AC4" s="10"/>
    </row>
    <row r="5" ht="15.75" customHeight="1">
      <c r="A5" s="59" t="str">
        <f t="array" ref="A5">XLOOKUP(C5, 'マスタ'!$C$2:$C$312, 'マスタ'!$D$2:$D$312, "マスタ未登録")</f>
        <v>売上高</v>
      </c>
      <c r="B5" s="53" t="str">
        <f>IF(AND(C5&lt;&gt;"", COUNTIF('マスタ'!$C:$C, C5)=0), "マスタ未登録", "")</f>
        <v/>
      </c>
      <c r="C5" s="53" t="str">
        <f t="shared" si="1"/>
        <v>委託販売売上高</v>
      </c>
      <c r="D5" s="10"/>
      <c r="E5" s="10" t="s">
        <v>358</v>
      </c>
      <c r="F5" s="10"/>
      <c r="G5" s="10"/>
      <c r="H5" s="10"/>
      <c r="I5" s="10"/>
      <c r="J5" s="97">
        <v>648731.0</v>
      </c>
      <c r="K5" s="97">
        <v>0.0</v>
      </c>
      <c r="L5" s="97">
        <v>0.0</v>
      </c>
      <c r="M5" s="97">
        <v>0.0</v>
      </c>
      <c r="N5" s="97">
        <v>0.0</v>
      </c>
      <c r="O5" s="97">
        <v>0.0</v>
      </c>
      <c r="P5" s="97">
        <v>0.0</v>
      </c>
      <c r="Q5" s="97">
        <v>0.0</v>
      </c>
      <c r="R5" s="97">
        <v>0.0</v>
      </c>
      <c r="S5" s="97">
        <v>0.0</v>
      </c>
      <c r="T5" s="97">
        <v>0.0</v>
      </c>
      <c r="U5" s="97">
        <v>0.0</v>
      </c>
      <c r="V5" s="97">
        <v>648731.0</v>
      </c>
      <c r="W5" s="10"/>
      <c r="X5" s="10"/>
      <c r="Y5" s="10"/>
      <c r="Z5" s="10"/>
      <c r="AA5" s="10"/>
      <c r="AB5" s="10"/>
      <c r="AC5" s="10"/>
    </row>
    <row r="6" ht="15.75" customHeight="1">
      <c r="A6" s="59" t="str">
        <f t="array" ref="A6">XLOOKUP(C6, 'マスタ'!$C$2:$C$312, 'マスタ'!$D$2:$D$312, "マスタ未登録")</f>
        <v>マスタ未登録</v>
      </c>
      <c r="B6" s="53" t="str">
        <f>IF(AND(C6&lt;&gt;"", COUNTIF('マスタ'!$C:$C, C6)=0), "マスタ未登録", "")</f>
        <v>マスタ未登録</v>
      </c>
      <c r="C6" s="53" t="str">
        <f t="shared" si="1"/>
        <v>売上高 計</v>
      </c>
      <c r="D6" s="10" t="s">
        <v>226</v>
      </c>
      <c r="E6" s="10"/>
      <c r="F6" s="10"/>
      <c r="G6" s="10"/>
      <c r="H6" s="10"/>
      <c r="I6" s="10"/>
      <c r="J6" s="97">
        <v>7698962.0</v>
      </c>
      <c r="K6" s="97">
        <v>0.0</v>
      </c>
      <c r="L6" s="97">
        <v>0.0</v>
      </c>
      <c r="M6" s="97">
        <v>0.0</v>
      </c>
      <c r="N6" s="97">
        <v>0.0</v>
      </c>
      <c r="O6" s="97">
        <v>0.0</v>
      </c>
      <c r="P6" s="97">
        <v>0.0</v>
      </c>
      <c r="Q6" s="97">
        <v>0.0</v>
      </c>
      <c r="R6" s="97">
        <v>0.0</v>
      </c>
      <c r="S6" s="97">
        <v>0.0</v>
      </c>
      <c r="T6" s="97">
        <v>0.0</v>
      </c>
      <c r="U6" s="97">
        <v>0.0</v>
      </c>
      <c r="V6" s="97">
        <v>7698962.0</v>
      </c>
      <c r="W6" s="10"/>
      <c r="X6" s="10"/>
      <c r="Y6" s="10"/>
      <c r="Z6" s="10"/>
      <c r="AA6" s="10"/>
      <c r="AB6" s="10"/>
      <c r="AC6" s="10"/>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D7" s="10"/>
      <c r="E7" s="10" t="s">
        <v>28</v>
      </c>
      <c r="F7" s="10"/>
      <c r="G7" s="10"/>
      <c r="H7" s="10"/>
      <c r="I7" s="10"/>
      <c r="J7" s="10"/>
      <c r="K7" s="10"/>
      <c r="L7" s="10"/>
      <c r="M7" s="10"/>
      <c r="N7" s="10"/>
      <c r="O7" s="10"/>
      <c r="P7" s="10"/>
      <c r="Q7" s="10"/>
      <c r="R7" s="10"/>
      <c r="S7" s="10"/>
      <c r="T7" s="10"/>
      <c r="U7" s="10"/>
      <c r="V7" s="10"/>
      <c r="W7" s="10"/>
      <c r="X7" s="10"/>
      <c r="Y7" s="10"/>
      <c r="Z7" s="10"/>
      <c r="AA7" s="10"/>
      <c r="AB7" s="10"/>
      <c r="AC7" s="10"/>
    </row>
    <row r="8" ht="15.75" customHeight="1">
      <c r="A8" s="59" t="str">
        <f t="array" ref="A8">XLOOKUP(C8, 'マスタ'!$C$2:$C$312, 'マスタ'!$D$2:$D$312, "マスタ未登録")</f>
        <v>マスタ未登録</v>
      </c>
      <c r="B8" s="53" t="str">
        <f>IF(AND(C8&lt;&gt;"", COUNTIF('マスタ'!$C:$C, C8)=0), "マスタ未登録", "")</f>
        <v>マスタ未登録</v>
      </c>
      <c r="C8" s="53" t="str">
        <f t="shared" si="1"/>
        <v>売上原価</v>
      </c>
      <c r="D8" s="10"/>
      <c r="E8" s="10" t="s">
        <v>28</v>
      </c>
      <c r="F8" s="10"/>
      <c r="G8" s="10"/>
      <c r="H8" s="10"/>
      <c r="I8" s="10"/>
      <c r="J8" s="97">
        <v>1.1847579E7</v>
      </c>
      <c r="K8" s="97">
        <v>3467282.0</v>
      </c>
      <c r="L8" s="97">
        <v>0.0</v>
      </c>
      <c r="M8" s="97">
        <v>0.0</v>
      </c>
      <c r="N8" s="97">
        <v>0.0</v>
      </c>
      <c r="O8" s="97">
        <v>0.0</v>
      </c>
      <c r="P8" s="97">
        <v>0.0</v>
      </c>
      <c r="Q8" s="97">
        <v>0.0</v>
      </c>
      <c r="R8" s="97">
        <v>0.0</v>
      </c>
      <c r="S8" s="97">
        <v>0.0</v>
      </c>
      <c r="T8" s="97">
        <v>0.0</v>
      </c>
      <c r="U8" s="97">
        <v>0.0</v>
      </c>
      <c r="V8" s="97">
        <v>1.5314861E7</v>
      </c>
      <c r="W8" s="10"/>
      <c r="X8" s="10"/>
      <c r="Y8" s="10"/>
      <c r="Z8" s="10"/>
      <c r="AA8" s="10"/>
      <c r="AB8" s="10"/>
      <c r="AC8" s="10"/>
    </row>
    <row r="9" ht="15.75" customHeight="1">
      <c r="A9" s="59" t="str">
        <f t="array" ref="A9">XLOOKUP(C9, 'マスタ'!$C$2:$C$312, 'マスタ'!$D$2:$D$312, "マスタ未登録")</f>
        <v>期首商品棚卸高</v>
      </c>
      <c r="B9" s="53" t="str">
        <f>IF(AND(C9&lt;&gt;"", COUNTIF('マスタ'!$C:$C, C9)=0), "マスタ未登録", "")</f>
        <v/>
      </c>
      <c r="C9" s="53" t="str">
        <f t="shared" si="1"/>
        <v>期首商品棚卸</v>
      </c>
      <c r="D9" s="10"/>
      <c r="E9" s="10"/>
      <c r="F9" s="10"/>
      <c r="G9" s="10" t="s">
        <v>227</v>
      </c>
      <c r="H9" s="10"/>
      <c r="I9" s="10"/>
      <c r="J9" s="97">
        <v>0.0</v>
      </c>
      <c r="K9" s="97">
        <v>0.0</v>
      </c>
      <c r="L9" s="97">
        <v>0.0</v>
      </c>
      <c r="M9" s="97">
        <v>0.0</v>
      </c>
      <c r="N9" s="97">
        <v>0.0</v>
      </c>
      <c r="O9" s="97">
        <v>0.0</v>
      </c>
      <c r="P9" s="97">
        <v>0.0</v>
      </c>
      <c r="Q9" s="97">
        <v>0.0</v>
      </c>
      <c r="R9" s="97">
        <v>0.0</v>
      </c>
      <c r="S9" s="97">
        <v>0.0</v>
      </c>
      <c r="T9" s="97">
        <v>0.0</v>
      </c>
      <c r="U9" s="97">
        <v>0.0</v>
      </c>
      <c r="V9" s="97">
        <v>0.0</v>
      </c>
      <c r="W9" s="10"/>
      <c r="X9" s="10"/>
      <c r="Y9" s="10"/>
      <c r="Z9" s="10"/>
      <c r="AA9" s="10"/>
      <c r="AB9" s="10"/>
      <c r="AC9" s="10"/>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当期商品仕入（見出し）</v>
      </c>
      <c r="D10" s="10"/>
      <c r="E10" s="10"/>
      <c r="F10" s="10"/>
      <c r="G10" s="10" t="s">
        <v>369</v>
      </c>
      <c r="H10" s="10"/>
      <c r="I10" s="10"/>
      <c r="J10" s="97">
        <v>8794799.0</v>
      </c>
      <c r="K10" s="97">
        <v>185455.0</v>
      </c>
      <c r="L10" s="97">
        <v>0.0</v>
      </c>
      <c r="M10" s="97">
        <v>0.0</v>
      </c>
      <c r="N10" s="97">
        <v>0.0</v>
      </c>
      <c r="O10" s="97">
        <v>0.0</v>
      </c>
      <c r="P10" s="97">
        <v>0.0</v>
      </c>
      <c r="Q10" s="97">
        <v>0.0</v>
      </c>
      <c r="R10" s="97">
        <v>0.0</v>
      </c>
      <c r="S10" s="97">
        <v>0.0</v>
      </c>
      <c r="T10" s="97">
        <v>0.0</v>
      </c>
      <c r="U10" s="97">
        <v>0.0</v>
      </c>
      <c r="V10" s="97">
        <v>8980254.0</v>
      </c>
      <c r="W10" s="10"/>
      <c r="X10" s="10"/>
      <c r="Y10" s="10"/>
      <c r="Z10" s="10"/>
      <c r="AA10" s="10"/>
      <c r="AB10" s="10"/>
      <c r="AC10" s="10"/>
    </row>
    <row r="11" ht="15.75" customHeight="1">
      <c r="A11" s="59" t="str">
        <f t="array" ref="A11">XLOOKUP(C11, 'マスタ'!$C$2:$C$312, 'マスタ'!$D$2:$D$312, "マスタ未登録")</f>
        <v>当期商品仕入高</v>
      </c>
      <c r="B11" s="53" t="str">
        <f>IF(AND(C11&lt;&gt;"", COUNTIF('マスタ'!$C:$C, C11)=0), "マスタ未登録", "")</f>
        <v/>
      </c>
      <c r="C11" s="53" t="str">
        <f t="shared" si="1"/>
        <v>外注費(原)</v>
      </c>
      <c r="D11" s="10"/>
      <c r="E11" s="10"/>
      <c r="F11" s="10"/>
      <c r="G11" s="10"/>
      <c r="H11" s="10" t="s">
        <v>231</v>
      </c>
      <c r="I11" s="10"/>
      <c r="J11" s="97">
        <v>2833010.0</v>
      </c>
      <c r="K11" s="97">
        <v>185455.0</v>
      </c>
      <c r="L11" s="97">
        <v>0.0</v>
      </c>
      <c r="M11" s="97">
        <v>0.0</v>
      </c>
      <c r="N11" s="97">
        <v>0.0</v>
      </c>
      <c r="O11" s="97">
        <v>0.0</v>
      </c>
      <c r="P11" s="97">
        <v>0.0</v>
      </c>
      <c r="Q11" s="97">
        <v>0.0</v>
      </c>
      <c r="R11" s="97">
        <v>0.0</v>
      </c>
      <c r="S11" s="97">
        <v>0.0</v>
      </c>
      <c r="T11" s="97">
        <v>0.0</v>
      </c>
      <c r="U11" s="97">
        <v>0.0</v>
      </c>
      <c r="V11" s="97">
        <v>3018465.0</v>
      </c>
      <c r="W11" s="10"/>
      <c r="X11" s="10"/>
      <c r="Y11" s="10"/>
      <c r="Z11" s="10"/>
      <c r="AA11" s="10"/>
      <c r="AB11" s="10"/>
      <c r="AC11" s="10"/>
    </row>
    <row r="12" ht="15.75" customHeight="1">
      <c r="A12" s="59" t="str">
        <f t="array" ref="A12">XLOOKUP(C12, 'マスタ'!$C$2:$C$312, 'マスタ'!$D$2:$D$312, "マスタ未登録")</f>
        <v>当期商品仕入高</v>
      </c>
      <c r="B12" s="53" t="str">
        <f>IF(AND(C12&lt;&gt;"", COUNTIF('マスタ'!$C:$C, C12)=0), "マスタ未登録", "")</f>
        <v/>
      </c>
      <c r="C12" s="53" t="str">
        <f t="shared" si="1"/>
        <v>業務委託費(原・タレント)</v>
      </c>
      <c r="D12" s="10"/>
      <c r="E12" s="10"/>
      <c r="F12" s="10"/>
      <c r="G12" s="10"/>
      <c r="H12" s="10" t="s">
        <v>363</v>
      </c>
      <c r="I12" s="10"/>
      <c r="J12" s="97">
        <v>3338000.0</v>
      </c>
      <c r="K12" s="97">
        <v>0.0</v>
      </c>
      <c r="L12" s="97">
        <v>0.0</v>
      </c>
      <c r="M12" s="97">
        <v>0.0</v>
      </c>
      <c r="N12" s="97">
        <v>0.0</v>
      </c>
      <c r="O12" s="97">
        <v>0.0</v>
      </c>
      <c r="P12" s="97">
        <v>0.0</v>
      </c>
      <c r="Q12" s="97">
        <v>0.0</v>
      </c>
      <c r="R12" s="97">
        <v>0.0</v>
      </c>
      <c r="S12" s="97">
        <v>0.0</v>
      </c>
      <c r="T12" s="97">
        <v>0.0</v>
      </c>
      <c r="U12" s="97">
        <v>0.0</v>
      </c>
      <c r="V12" s="97">
        <v>3338000.0</v>
      </c>
      <c r="W12" s="10"/>
      <c r="X12" s="10"/>
      <c r="Y12" s="10"/>
      <c r="Z12" s="10"/>
      <c r="AA12" s="10"/>
      <c r="AB12" s="10"/>
      <c r="AC12" s="10"/>
    </row>
    <row r="13" ht="15.75" customHeight="1">
      <c r="A13" s="59" t="str">
        <f t="array" ref="A13">XLOOKUP(C13, 'マスタ'!$C$2:$C$312, 'マスタ'!$D$2:$D$312, "マスタ未登録")</f>
        <v>当期商品仕入高</v>
      </c>
      <c r="B13" s="53" t="str">
        <f>IF(AND(C13&lt;&gt;"", COUNTIF('マスタ'!$C:$C, C13)=0), "マスタ未登録", "")</f>
        <v/>
      </c>
      <c r="C13" s="53" t="str">
        <f t="shared" si="1"/>
        <v>業務委託費(原・製)</v>
      </c>
      <c r="D13" s="10"/>
      <c r="E13" s="10"/>
      <c r="F13" s="10"/>
      <c r="G13" s="10"/>
      <c r="H13" s="10" t="s">
        <v>364</v>
      </c>
      <c r="I13" s="10"/>
      <c r="J13" s="97">
        <v>968613.0</v>
      </c>
      <c r="K13" s="97">
        <v>0.0</v>
      </c>
      <c r="L13" s="97">
        <v>0.0</v>
      </c>
      <c r="M13" s="97">
        <v>0.0</v>
      </c>
      <c r="N13" s="97">
        <v>0.0</v>
      </c>
      <c r="O13" s="97">
        <v>0.0</v>
      </c>
      <c r="P13" s="97">
        <v>0.0</v>
      </c>
      <c r="Q13" s="97">
        <v>0.0</v>
      </c>
      <c r="R13" s="97">
        <v>0.0</v>
      </c>
      <c r="S13" s="97">
        <v>0.0</v>
      </c>
      <c r="T13" s="97">
        <v>0.0</v>
      </c>
      <c r="U13" s="97">
        <v>0.0</v>
      </c>
      <c r="V13" s="97">
        <v>968613.0</v>
      </c>
      <c r="W13" s="10"/>
      <c r="X13" s="10"/>
      <c r="Y13" s="10"/>
      <c r="Z13" s="10"/>
      <c r="AA13" s="10"/>
      <c r="AB13" s="10"/>
      <c r="AC13" s="10"/>
    </row>
    <row r="14" ht="15.75" customHeight="1">
      <c r="A14" s="59" t="str">
        <f t="array" ref="A14">XLOOKUP(C14, 'マスタ'!$C$2:$C$312, 'マスタ'!$D$2:$D$312, "マスタ未登録")</f>
        <v>当期商品仕入高</v>
      </c>
      <c r="B14" s="53" t="str">
        <f>IF(AND(C14&lt;&gt;"", COUNTIF('マスタ'!$C:$C, C14)=0), "マスタ未登録", "")</f>
        <v/>
      </c>
      <c r="C14" s="53" t="str">
        <f t="shared" si="1"/>
        <v>旅費交通費(原)</v>
      </c>
      <c r="D14" s="10"/>
      <c r="E14" s="10"/>
      <c r="F14" s="10"/>
      <c r="G14" s="10"/>
      <c r="H14" s="10" t="s">
        <v>233</v>
      </c>
      <c r="I14" s="10"/>
      <c r="J14" s="97">
        <v>170638.0</v>
      </c>
      <c r="K14" s="97">
        <v>0.0</v>
      </c>
      <c r="L14" s="97">
        <v>0.0</v>
      </c>
      <c r="M14" s="97">
        <v>0.0</v>
      </c>
      <c r="N14" s="97">
        <v>0.0</v>
      </c>
      <c r="O14" s="97">
        <v>0.0</v>
      </c>
      <c r="P14" s="97">
        <v>0.0</v>
      </c>
      <c r="Q14" s="97">
        <v>0.0</v>
      </c>
      <c r="R14" s="97">
        <v>0.0</v>
      </c>
      <c r="S14" s="97">
        <v>0.0</v>
      </c>
      <c r="T14" s="97">
        <v>0.0</v>
      </c>
      <c r="U14" s="97">
        <v>0.0</v>
      </c>
      <c r="V14" s="97">
        <v>170638.0</v>
      </c>
      <c r="W14" s="10"/>
      <c r="X14" s="10"/>
      <c r="Y14" s="10"/>
      <c r="Z14" s="10"/>
      <c r="AA14" s="10"/>
      <c r="AB14" s="10"/>
      <c r="AC14" s="10"/>
    </row>
    <row r="15" ht="15.75" customHeight="1">
      <c r="A15" s="59" t="str">
        <f t="array" ref="A15">XLOOKUP(C15, 'マスタ'!$C$2:$C$312, 'マスタ'!$D$2:$D$312, "マスタ未登録")</f>
        <v>当期商品仕入高</v>
      </c>
      <c r="B15" s="53" t="str">
        <f>IF(AND(C15&lt;&gt;"", COUNTIF('マスタ'!$C:$C, C15)=0), "マスタ未登録", "")</f>
        <v/>
      </c>
      <c r="C15" s="53" t="str">
        <f t="shared" si="1"/>
        <v>通信費(原)</v>
      </c>
      <c r="D15" s="10"/>
      <c r="E15" s="10"/>
      <c r="F15" s="10"/>
      <c r="G15" s="10"/>
      <c r="H15" s="10" t="s">
        <v>351</v>
      </c>
      <c r="I15" s="10"/>
      <c r="J15" s="97">
        <v>83460.0</v>
      </c>
      <c r="K15" s="97">
        <v>0.0</v>
      </c>
      <c r="L15" s="97">
        <v>0.0</v>
      </c>
      <c r="M15" s="97">
        <v>0.0</v>
      </c>
      <c r="N15" s="97">
        <v>0.0</v>
      </c>
      <c r="O15" s="97">
        <v>0.0</v>
      </c>
      <c r="P15" s="97">
        <v>0.0</v>
      </c>
      <c r="Q15" s="97">
        <v>0.0</v>
      </c>
      <c r="R15" s="97">
        <v>0.0</v>
      </c>
      <c r="S15" s="97">
        <v>0.0</v>
      </c>
      <c r="T15" s="97">
        <v>0.0</v>
      </c>
      <c r="U15" s="97">
        <v>0.0</v>
      </c>
      <c r="V15" s="97">
        <v>83460.0</v>
      </c>
      <c r="W15" s="10"/>
      <c r="X15" s="10"/>
      <c r="Y15" s="10"/>
      <c r="Z15" s="10"/>
      <c r="AA15" s="10"/>
      <c r="AB15" s="10"/>
      <c r="AC15" s="10"/>
    </row>
    <row r="16" ht="15.75" customHeight="1">
      <c r="A16" s="59" t="str">
        <f t="array" ref="A16">XLOOKUP(C16, 'マスタ'!$C$2:$C$312, 'マスタ'!$D$2:$D$312, "マスタ未登録")</f>
        <v>当期商品仕入高</v>
      </c>
      <c r="B16" s="53" t="str">
        <f>IF(AND(C16&lt;&gt;"", COUNTIF('マスタ'!$C:$C, C16)=0), "マスタ未登録", "")</f>
        <v/>
      </c>
      <c r="C16" s="53" t="str">
        <f t="shared" si="1"/>
        <v>消耗品費(原)</v>
      </c>
      <c r="D16" s="10"/>
      <c r="E16" s="10"/>
      <c r="F16" s="10"/>
      <c r="G16" s="10"/>
      <c r="H16" s="10" t="s">
        <v>234</v>
      </c>
      <c r="I16" s="10"/>
      <c r="J16" s="97">
        <v>878900.0</v>
      </c>
      <c r="K16" s="97">
        <v>0.0</v>
      </c>
      <c r="L16" s="97">
        <v>0.0</v>
      </c>
      <c r="M16" s="97">
        <v>0.0</v>
      </c>
      <c r="N16" s="97">
        <v>0.0</v>
      </c>
      <c r="O16" s="97">
        <v>0.0</v>
      </c>
      <c r="P16" s="97">
        <v>0.0</v>
      </c>
      <c r="Q16" s="97">
        <v>0.0</v>
      </c>
      <c r="R16" s="97">
        <v>0.0</v>
      </c>
      <c r="S16" s="97">
        <v>0.0</v>
      </c>
      <c r="T16" s="97">
        <v>0.0</v>
      </c>
      <c r="U16" s="97">
        <v>0.0</v>
      </c>
      <c r="V16" s="97">
        <v>878900.0</v>
      </c>
      <c r="W16" s="10"/>
      <c r="X16" s="10"/>
      <c r="Y16" s="10"/>
      <c r="Z16" s="10"/>
      <c r="AA16" s="10"/>
      <c r="AB16" s="10"/>
      <c r="AC16" s="10"/>
    </row>
    <row r="17" ht="15.75" customHeight="1">
      <c r="A17" s="59" t="str">
        <f t="array" ref="A17">XLOOKUP(C17, 'マスタ'!$C$2:$C$312, 'マスタ'!$D$2:$D$312, "マスタ未登録")</f>
        <v>当期商品仕入高</v>
      </c>
      <c r="B17" s="53" t="str">
        <f>IF(AND(C17&lt;&gt;"", COUNTIF('マスタ'!$C:$C, C17)=0), "マスタ未登録", "")</f>
        <v/>
      </c>
      <c r="C17" s="53" t="str">
        <f t="shared" si="1"/>
        <v>賃借料(原)</v>
      </c>
      <c r="D17" s="10"/>
      <c r="E17" s="10"/>
      <c r="F17" s="10"/>
      <c r="G17" s="10"/>
      <c r="H17" s="10" t="s">
        <v>366</v>
      </c>
      <c r="I17" s="10"/>
      <c r="J17" s="97">
        <v>522178.0</v>
      </c>
      <c r="K17" s="97">
        <v>0.0</v>
      </c>
      <c r="L17" s="97">
        <v>0.0</v>
      </c>
      <c r="M17" s="97">
        <v>0.0</v>
      </c>
      <c r="N17" s="97">
        <v>0.0</v>
      </c>
      <c r="O17" s="97">
        <v>0.0</v>
      </c>
      <c r="P17" s="97">
        <v>0.0</v>
      </c>
      <c r="Q17" s="97">
        <v>0.0</v>
      </c>
      <c r="R17" s="97">
        <v>0.0</v>
      </c>
      <c r="S17" s="97">
        <v>0.0</v>
      </c>
      <c r="T17" s="97">
        <v>0.0</v>
      </c>
      <c r="U17" s="97">
        <v>0.0</v>
      </c>
      <c r="V17" s="97">
        <v>522178.0</v>
      </c>
      <c r="W17" s="10"/>
      <c r="X17" s="10"/>
      <c r="Y17" s="10"/>
      <c r="Z17" s="10"/>
      <c r="AA17" s="10"/>
      <c r="AB17" s="10"/>
      <c r="AC17" s="10"/>
    </row>
    <row r="18" ht="15.75" customHeight="1">
      <c r="A18" s="59" t="str">
        <f t="array" ref="A18">XLOOKUP(C18, 'マスタ'!$C$2:$C$312, 'マスタ'!$D$2:$D$312, "マスタ未登録")</f>
        <v>他勘定振替高</v>
      </c>
      <c r="B18" s="53" t="str">
        <f>IF(AND(C18&lt;&gt;"", COUNTIF('マスタ'!$C:$C, C18)=0), "マスタ未登録", "")</f>
        <v/>
      </c>
      <c r="C18" s="53" t="str">
        <f t="shared" si="1"/>
        <v>他勘定振替高(商)</v>
      </c>
      <c r="D18" s="10"/>
      <c r="E18" s="10"/>
      <c r="F18" s="10"/>
      <c r="G18" s="10" t="s">
        <v>235</v>
      </c>
      <c r="H18" s="10"/>
      <c r="I18" s="10"/>
      <c r="J18" s="97">
        <v>0.0</v>
      </c>
      <c r="K18" s="97">
        <v>0.0</v>
      </c>
      <c r="L18" s="97">
        <v>0.0</v>
      </c>
      <c r="M18" s="97">
        <v>0.0</v>
      </c>
      <c r="N18" s="97">
        <v>0.0</v>
      </c>
      <c r="O18" s="97">
        <v>0.0</v>
      </c>
      <c r="P18" s="97">
        <v>0.0</v>
      </c>
      <c r="Q18" s="97">
        <v>0.0</v>
      </c>
      <c r="R18" s="97">
        <v>0.0</v>
      </c>
      <c r="S18" s="97">
        <v>0.0</v>
      </c>
      <c r="T18" s="97">
        <v>0.0</v>
      </c>
      <c r="U18" s="97">
        <v>0.0</v>
      </c>
      <c r="V18" s="97">
        <v>0.0</v>
      </c>
      <c r="W18" s="10"/>
      <c r="X18" s="10"/>
      <c r="Y18" s="10"/>
      <c r="Z18" s="10"/>
      <c r="AA18" s="10"/>
      <c r="AB18" s="10"/>
      <c r="AC18" s="10"/>
    </row>
    <row r="19" ht="15.75" customHeight="1">
      <c r="A19" s="59" t="str">
        <f t="array" ref="A19">XLOOKUP(C19, 'マスタ'!$C$2:$C$312, 'マスタ'!$D$2:$D$312, "マスタ未登録")</f>
        <v>マスタ未登録</v>
      </c>
      <c r="B19" s="53" t="str">
        <f>IF(AND(C19&lt;&gt;"", COUNTIF('マスタ'!$C:$C, C19)=0), "マスタ未登録", "")</f>
        <v>マスタ未登録</v>
      </c>
      <c r="C19" s="53" t="str">
        <f t="shared" si="1"/>
        <v>期末商品棚卸(見出し)</v>
      </c>
      <c r="D19" s="10"/>
      <c r="E19" s="10"/>
      <c r="F19" s="10"/>
      <c r="G19" s="10" t="s">
        <v>370</v>
      </c>
      <c r="H19" s="10"/>
      <c r="I19" s="10"/>
      <c r="J19" s="97">
        <v>-3052780.0</v>
      </c>
      <c r="K19" s="97">
        <v>-3281827.0</v>
      </c>
      <c r="L19" s="97">
        <v>0.0</v>
      </c>
      <c r="M19" s="97">
        <v>0.0</v>
      </c>
      <c r="N19" s="97">
        <v>0.0</v>
      </c>
      <c r="O19" s="97">
        <v>0.0</v>
      </c>
      <c r="P19" s="97">
        <v>0.0</v>
      </c>
      <c r="Q19" s="97">
        <v>0.0</v>
      </c>
      <c r="R19" s="97">
        <v>0.0</v>
      </c>
      <c r="S19" s="97">
        <v>0.0</v>
      </c>
      <c r="T19" s="97">
        <v>0.0</v>
      </c>
      <c r="U19" s="97">
        <v>0.0</v>
      </c>
      <c r="V19" s="97">
        <v>-6334607.0</v>
      </c>
      <c r="W19" s="10"/>
      <c r="X19" s="10"/>
      <c r="Y19" s="10"/>
      <c r="Z19" s="10"/>
      <c r="AA19" s="10"/>
      <c r="AB19" s="10"/>
      <c r="AC19" s="10"/>
    </row>
    <row r="20" ht="15.75" customHeight="1">
      <c r="A20" s="59" t="str">
        <f t="array" ref="A20">XLOOKUP(C20, 'マスタ'!$C$2:$C$312, 'マスタ'!$D$2:$D$312, "マスタ未登録")</f>
        <v>期末商品棚卸高</v>
      </c>
      <c r="B20" s="53" t="str">
        <f>IF(AND(C20&lt;&gt;"", COUNTIF('マスタ'!$C:$C, C20)=0), "マスタ未登録", "")</f>
        <v/>
      </c>
      <c r="C20" s="53" t="str">
        <f t="shared" si="1"/>
        <v>期末商品棚卸高</v>
      </c>
      <c r="D20" s="10"/>
      <c r="E20" s="10"/>
      <c r="F20" s="10"/>
      <c r="G20" s="10"/>
      <c r="H20" s="10" t="s">
        <v>71</v>
      </c>
      <c r="I20" s="10"/>
      <c r="J20" s="97">
        <v>-3052780.0</v>
      </c>
      <c r="K20" s="97">
        <v>-3281827.0</v>
      </c>
      <c r="L20" s="97">
        <v>0.0</v>
      </c>
      <c r="M20" s="97">
        <v>0.0</v>
      </c>
      <c r="N20" s="97">
        <v>0.0</v>
      </c>
      <c r="O20" s="97">
        <v>0.0</v>
      </c>
      <c r="P20" s="97">
        <v>0.0</v>
      </c>
      <c r="Q20" s="97">
        <v>0.0</v>
      </c>
      <c r="R20" s="97">
        <v>0.0</v>
      </c>
      <c r="S20" s="97">
        <v>0.0</v>
      </c>
      <c r="T20" s="97">
        <v>0.0</v>
      </c>
      <c r="U20" s="97">
        <v>0.0</v>
      </c>
      <c r="V20" s="97">
        <v>-6334607.0</v>
      </c>
      <c r="W20" s="10"/>
      <c r="X20" s="10"/>
      <c r="Y20" s="10"/>
      <c r="Z20" s="10"/>
      <c r="AA20" s="10"/>
      <c r="AB20" s="10"/>
      <c r="AC20" s="10"/>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商品売上原価</v>
      </c>
      <c r="D21" s="10"/>
      <c r="E21" s="10"/>
      <c r="F21" s="10" t="s">
        <v>3</v>
      </c>
      <c r="G21" s="10"/>
      <c r="H21" s="10"/>
      <c r="I21" s="10"/>
      <c r="J21" s="97">
        <v>1.1847579E7</v>
      </c>
      <c r="K21" s="97">
        <v>3467282.0</v>
      </c>
      <c r="L21" s="97">
        <v>0.0</v>
      </c>
      <c r="M21" s="97">
        <v>0.0</v>
      </c>
      <c r="N21" s="97">
        <v>0.0</v>
      </c>
      <c r="O21" s="97">
        <v>0.0</v>
      </c>
      <c r="P21" s="97">
        <v>0.0</v>
      </c>
      <c r="Q21" s="97">
        <v>0.0</v>
      </c>
      <c r="R21" s="97">
        <v>0.0</v>
      </c>
      <c r="S21" s="97">
        <v>0.0</v>
      </c>
      <c r="T21" s="97">
        <v>0.0</v>
      </c>
      <c r="U21" s="97">
        <v>0.0</v>
      </c>
      <c r="V21" s="97">
        <v>1.5314861E7</v>
      </c>
      <c r="W21" s="10"/>
      <c r="X21" s="10"/>
      <c r="Y21" s="10"/>
      <c r="Z21" s="10"/>
      <c r="AA21" s="10"/>
      <c r="AB21" s="10"/>
      <c r="AC21" s="10"/>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売上総損益金額</v>
      </c>
      <c r="D22" s="10" t="s">
        <v>237</v>
      </c>
      <c r="E22" s="10"/>
      <c r="F22" s="10"/>
      <c r="G22" s="10"/>
      <c r="H22" s="10"/>
      <c r="I22" s="10"/>
      <c r="J22" s="97">
        <v>-4148617.0</v>
      </c>
      <c r="K22" s="97">
        <v>-3467282.0</v>
      </c>
      <c r="L22" s="97">
        <v>0.0</v>
      </c>
      <c r="M22" s="97">
        <v>0.0</v>
      </c>
      <c r="N22" s="97">
        <v>0.0</v>
      </c>
      <c r="O22" s="97">
        <v>0.0</v>
      </c>
      <c r="P22" s="97">
        <v>0.0</v>
      </c>
      <c r="Q22" s="97">
        <v>0.0</v>
      </c>
      <c r="R22" s="97">
        <v>0.0</v>
      </c>
      <c r="S22" s="97">
        <v>0.0</v>
      </c>
      <c r="T22" s="97">
        <v>0.0</v>
      </c>
      <c r="U22" s="97">
        <v>0.0</v>
      </c>
      <c r="V22" s="97">
        <v>-7615899.0</v>
      </c>
      <c r="W22" s="10"/>
      <c r="X22" s="10"/>
      <c r="Y22" s="10"/>
      <c r="Z22" s="10"/>
      <c r="AA22" s="10"/>
      <c r="AB22" s="10"/>
      <c r="AC22" s="10"/>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販売管理費</v>
      </c>
      <c r="D23" s="10"/>
      <c r="E23" s="10" t="s">
        <v>238</v>
      </c>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ht="15.75" customHeight="1">
      <c r="A24" s="59" t="str">
        <f t="array" ref="A24">XLOOKUP(C24, 'マスタ'!$C$2:$C$312, 'マスタ'!$D$2:$D$312, "マスタ未登録")</f>
        <v>販売促進費</v>
      </c>
      <c r="B24" s="53" t="str">
        <f>IF(AND(C24&lt;&gt;"", COUNTIF('マスタ'!$C:$C, C24)=0), "マスタ未登録", "")</f>
        <v/>
      </c>
      <c r="C24" s="53" t="str">
        <f t="shared" si="1"/>
        <v>販売促進費</v>
      </c>
      <c r="D24" s="10"/>
      <c r="E24" s="10"/>
      <c r="F24" s="10" t="s">
        <v>101</v>
      </c>
      <c r="G24" s="10"/>
      <c r="H24" s="10"/>
      <c r="I24" s="10"/>
      <c r="J24" s="97">
        <v>391000.0</v>
      </c>
      <c r="K24" s="97">
        <v>0.0</v>
      </c>
      <c r="L24" s="97">
        <v>0.0</v>
      </c>
      <c r="M24" s="97">
        <v>0.0</v>
      </c>
      <c r="N24" s="97">
        <v>0.0</v>
      </c>
      <c r="O24" s="97">
        <v>0.0</v>
      </c>
      <c r="P24" s="97">
        <v>0.0</v>
      </c>
      <c r="Q24" s="97">
        <v>0.0</v>
      </c>
      <c r="R24" s="97">
        <v>0.0</v>
      </c>
      <c r="S24" s="97">
        <v>0.0</v>
      </c>
      <c r="T24" s="97">
        <v>0.0</v>
      </c>
      <c r="U24" s="97">
        <v>0.0</v>
      </c>
      <c r="V24" s="97">
        <v>391000.0</v>
      </c>
      <c r="W24" s="10"/>
      <c r="X24" s="10"/>
      <c r="Y24" s="10"/>
      <c r="Z24" s="10"/>
      <c r="AA24" s="10"/>
      <c r="AB24" s="10"/>
      <c r="AC24" s="10"/>
    </row>
    <row r="25" ht="15.75" customHeight="1">
      <c r="A25" s="59" t="str">
        <f t="array" ref="A25">XLOOKUP(C25, 'マスタ'!$C$2:$C$312, 'マスタ'!$D$2:$D$312, "マスタ未登録")</f>
        <v>広告宣伝費</v>
      </c>
      <c r="B25" s="53" t="str">
        <f>IF(AND(C25&lt;&gt;"", COUNTIF('マスタ'!$C:$C, C25)=0), "マスタ未登録", "")</f>
        <v/>
      </c>
      <c r="C25" s="53" t="str">
        <f t="shared" si="1"/>
        <v>広告宣伝費</v>
      </c>
      <c r="D25" s="10"/>
      <c r="E25" s="10"/>
      <c r="F25" s="10" t="s">
        <v>81</v>
      </c>
      <c r="G25" s="10"/>
      <c r="H25" s="10"/>
      <c r="I25" s="10"/>
      <c r="J25" s="97">
        <v>1414856.0</v>
      </c>
      <c r="K25" s="97">
        <v>0.0</v>
      </c>
      <c r="L25" s="97">
        <v>0.0</v>
      </c>
      <c r="M25" s="97">
        <v>0.0</v>
      </c>
      <c r="N25" s="97">
        <v>0.0</v>
      </c>
      <c r="O25" s="97">
        <v>0.0</v>
      </c>
      <c r="P25" s="97">
        <v>0.0</v>
      </c>
      <c r="Q25" s="97">
        <v>0.0</v>
      </c>
      <c r="R25" s="97">
        <v>0.0</v>
      </c>
      <c r="S25" s="97">
        <v>0.0</v>
      </c>
      <c r="T25" s="97">
        <v>0.0</v>
      </c>
      <c r="U25" s="97">
        <v>0.0</v>
      </c>
      <c r="V25" s="97">
        <v>1414856.0</v>
      </c>
      <c r="W25" s="10"/>
      <c r="X25" s="10"/>
      <c r="Y25" s="10"/>
      <c r="Z25" s="10"/>
      <c r="AA25" s="10"/>
      <c r="AB25" s="10"/>
      <c r="AC25" s="10"/>
    </row>
    <row r="26" ht="15.75" customHeight="1">
      <c r="A26" s="59" t="str">
        <f t="array" ref="A26">XLOOKUP(C26, 'マスタ'!$C$2:$C$312, 'マスタ'!$D$2:$D$312, "マスタ未登録")</f>
        <v>荷造運賃</v>
      </c>
      <c r="B26" s="53" t="str">
        <f>IF(AND(C26&lt;&gt;"", COUNTIF('マスタ'!$C:$C, C26)=0), "マスタ未登録", "")</f>
        <v/>
      </c>
      <c r="C26" s="53" t="str">
        <f t="shared" si="1"/>
        <v>荷造運賃</v>
      </c>
      <c r="D26" s="10"/>
      <c r="E26" s="10"/>
      <c r="F26" s="10" t="s">
        <v>80</v>
      </c>
      <c r="G26" s="10"/>
      <c r="H26" s="10"/>
      <c r="I26" s="10"/>
      <c r="J26" s="97">
        <v>454657.0</v>
      </c>
      <c r="K26" s="97">
        <v>0.0</v>
      </c>
      <c r="L26" s="97">
        <v>0.0</v>
      </c>
      <c r="M26" s="97">
        <v>0.0</v>
      </c>
      <c r="N26" s="97">
        <v>0.0</v>
      </c>
      <c r="O26" s="97">
        <v>0.0</v>
      </c>
      <c r="P26" s="97">
        <v>0.0</v>
      </c>
      <c r="Q26" s="97">
        <v>0.0</v>
      </c>
      <c r="R26" s="97">
        <v>0.0</v>
      </c>
      <c r="S26" s="97">
        <v>0.0</v>
      </c>
      <c r="T26" s="97">
        <v>0.0</v>
      </c>
      <c r="U26" s="97">
        <v>0.0</v>
      </c>
      <c r="V26" s="97">
        <v>454657.0</v>
      </c>
      <c r="W26" s="10"/>
      <c r="X26" s="10"/>
      <c r="Y26" s="10"/>
      <c r="Z26" s="10"/>
      <c r="AA26" s="10"/>
      <c r="AB26" s="10"/>
      <c r="AC26" s="10"/>
    </row>
    <row r="27" ht="15.75" customHeight="1">
      <c r="A27" s="59" t="str">
        <f t="array" ref="A27">XLOOKUP(C27, 'マスタ'!$C$2:$C$312, 'マスタ'!$D$2:$D$312, "マスタ未登録")</f>
        <v>支払手数料</v>
      </c>
      <c r="B27" s="53" t="str">
        <f>IF(AND(C27&lt;&gt;"", COUNTIF('マスタ'!$C:$C, C27)=0), "マスタ未登録", "")</f>
        <v/>
      </c>
      <c r="C27" s="53" t="str">
        <f t="shared" si="1"/>
        <v>支払手数料</v>
      </c>
      <c r="D27" s="10"/>
      <c r="E27" s="10"/>
      <c r="F27" s="10" t="s">
        <v>92</v>
      </c>
      <c r="G27" s="10"/>
      <c r="H27" s="10"/>
      <c r="I27" s="10"/>
      <c r="J27" s="97">
        <v>296439.0</v>
      </c>
      <c r="K27" s="97">
        <v>0.0</v>
      </c>
      <c r="L27" s="97">
        <v>0.0</v>
      </c>
      <c r="M27" s="97">
        <v>0.0</v>
      </c>
      <c r="N27" s="97">
        <v>0.0</v>
      </c>
      <c r="O27" s="97">
        <v>0.0</v>
      </c>
      <c r="P27" s="97">
        <v>0.0</v>
      </c>
      <c r="Q27" s="97">
        <v>0.0</v>
      </c>
      <c r="R27" s="97">
        <v>0.0</v>
      </c>
      <c r="S27" s="97">
        <v>0.0</v>
      </c>
      <c r="T27" s="97">
        <v>0.0</v>
      </c>
      <c r="U27" s="97">
        <v>0.0</v>
      </c>
      <c r="V27" s="97">
        <v>296439.0</v>
      </c>
      <c r="W27" s="10"/>
      <c r="X27" s="10"/>
      <c r="Y27" s="10"/>
      <c r="Z27" s="10"/>
      <c r="AA27" s="10"/>
      <c r="AB27" s="10"/>
      <c r="AC27" s="10"/>
    </row>
    <row r="28" ht="15.75" customHeight="1">
      <c r="A28" s="59" t="str">
        <f t="array" ref="A28">XLOOKUP(C28, 'マスタ'!$C$2:$C$312, 'マスタ'!$D$2:$D$312, "マスタ未登録")</f>
        <v>接待交際費</v>
      </c>
      <c r="B28" s="53" t="str">
        <f>IF(AND(C28&lt;&gt;"", COUNTIF('マスタ'!$C:$C, C28)=0), "マスタ未登録", "")</f>
        <v/>
      </c>
      <c r="C28" s="53" t="str">
        <f t="shared" si="1"/>
        <v>交際費（11,000円以下/人）</v>
      </c>
      <c r="D28" s="10"/>
      <c r="E28" s="10"/>
      <c r="F28" s="10" t="s">
        <v>240</v>
      </c>
      <c r="G28" s="10"/>
      <c r="H28" s="10"/>
      <c r="I28" s="10"/>
      <c r="J28" s="97">
        <v>27365.0</v>
      </c>
      <c r="K28" s="97">
        <v>0.0</v>
      </c>
      <c r="L28" s="97">
        <v>0.0</v>
      </c>
      <c r="M28" s="97">
        <v>0.0</v>
      </c>
      <c r="N28" s="97">
        <v>0.0</v>
      </c>
      <c r="O28" s="97">
        <v>0.0</v>
      </c>
      <c r="P28" s="97">
        <v>0.0</v>
      </c>
      <c r="Q28" s="97">
        <v>0.0</v>
      </c>
      <c r="R28" s="97">
        <v>0.0</v>
      </c>
      <c r="S28" s="97">
        <v>0.0</v>
      </c>
      <c r="T28" s="97">
        <v>0.0</v>
      </c>
      <c r="U28" s="97">
        <v>0.0</v>
      </c>
      <c r="V28" s="97">
        <v>27365.0</v>
      </c>
      <c r="W28" s="10"/>
      <c r="X28" s="10"/>
      <c r="Y28" s="10"/>
      <c r="Z28" s="10"/>
      <c r="AA28" s="10"/>
      <c r="AB28" s="10"/>
      <c r="AC28" s="10"/>
    </row>
    <row r="29" ht="15.75" customHeight="1">
      <c r="A29" s="59" t="str">
        <f t="array" ref="A29">XLOOKUP(C29, 'マスタ'!$C$2:$C$312, 'マスタ'!$D$2:$D$312, "マスタ未登録")</f>
        <v>接待交際費</v>
      </c>
      <c r="B29" s="53" t="str">
        <f>IF(AND(C29&lt;&gt;"", COUNTIF('マスタ'!$C:$C, C29)=0), "マスタ未登録", "")</f>
        <v/>
      </c>
      <c r="C29" s="53" t="str">
        <f t="shared" si="1"/>
        <v>交際費（11,000円超/人）</v>
      </c>
      <c r="D29" s="10"/>
      <c r="E29" s="10"/>
      <c r="F29" s="10" t="s">
        <v>241</v>
      </c>
      <c r="G29" s="10"/>
      <c r="H29" s="10"/>
      <c r="I29" s="10"/>
      <c r="J29" s="97">
        <v>54264.0</v>
      </c>
      <c r="K29" s="97">
        <v>0.0</v>
      </c>
      <c r="L29" s="97">
        <v>0.0</v>
      </c>
      <c r="M29" s="97">
        <v>0.0</v>
      </c>
      <c r="N29" s="97">
        <v>0.0</v>
      </c>
      <c r="O29" s="97">
        <v>0.0</v>
      </c>
      <c r="P29" s="97">
        <v>0.0</v>
      </c>
      <c r="Q29" s="97">
        <v>0.0</v>
      </c>
      <c r="R29" s="97">
        <v>0.0</v>
      </c>
      <c r="S29" s="97">
        <v>0.0</v>
      </c>
      <c r="T29" s="97">
        <v>0.0</v>
      </c>
      <c r="U29" s="97">
        <v>0.0</v>
      </c>
      <c r="V29" s="97">
        <v>54264.0</v>
      </c>
      <c r="W29" s="10"/>
      <c r="X29" s="10"/>
      <c r="Y29" s="10"/>
      <c r="Z29" s="10"/>
      <c r="AA29" s="10"/>
      <c r="AB29" s="10"/>
      <c r="AC29" s="10"/>
    </row>
    <row r="30" ht="15.75" customHeight="1">
      <c r="A30" s="59" t="str">
        <f t="array" ref="A30">XLOOKUP(C30, 'マスタ'!$C$2:$C$312, 'マスタ'!$D$2:$D$312, "マスタ未登録")</f>
        <v>会議費</v>
      </c>
      <c r="B30" s="53" t="str">
        <f>IF(AND(C30&lt;&gt;"", COUNTIF('マスタ'!$C:$C, C30)=0), "マスタ未登録", "")</f>
        <v/>
      </c>
      <c r="C30" s="53" t="str">
        <f t="shared" si="1"/>
        <v>会議費</v>
      </c>
      <c r="D30" s="10"/>
      <c r="E30" s="10"/>
      <c r="F30" s="10" t="s">
        <v>94</v>
      </c>
      <c r="G30" s="10"/>
      <c r="H30" s="10"/>
      <c r="I30" s="10"/>
      <c r="J30" s="97">
        <v>3280.0</v>
      </c>
      <c r="K30" s="97">
        <v>0.0</v>
      </c>
      <c r="L30" s="97">
        <v>0.0</v>
      </c>
      <c r="M30" s="97">
        <v>0.0</v>
      </c>
      <c r="N30" s="97">
        <v>0.0</v>
      </c>
      <c r="O30" s="97">
        <v>0.0</v>
      </c>
      <c r="P30" s="97">
        <v>0.0</v>
      </c>
      <c r="Q30" s="97">
        <v>0.0</v>
      </c>
      <c r="R30" s="97">
        <v>0.0</v>
      </c>
      <c r="S30" s="97">
        <v>0.0</v>
      </c>
      <c r="T30" s="97">
        <v>0.0</v>
      </c>
      <c r="U30" s="97">
        <v>0.0</v>
      </c>
      <c r="V30" s="97">
        <v>3280.0</v>
      </c>
      <c r="W30" s="10"/>
      <c r="X30" s="10"/>
      <c r="Y30" s="10"/>
      <c r="Z30" s="10"/>
      <c r="AA30" s="10"/>
      <c r="AB30" s="10"/>
      <c r="AC30" s="10"/>
    </row>
    <row r="31" ht="15.75" customHeight="1">
      <c r="A31" s="59" t="str">
        <f t="array" ref="A31">XLOOKUP(C31, 'マスタ'!$C$2:$C$312, 'マスタ'!$D$2:$D$312, "マスタ未登録")</f>
        <v>減価償却費</v>
      </c>
      <c r="B31" s="53" t="str">
        <f>IF(AND(C31&lt;&gt;"", COUNTIF('マスタ'!$C:$C, C31)=0), "マスタ未登録", "")</f>
        <v/>
      </c>
      <c r="C31" s="53" t="str">
        <f t="shared" si="1"/>
        <v>減価償却費</v>
      </c>
      <c r="D31" s="10"/>
      <c r="E31" s="10"/>
      <c r="F31" s="10" t="s">
        <v>95</v>
      </c>
      <c r="G31" s="10"/>
      <c r="H31" s="10"/>
      <c r="I31" s="10"/>
      <c r="J31" s="97">
        <v>66879.0</v>
      </c>
      <c r="K31" s="97">
        <v>0.0</v>
      </c>
      <c r="L31" s="97">
        <v>0.0</v>
      </c>
      <c r="M31" s="97">
        <v>0.0</v>
      </c>
      <c r="N31" s="97">
        <v>0.0</v>
      </c>
      <c r="O31" s="97">
        <v>0.0</v>
      </c>
      <c r="P31" s="97">
        <v>0.0</v>
      </c>
      <c r="Q31" s="97">
        <v>0.0</v>
      </c>
      <c r="R31" s="97">
        <v>0.0</v>
      </c>
      <c r="S31" s="97">
        <v>0.0</v>
      </c>
      <c r="T31" s="97">
        <v>0.0</v>
      </c>
      <c r="U31" s="97">
        <v>0.0</v>
      </c>
      <c r="V31" s="97">
        <v>66879.0</v>
      </c>
      <c r="W31" s="10"/>
      <c r="X31" s="10"/>
      <c r="Y31" s="10"/>
      <c r="Z31" s="10"/>
      <c r="AA31" s="10"/>
      <c r="AB31" s="10"/>
      <c r="AC31" s="10"/>
    </row>
    <row r="32" ht="15.75" customHeight="1">
      <c r="A32" s="59" t="str">
        <f t="array" ref="A32">XLOOKUP(C32, 'マスタ'!$C$2:$C$312, 'マスタ'!$D$2:$D$312, "マスタ未登録")</f>
        <v>マスタ未登録</v>
      </c>
      <c r="B32" s="53" t="str">
        <f>IF(AND(C32&lt;&gt;"", COUNTIF('マスタ'!$C:$C, C32)=0), "マスタ未登録", "")</f>
        <v>マスタ未登録</v>
      </c>
      <c r="C32" s="53" t="str">
        <f t="shared" si="1"/>
        <v>販売管理費 計</v>
      </c>
      <c r="D32" s="10"/>
      <c r="E32" s="10" t="s">
        <v>183</v>
      </c>
      <c r="F32" s="10"/>
      <c r="G32" s="10"/>
      <c r="H32" s="10"/>
      <c r="I32" s="10"/>
      <c r="J32" s="97">
        <v>2708740.0</v>
      </c>
      <c r="K32" s="97">
        <v>0.0</v>
      </c>
      <c r="L32" s="97">
        <v>0.0</v>
      </c>
      <c r="M32" s="97">
        <v>0.0</v>
      </c>
      <c r="N32" s="97">
        <v>0.0</v>
      </c>
      <c r="O32" s="97">
        <v>0.0</v>
      </c>
      <c r="P32" s="97">
        <v>0.0</v>
      </c>
      <c r="Q32" s="97">
        <v>0.0</v>
      </c>
      <c r="R32" s="97">
        <v>0.0</v>
      </c>
      <c r="S32" s="97">
        <v>0.0</v>
      </c>
      <c r="T32" s="97">
        <v>0.0</v>
      </c>
      <c r="U32" s="97">
        <v>0.0</v>
      </c>
      <c r="V32" s="97">
        <v>2708740.0</v>
      </c>
      <c r="W32" s="10"/>
      <c r="X32" s="10"/>
      <c r="Y32" s="10"/>
      <c r="Z32" s="10"/>
      <c r="AA32" s="10"/>
      <c r="AB32" s="10"/>
      <c r="AC32" s="10"/>
    </row>
    <row r="33" ht="15.75" customHeight="1">
      <c r="A33" s="59" t="str">
        <f t="array" ref="A33">XLOOKUP(C33, 'マスタ'!$C$2:$C$312, 'マスタ'!$D$2:$D$312, "マスタ未登録")</f>
        <v>マスタ未登録</v>
      </c>
      <c r="B33" s="53" t="str">
        <f>IF(AND(C33&lt;&gt;"", COUNTIF('マスタ'!$C:$C, C33)=0), "マスタ未登録", "")</f>
        <v>マスタ未登録</v>
      </c>
      <c r="C33" s="53" t="str">
        <f t="shared" si="1"/>
        <v>営業損益金額</v>
      </c>
      <c r="D33" s="10" t="s">
        <v>184</v>
      </c>
      <c r="E33" s="10"/>
      <c r="F33" s="10"/>
      <c r="G33" s="10"/>
      <c r="H33" s="10"/>
      <c r="I33" s="10"/>
      <c r="J33" s="97">
        <v>-6857357.0</v>
      </c>
      <c r="K33" s="97">
        <v>-3467282.0</v>
      </c>
      <c r="L33" s="97">
        <v>0.0</v>
      </c>
      <c r="M33" s="97">
        <v>0.0</v>
      </c>
      <c r="N33" s="97">
        <v>0.0</v>
      </c>
      <c r="O33" s="97">
        <v>0.0</v>
      </c>
      <c r="P33" s="97">
        <v>0.0</v>
      </c>
      <c r="Q33" s="97">
        <v>0.0</v>
      </c>
      <c r="R33" s="97">
        <v>0.0</v>
      </c>
      <c r="S33" s="97">
        <v>0.0</v>
      </c>
      <c r="T33" s="97">
        <v>0.0</v>
      </c>
      <c r="U33" s="97">
        <v>0.0</v>
      </c>
      <c r="V33" s="97">
        <v>-1.0324639E7</v>
      </c>
      <c r="W33" s="10"/>
      <c r="X33" s="10"/>
      <c r="Y33" s="10"/>
      <c r="Z33" s="10"/>
      <c r="AA33" s="10"/>
      <c r="AB33" s="10"/>
      <c r="AC33" s="10"/>
    </row>
    <row r="34" ht="15.75" customHeight="1">
      <c r="A34" s="59" t="str">
        <f t="array" ref="A34">XLOOKUP(C34, 'マスタ'!$C$2:$C$312, 'マスタ'!$D$2:$D$312, "マスタ未登録")</f>
        <v>マスタ未登録</v>
      </c>
      <c r="B34" s="53" t="str">
        <f>IF(AND(C34&lt;&gt;"", COUNTIF('マスタ'!$C:$C, C34)=0), "マスタ未登録", "")</f>
        <v>マスタ未登録</v>
      </c>
      <c r="C34" s="53" t="str">
        <f t="shared" si="1"/>
        <v>営業外収益</v>
      </c>
      <c r="D34" s="10"/>
      <c r="E34" s="10" t="s">
        <v>32</v>
      </c>
      <c r="F34" s="10"/>
      <c r="G34" s="10"/>
      <c r="H34" s="10"/>
      <c r="I34" s="10"/>
      <c r="J34" s="97">
        <v>0.0</v>
      </c>
      <c r="K34" s="97">
        <v>0.0</v>
      </c>
      <c r="L34" s="97">
        <v>0.0</v>
      </c>
      <c r="M34" s="97">
        <v>0.0</v>
      </c>
      <c r="N34" s="97">
        <v>0.0</v>
      </c>
      <c r="O34" s="97">
        <v>0.0</v>
      </c>
      <c r="P34" s="97">
        <v>0.0</v>
      </c>
      <c r="Q34" s="97">
        <v>0.0</v>
      </c>
      <c r="R34" s="97">
        <v>0.0</v>
      </c>
      <c r="S34" s="97">
        <v>0.0</v>
      </c>
      <c r="T34" s="97">
        <v>0.0</v>
      </c>
      <c r="U34" s="97">
        <v>0.0</v>
      </c>
      <c r="V34" s="97">
        <v>0.0</v>
      </c>
      <c r="W34" s="10"/>
      <c r="X34" s="10"/>
      <c r="Y34" s="10"/>
      <c r="Z34" s="10"/>
      <c r="AA34" s="10"/>
      <c r="AB34" s="10"/>
      <c r="AC34" s="10"/>
    </row>
    <row r="35" ht="15.75" customHeight="1">
      <c r="A35" s="59" t="str">
        <f t="array" ref="A35">XLOOKUP(C35, 'マスタ'!$C$2:$C$312, 'マスタ'!$D$2:$D$312, "マスタ未登録")</f>
        <v>マスタ未登録</v>
      </c>
      <c r="B35" s="53" t="str">
        <f>IF(AND(C35&lt;&gt;"", COUNTIF('マスタ'!$C:$C, C35)=0), "マスタ未登録", "")</f>
        <v>マスタ未登録</v>
      </c>
      <c r="C35" s="53" t="str">
        <f t="shared" si="1"/>
        <v>営業外費用</v>
      </c>
      <c r="D35" s="10"/>
      <c r="E35" s="10" t="s">
        <v>34</v>
      </c>
      <c r="F35" s="10"/>
      <c r="G35" s="10"/>
      <c r="H35" s="10"/>
      <c r="I35" s="10"/>
      <c r="J35" s="97">
        <v>0.0</v>
      </c>
      <c r="K35" s="97">
        <v>0.0</v>
      </c>
      <c r="L35" s="97">
        <v>0.0</v>
      </c>
      <c r="M35" s="97">
        <v>0.0</v>
      </c>
      <c r="N35" s="97">
        <v>0.0</v>
      </c>
      <c r="O35" s="97">
        <v>0.0</v>
      </c>
      <c r="P35" s="97">
        <v>0.0</v>
      </c>
      <c r="Q35" s="97">
        <v>0.0</v>
      </c>
      <c r="R35" s="97">
        <v>0.0</v>
      </c>
      <c r="S35" s="97">
        <v>0.0</v>
      </c>
      <c r="T35" s="97">
        <v>0.0</v>
      </c>
      <c r="U35" s="97">
        <v>0.0</v>
      </c>
      <c r="V35" s="97">
        <v>0.0</v>
      </c>
      <c r="W35" s="10"/>
      <c r="X35" s="10"/>
      <c r="Y35" s="10"/>
      <c r="Z35" s="10"/>
      <c r="AA35" s="10"/>
      <c r="AB35" s="10"/>
      <c r="AC35" s="10"/>
    </row>
    <row r="36" ht="15.75" customHeight="1">
      <c r="A36" s="59" t="str">
        <f t="array" ref="A36">XLOOKUP(C36, 'マスタ'!$C$2:$C$312, 'マスタ'!$D$2:$D$312, "マスタ未登録")</f>
        <v>マスタ未登録</v>
      </c>
      <c r="B36" s="53" t="str">
        <f>IF(AND(C36&lt;&gt;"", COUNTIF('マスタ'!$C:$C, C36)=0), "マスタ未登録", "")</f>
        <v>マスタ未登録</v>
      </c>
      <c r="C36" s="53" t="str">
        <f t="shared" si="1"/>
        <v>経常損益金額</v>
      </c>
      <c r="D36" s="10" t="s">
        <v>112</v>
      </c>
      <c r="E36" s="10"/>
      <c r="F36" s="10"/>
      <c r="G36" s="10"/>
      <c r="H36" s="10"/>
      <c r="I36" s="10"/>
      <c r="J36" s="97">
        <v>-6857357.0</v>
      </c>
      <c r="K36" s="97">
        <v>-3467282.0</v>
      </c>
      <c r="L36" s="97">
        <v>0.0</v>
      </c>
      <c r="M36" s="97">
        <v>0.0</v>
      </c>
      <c r="N36" s="97">
        <v>0.0</v>
      </c>
      <c r="O36" s="97">
        <v>0.0</v>
      </c>
      <c r="P36" s="97">
        <v>0.0</v>
      </c>
      <c r="Q36" s="97">
        <v>0.0</v>
      </c>
      <c r="R36" s="97">
        <v>0.0</v>
      </c>
      <c r="S36" s="97">
        <v>0.0</v>
      </c>
      <c r="T36" s="97">
        <v>0.0</v>
      </c>
      <c r="U36" s="97">
        <v>0.0</v>
      </c>
      <c r="V36" s="97">
        <v>-1.0324639E7</v>
      </c>
      <c r="W36" s="10"/>
      <c r="X36" s="10"/>
      <c r="Y36" s="10"/>
      <c r="Z36" s="10"/>
      <c r="AA36" s="10"/>
      <c r="AB36" s="10"/>
      <c r="AC36" s="10"/>
    </row>
    <row r="37" ht="15.75" customHeight="1">
      <c r="A37" s="59" t="str">
        <f t="array" ref="A37">XLOOKUP(C37, 'マスタ'!$C$2:$C$312, 'マスタ'!$D$2:$D$312, "マスタ未登録")</f>
        <v>マスタ未登録</v>
      </c>
      <c r="B37" s="53" t="str">
        <f>IF(AND(C37&lt;&gt;"", COUNTIF('マスタ'!$C:$C, C37)=0), "マスタ未登録", "")</f>
        <v>マスタ未登録</v>
      </c>
      <c r="C37" s="53" t="str">
        <f t="shared" si="1"/>
        <v>特別利益</v>
      </c>
      <c r="D37" s="10"/>
      <c r="E37" s="10" t="s">
        <v>37</v>
      </c>
      <c r="F37" s="10"/>
      <c r="G37" s="10"/>
      <c r="H37" s="10"/>
      <c r="I37" s="10"/>
      <c r="J37" s="97">
        <v>0.0</v>
      </c>
      <c r="K37" s="97">
        <v>0.0</v>
      </c>
      <c r="L37" s="97">
        <v>0.0</v>
      </c>
      <c r="M37" s="97">
        <v>0.0</v>
      </c>
      <c r="N37" s="97">
        <v>0.0</v>
      </c>
      <c r="O37" s="97">
        <v>0.0</v>
      </c>
      <c r="P37" s="97">
        <v>0.0</v>
      </c>
      <c r="Q37" s="97">
        <v>0.0</v>
      </c>
      <c r="R37" s="97">
        <v>0.0</v>
      </c>
      <c r="S37" s="97">
        <v>0.0</v>
      </c>
      <c r="T37" s="97">
        <v>0.0</v>
      </c>
      <c r="U37" s="97">
        <v>0.0</v>
      </c>
      <c r="V37" s="97">
        <v>0.0</v>
      </c>
      <c r="W37" s="10"/>
      <c r="X37" s="10"/>
      <c r="Y37" s="10"/>
      <c r="Z37" s="10"/>
      <c r="AA37" s="10"/>
      <c r="AB37" s="10"/>
      <c r="AC37" s="10"/>
    </row>
    <row r="38" ht="15.75" customHeight="1">
      <c r="A38" s="59" t="str">
        <f t="array" ref="A38">XLOOKUP(C38, 'マスタ'!$C$2:$C$312, 'マスタ'!$D$2:$D$312, "マスタ未登録")</f>
        <v>マスタ未登録</v>
      </c>
      <c r="B38" s="53" t="str">
        <f>IF(AND(C38&lt;&gt;"", COUNTIF('マスタ'!$C:$C, C38)=0), "マスタ未登録", "")</f>
        <v>マスタ未登録</v>
      </c>
      <c r="C38" s="53" t="str">
        <f t="shared" si="1"/>
        <v>特別損失</v>
      </c>
      <c r="D38" s="10"/>
      <c r="E38" s="10" t="s">
        <v>39</v>
      </c>
      <c r="F38" s="10"/>
      <c r="G38" s="10"/>
      <c r="H38" s="10"/>
      <c r="I38" s="10"/>
      <c r="J38" s="97">
        <v>0.0</v>
      </c>
      <c r="K38" s="97">
        <v>0.0</v>
      </c>
      <c r="L38" s="97">
        <v>0.0</v>
      </c>
      <c r="M38" s="97">
        <v>0.0</v>
      </c>
      <c r="N38" s="97">
        <v>0.0</v>
      </c>
      <c r="O38" s="97">
        <v>0.0</v>
      </c>
      <c r="P38" s="97">
        <v>0.0</v>
      </c>
      <c r="Q38" s="97">
        <v>0.0</v>
      </c>
      <c r="R38" s="97">
        <v>0.0</v>
      </c>
      <c r="S38" s="97">
        <v>0.0</v>
      </c>
      <c r="T38" s="97">
        <v>0.0</v>
      </c>
      <c r="U38" s="97">
        <v>0.0</v>
      </c>
      <c r="V38" s="97">
        <v>0.0</v>
      </c>
      <c r="W38" s="10"/>
      <c r="X38" s="10"/>
      <c r="Y38" s="10"/>
      <c r="Z38" s="10"/>
      <c r="AA38" s="10"/>
      <c r="AB38" s="10"/>
      <c r="AC38" s="10"/>
    </row>
    <row r="39" ht="15.75" customHeight="1">
      <c r="A39" s="59" t="str">
        <f t="array" ref="A39">XLOOKUP(C39, 'マスタ'!$C$2:$C$312, 'マスタ'!$D$2:$D$312, "マスタ未登録")</f>
        <v>マスタ未登録</v>
      </c>
      <c r="B39" s="53" t="str">
        <f>IF(AND(C39&lt;&gt;"", COUNTIF('マスタ'!$C:$C, C39)=0), "マスタ未登録", "")</f>
        <v>マスタ未登録</v>
      </c>
      <c r="C39" s="53" t="str">
        <f t="shared" si="1"/>
        <v>税引前当期純損益金額</v>
      </c>
      <c r="D39" s="10" t="s">
        <v>117</v>
      </c>
      <c r="E39" s="10"/>
      <c r="F39" s="10"/>
      <c r="G39" s="10"/>
      <c r="H39" s="10"/>
      <c r="I39" s="10"/>
      <c r="J39" s="97">
        <v>-6857357.0</v>
      </c>
      <c r="K39" s="97">
        <v>-3467282.0</v>
      </c>
      <c r="L39" s="97">
        <v>0.0</v>
      </c>
      <c r="M39" s="97">
        <v>0.0</v>
      </c>
      <c r="N39" s="97">
        <v>0.0</v>
      </c>
      <c r="O39" s="97">
        <v>0.0</v>
      </c>
      <c r="P39" s="97">
        <v>0.0</v>
      </c>
      <c r="Q39" s="97">
        <v>0.0</v>
      </c>
      <c r="R39" s="97">
        <v>0.0</v>
      </c>
      <c r="S39" s="97">
        <v>0.0</v>
      </c>
      <c r="T39" s="97">
        <v>0.0</v>
      </c>
      <c r="U39" s="97">
        <v>0.0</v>
      </c>
      <c r="V39" s="97">
        <v>-1.0324639E7</v>
      </c>
      <c r="W39" s="10"/>
      <c r="X39" s="10"/>
      <c r="Y39" s="10"/>
      <c r="Z39" s="10"/>
      <c r="AA39" s="10"/>
      <c r="AB39" s="10"/>
      <c r="AC39" s="10"/>
    </row>
    <row r="40" ht="15.75" customHeight="1">
      <c r="A40" s="59" t="str">
        <f t="array" ref="A40">XLOOKUP(C40, 'マスタ'!$C$2:$C$312, 'マスタ'!$D$2:$D$312, "マスタ未登録")</f>
        <v>法人税等</v>
      </c>
      <c r="B40" s="53" t="str">
        <f>IF(AND(C40&lt;&gt;"", COUNTIF('マスタ'!$C:$C, C40)=0), "マスタ未登録", "")</f>
        <v/>
      </c>
      <c r="C40" s="53" t="str">
        <f t="shared" si="1"/>
        <v>法人税等</v>
      </c>
      <c r="D40" s="10"/>
      <c r="E40" s="10" t="s">
        <v>43</v>
      </c>
      <c r="F40" s="10"/>
      <c r="G40" s="10"/>
      <c r="H40" s="10"/>
      <c r="I40" s="10"/>
      <c r="J40" s="97">
        <v>0.0</v>
      </c>
      <c r="K40" s="97">
        <v>0.0</v>
      </c>
      <c r="L40" s="97">
        <v>0.0</v>
      </c>
      <c r="M40" s="97">
        <v>0.0</v>
      </c>
      <c r="N40" s="97">
        <v>0.0</v>
      </c>
      <c r="O40" s="97">
        <v>0.0</v>
      </c>
      <c r="P40" s="97">
        <v>0.0</v>
      </c>
      <c r="Q40" s="97">
        <v>0.0</v>
      </c>
      <c r="R40" s="97">
        <v>0.0</v>
      </c>
      <c r="S40" s="97">
        <v>0.0</v>
      </c>
      <c r="T40" s="97">
        <v>0.0</v>
      </c>
      <c r="U40" s="97">
        <v>0.0</v>
      </c>
      <c r="V40" s="97">
        <v>0.0</v>
      </c>
      <c r="W40" s="10"/>
      <c r="X40" s="10"/>
      <c r="Y40" s="10"/>
      <c r="Z40" s="10"/>
      <c r="AA40" s="10"/>
      <c r="AB40" s="10"/>
      <c r="AC40" s="10"/>
    </row>
    <row r="41" ht="15.75" customHeight="1">
      <c r="A41" s="59" t="str">
        <f t="array" ref="A41">XLOOKUP(C41, 'マスタ'!$C$2:$C$312, 'マスタ'!$D$2:$D$312, "マスタ未登録")</f>
        <v>法人税等調整額</v>
      </c>
      <c r="B41" s="53" t="str">
        <f>IF(AND(C41&lt;&gt;"", COUNTIF('マスタ'!$C:$C, C41)=0), "マスタ未登録", "")</f>
        <v/>
      </c>
      <c r="C41" s="53" t="str">
        <f t="shared" si="1"/>
        <v>法人税等調整額</v>
      </c>
      <c r="D41" s="10"/>
      <c r="E41" s="10" t="s">
        <v>118</v>
      </c>
      <c r="F41" s="10"/>
      <c r="G41" s="10"/>
      <c r="H41" s="10"/>
      <c r="I41" s="10"/>
      <c r="J41" s="97">
        <v>0.0</v>
      </c>
      <c r="K41" s="97">
        <v>0.0</v>
      </c>
      <c r="L41" s="97">
        <v>0.0</v>
      </c>
      <c r="M41" s="97">
        <v>0.0</v>
      </c>
      <c r="N41" s="97">
        <v>0.0</v>
      </c>
      <c r="O41" s="97">
        <v>0.0</v>
      </c>
      <c r="P41" s="97">
        <v>0.0</v>
      </c>
      <c r="Q41" s="97">
        <v>0.0</v>
      </c>
      <c r="R41" s="97">
        <v>0.0</v>
      </c>
      <c r="S41" s="97">
        <v>0.0</v>
      </c>
      <c r="T41" s="97">
        <v>0.0</v>
      </c>
      <c r="U41" s="97">
        <v>0.0</v>
      </c>
      <c r="V41" s="97">
        <v>0.0</v>
      </c>
      <c r="W41" s="10"/>
      <c r="X41" s="10"/>
      <c r="Y41" s="10"/>
      <c r="Z41" s="10"/>
      <c r="AA41" s="10"/>
      <c r="AB41" s="10"/>
      <c r="AC41" s="10"/>
    </row>
    <row r="42" ht="15.75" customHeight="1">
      <c r="A42" s="59" t="str">
        <f t="array" ref="A42">XLOOKUP(C42, 'マスタ'!$C$2:$C$312, 'マスタ'!$D$2:$D$312, "マスタ未登録")</f>
        <v>マスタ未登録</v>
      </c>
      <c r="B42" s="53" t="str">
        <f>IF(AND(C42&lt;&gt;"", COUNTIF('マスタ'!$C:$C, C42)=0), "マスタ未登録", "")</f>
        <v>マスタ未登録</v>
      </c>
      <c r="C42" s="53" t="str">
        <f t="shared" si="1"/>
        <v>当期純損益金額</v>
      </c>
      <c r="D42" s="10" t="s">
        <v>119</v>
      </c>
      <c r="E42" s="10"/>
      <c r="F42" s="10"/>
      <c r="G42" s="10"/>
      <c r="H42" s="10"/>
      <c r="I42" s="10"/>
      <c r="J42" s="97">
        <v>-6857357.0</v>
      </c>
      <c r="K42" s="97">
        <v>-3467282.0</v>
      </c>
      <c r="L42" s="97">
        <v>0.0</v>
      </c>
      <c r="M42" s="97">
        <v>0.0</v>
      </c>
      <c r="N42" s="97">
        <v>0.0</v>
      </c>
      <c r="O42" s="97">
        <v>0.0</v>
      </c>
      <c r="P42" s="97">
        <v>0.0</v>
      </c>
      <c r="Q42" s="97">
        <v>0.0</v>
      </c>
      <c r="R42" s="97">
        <v>0.0</v>
      </c>
      <c r="S42" s="97">
        <v>0.0</v>
      </c>
      <c r="T42" s="97">
        <v>0.0</v>
      </c>
      <c r="U42" s="97">
        <v>0.0</v>
      </c>
      <c r="V42" s="97">
        <v>-1.0324639E7</v>
      </c>
      <c r="W42" s="10"/>
      <c r="X42" s="10"/>
      <c r="Y42" s="10"/>
      <c r="Z42" s="10"/>
      <c r="AA42" s="10"/>
      <c r="AB42" s="10"/>
      <c r="AC42" s="10"/>
    </row>
    <row r="43" ht="15.75" customHeight="1">
      <c r="A43" s="59"/>
      <c r="B43" s="53" t="str">
        <f>IF(AND(C43&lt;&gt;"", COUNTIF('マスタ'!$C:$C, C43)=0), "マスタ未登録", "")</f>
        <v/>
      </c>
      <c r="C43" s="53" t="str">
        <f t="shared" si="1"/>
        <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ht="15.75" customHeight="1">
      <c r="A44" s="59"/>
      <c r="B44" s="53" t="str">
        <f>IF(AND(C44&lt;&gt;"", COUNTIF('マスタ'!$C:$C, C44)=0), "マスタ未登録", "")</f>
        <v/>
      </c>
      <c r="C44" s="53" t="str">
        <f t="shared" si="1"/>
        <v/>
      </c>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ht="15.75" customHeight="1">
      <c r="A45" s="59"/>
      <c r="B45" s="53" t="str">
        <f>IF(AND(C45&lt;&gt;"", COUNTIF('マスタ'!$C:$C, C45)=0), "マスタ未登録", "")</f>
        <v/>
      </c>
      <c r="C45" s="53" t="str">
        <f t="shared" si="1"/>
        <v/>
      </c>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ht="15.75" customHeight="1">
      <c r="A46" s="59"/>
      <c r="B46" s="53" t="str">
        <f>IF(AND(C46&lt;&gt;"", COUNTIF('マスタ'!$C:$C, C46)=0), "マスタ未登録", "")</f>
        <v/>
      </c>
      <c r="C46" s="53" t="str">
        <f t="shared" si="1"/>
        <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ht="15.75" customHeight="1">
      <c r="A47" s="59"/>
      <c r="B47" s="53" t="str">
        <f>IF(AND(C47&lt;&gt;"", COUNTIF('マスタ'!$C:$C, C47)=0), "マスタ未登録", "")</f>
        <v/>
      </c>
      <c r="C47" s="53" t="str">
        <f t="shared" si="1"/>
        <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ht="15.75" customHeight="1">
      <c r="A48" s="59"/>
      <c r="B48" s="53" t="str">
        <f>IF(AND(C48&lt;&gt;"", COUNTIF('マスタ'!$C:$C, C48)=0), "マスタ未登録", "")</f>
        <v/>
      </c>
      <c r="C48" s="53" t="str">
        <f t="shared" si="1"/>
        <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ht="15.75" customHeight="1">
      <c r="A49" s="59"/>
      <c r="B49" s="53" t="str">
        <f>IF(AND(C49&lt;&gt;"", COUNTIF('マスタ'!$C:$C, C49)=0), "マスタ未登録", "")</f>
        <v/>
      </c>
      <c r="C49" s="53" t="str">
        <f t="shared" si="1"/>
        <v/>
      </c>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ht="15.75" customHeight="1">
      <c r="A50" s="59"/>
      <c r="B50" s="53" t="str">
        <f>IF(AND(C50&lt;&gt;"", COUNTIF('マスタ'!$C:$C, C50)=0), "マスタ未登録", "")</f>
        <v/>
      </c>
      <c r="C50" s="53" t="str">
        <f t="shared" si="1"/>
        <v/>
      </c>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ht="15.75" customHeight="1">
      <c r="A51" s="59"/>
      <c r="B51" s="53" t="str">
        <f>IF(AND(C51&lt;&gt;"", COUNTIF('マスタ'!$C:$C, C51)=0), "マスタ未登録", "")</f>
        <v/>
      </c>
      <c r="C51" s="53" t="str">
        <f t="shared" si="1"/>
        <v/>
      </c>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ht="15.75" customHeight="1">
      <c r="A52" s="59"/>
      <c r="B52" s="53" t="str">
        <f>IF(AND(C52&lt;&gt;"", COUNTIF('マスタ'!$C:$C, C52)=0), "マスタ未登録", "")</f>
        <v/>
      </c>
      <c r="C52" s="53" t="str">
        <f t="shared" si="1"/>
        <v/>
      </c>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ht="15.75" customHeight="1">
      <c r="A53" s="59"/>
      <c r="B53" s="53" t="str">
        <f>IF(AND(C53&lt;&gt;"", COUNTIF('マスタ'!$C:$C, C53)=0), "マスタ未登録", "")</f>
        <v/>
      </c>
      <c r="C53" s="53" t="str">
        <f t="shared" si="1"/>
        <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ht="15.75" customHeight="1">
      <c r="A54" s="59"/>
      <c r="B54" s="53" t="str">
        <f>IF(AND(C54&lt;&gt;"", COUNTIF('マスタ'!$C:$C, C54)=0), "マスタ未登録", "")</f>
        <v/>
      </c>
      <c r="C54" s="53" t="str">
        <f t="shared" si="1"/>
        <v/>
      </c>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ht="15.75" customHeight="1">
      <c r="A55" s="59"/>
      <c r="B55" s="53" t="str">
        <f>IF(AND(C55&lt;&gt;"", COUNTIF('マスタ'!$C:$C, C55)=0), "マスタ未登録", "")</f>
        <v/>
      </c>
      <c r="C55" s="53" t="str">
        <f t="shared" si="1"/>
        <v/>
      </c>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ht="15.75" customHeight="1">
      <c r="A56" s="59"/>
      <c r="B56" s="53" t="str">
        <f>IF(AND(C56&lt;&gt;"", COUNTIF('マスタ'!$C:$C, C56)=0), "マスタ未登録", "")</f>
        <v/>
      </c>
      <c r="C56" s="53" t="str">
        <f t="shared" si="1"/>
        <v/>
      </c>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ht="15.75" customHeight="1">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ht="15.75" customHeight="1">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15.75" customHeight="1">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15.75" customHeight="1">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15.75" customHeight="1">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15.75" customHeight="1">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15.75" customHeight="1">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15.75" customHeight="1">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15.75" customHeight="1">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15.75" customHeight="1">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15.75" customHeight="1">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15.75" customHeight="1">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15.75" customHeight="1">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15.75" customHeight="1">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15.75" customHeight="1">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15.75" customHeight="1">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15.75" customHeight="1">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15.75" customHeight="1">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15.75" customHeight="1">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15.75" customHeight="1">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15.75" customHeight="1">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15.75" customHeight="1">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15.75" customHeight="1">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15.75" customHeight="1">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15.75" customHeight="1">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15.75" customHeight="1">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15.75" customHeight="1">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15.75" customHeight="1">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62" t="s">
        <v>371</v>
      </c>
      <c r="B1" s="53" t="s">
        <v>222</v>
      </c>
      <c r="C1" s="53" t="s">
        <v>223</v>
      </c>
      <c r="D1" s="10" t="s">
        <v>357</v>
      </c>
      <c r="E1" s="10"/>
      <c r="F1" s="10"/>
      <c r="G1" s="10"/>
      <c r="H1" s="10"/>
      <c r="I1" s="10"/>
      <c r="J1" s="10"/>
      <c r="K1" s="10"/>
      <c r="L1" s="10"/>
      <c r="M1" s="10"/>
      <c r="N1" s="10"/>
      <c r="O1" s="10"/>
      <c r="P1" s="10"/>
      <c r="Q1" s="10"/>
      <c r="R1" s="10"/>
      <c r="S1" s="10"/>
      <c r="T1" s="10"/>
      <c r="U1" s="10"/>
      <c r="V1" s="10"/>
      <c r="W1" s="10"/>
      <c r="X1" s="10"/>
      <c r="Y1" s="10"/>
      <c r="Z1" s="10"/>
      <c r="AA1" s="10"/>
      <c r="AB1" s="10"/>
      <c r="AC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c r="W2" s="10"/>
      <c r="X2" s="10"/>
      <c r="Y2" s="10"/>
      <c r="Z2" s="10"/>
      <c r="AA2" s="10"/>
      <c r="AB2" s="10"/>
      <c r="AC2" s="10"/>
    </row>
    <row r="3" ht="15.75" customHeight="1">
      <c r="B3" s="53"/>
      <c r="C3" s="53"/>
      <c r="D3" s="10" t="s">
        <v>1</v>
      </c>
      <c r="E3" s="10"/>
      <c r="F3" s="10"/>
      <c r="G3" s="10"/>
      <c r="H3" s="10"/>
      <c r="I3" s="10"/>
      <c r="J3" s="10"/>
      <c r="K3" s="10"/>
      <c r="L3" s="10"/>
      <c r="M3" s="10"/>
      <c r="N3" s="10"/>
      <c r="O3" s="10"/>
      <c r="P3" s="10"/>
      <c r="Q3" s="10"/>
      <c r="R3" s="10"/>
      <c r="S3" s="10"/>
      <c r="T3" s="10"/>
      <c r="U3" s="10"/>
      <c r="V3" s="10"/>
      <c r="W3" s="10"/>
      <c r="X3" s="10"/>
      <c r="Y3" s="10"/>
      <c r="Z3" s="10"/>
      <c r="AA3" s="10"/>
      <c r="AB3" s="10"/>
      <c r="AC3" s="10"/>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D4" s="10"/>
      <c r="E4" s="10" t="s">
        <v>1</v>
      </c>
      <c r="F4" s="10"/>
      <c r="G4" s="10"/>
      <c r="H4" s="10"/>
      <c r="I4" s="10"/>
      <c r="J4" s="97">
        <v>4.6858362E7</v>
      </c>
      <c r="K4" s="97">
        <v>0.0</v>
      </c>
      <c r="L4" s="97">
        <v>0.0</v>
      </c>
      <c r="M4" s="97">
        <v>0.0</v>
      </c>
      <c r="N4" s="97">
        <v>0.0</v>
      </c>
      <c r="O4" s="97">
        <v>0.0</v>
      </c>
      <c r="P4" s="97">
        <v>0.0</v>
      </c>
      <c r="Q4" s="97">
        <v>0.0</v>
      </c>
      <c r="R4" s="97">
        <v>0.0</v>
      </c>
      <c r="S4" s="97">
        <v>0.0</v>
      </c>
      <c r="T4" s="97">
        <v>0.0</v>
      </c>
      <c r="U4" s="97">
        <v>0.0</v>
      </c>
      <c r="V4" s="97">
        <v>4.6858362E7</v>
      </c>
      <c r="W4" s="10"/>
      <c r="X4" s="10"/>
      <c r="Y4" s="10"/>
      <c r="Z4" s="10"/>
      <c r="AA4" s="10"/>
      <c r="AB4" s="10"/>
      <c r="AC4" s="10"/>
    </row>
    <row r="5" ht="15.75" customHeight="1">
      <c r="A5" s="59" t="str">
        <f t="array" ref="A5">XLOOKUP(C5, 'マスタ'!$C$2:$C$312, 'マスタ'!$D$2:$D$312, "マスタ未登録")</f>
        <v>売上高</v>
      </c>
      <c r="B5" s="53" t="str">
        <f>IF(AND(C5&lt;&gt;"", COUNTIF('マスタ'!$C:$C, C5)=0), "マスタ未登録", "")</f>
        <v/>
      </c>
      <c r="C5" s="53" t="str">
        <f t="shared" si="1"/>
        <v>委託販売売上高</v>
      </c>
      <c r="D5" s="10"/>
      <c r="E5" s="10" t="s">
        <v>358</v>
      </c>
      <c r="F5" s="10"/>
      <c r="G5" s="10"/>
      <c r="H5" s="10"/>
      <c r="I5" s="10"/>
      <c r="J5" s="97">
        <v>2172729.0</v>
      </c>
      <c r="K5" s="97">
        <v>0.0</v>
      </c>
      <c r="L5" s="97">
        <v>0.0</v>
      </c>
      <c r="M5" s="97">
        <v>0.0</v>
      </c>
      <c r="N5" s="97">
        <v>0.0</v>
      </c>
      <c r="O5" s="97">
        <v>0.0</v>
      </c>
      <c r="P5" s="97">
        <v>0.0</v>
      </c>
      <c r="Q5" s="97">
        <v>0.0</v>
      </c>
      <c r="R5" s="97">
        <v>0.0</v>
      </c>
      <c r="S5" s="97">
        <v>0.0</v>
      </c>
      <c r="T5" s="97">
        <v>0.0</v>
      </c>
      <c r="U5" s="97">
        <v>0.0</v>
      </c>
      <c r="V5" s="97">
        <v>2172729.0</v>
      </c>
      <c r="W5" s="10"/>
      <c r="X5" s="10"/>
      <c r="Y5" s="10"/>
      <c r="Z5" s="10"/>
      <c r="AA5" s="10"/>
      <c r="AB5" s="10"/>
      <c r="AC5" s="10"/>
    </row>
    <row r="6" ht="15.75" customHeight="1">
      <c r="A6" s="59" t="str">
        <f t="array" ref="A6">XLOOKUP(C6, 'マスタ'!$C$2:$C$312, 'マスタ'!$D$2:$D$312, "マスタ未登録")</f>
        <v>マスタ未登録</v>
      </c>
      <c r="B6" s="53" t="str">
        <f>IF(AND(C6&lt;&gt;"", COUNTIF('マスタ'!$C:$C, C6)=0), "マスタ未登録", "")</f>
        <v>マスタ未登録</v>
      </c>
      <c r="C6" s="53" t="str">
        <f t="shared" si="1"/>
        <v>売上高 計</v>
      </c>
      <c r="D6" s="10" t="s">
        <v>226</v>
      </c>
      <c r="E6" s="10"/>
      <c r="F6" s="10"/>
      <c r="G6" s="10"/>
      <c r="H6" s="10"/>
      <c r="I6" s="10"/>
      <c r="J6" s="97">
        <v>4.9031091E7</v>
      </c>
      <c r="K6" s="97">
        <v>0.0</v>
      </c>
      <c r="L6" s="97">
        <v>0.0</v>
      </c>
      <c r="M6" s="97">
        <v>0.0</v>
      </c>
      <c r="N6" s="97">
        <v>0.0</v>
      </c>
      <c r="O6" s="97">
        <v>0.0</v>
      </c>
      <c r="P6" s="97">
        <v>0.0</v>
      </c>
      <c r="Q6" s="97">
        <v>0.0</v>
      </c>
      <c r="R6" s="97">
        <v>0.0</v>
      </c>
      <c r="S6" s="97">
        <v>0.0</v>
      </c>
      <c r="T6" s="97">
        <v>0.0</v>
      </c>
      <c r="U6" s="97">
        <v>0.0</v>
      </c>
      <c r="V6" s="97">
        <v>4.9031091E7</v>
      </c>
      <c r="W6" s="10"/>
      <c r="X6" s="10"/>
      <c r="Y6" s="10"/>
      <c r="Z6" s="10"/>
      <c r="AA6" s="10"/>
      <c r="AB6" s="10"/>
      <c r="AC6" s="10"/>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D7" s="10"/>
      <c r="E7" s="10" t="s">
        <v>28</v>
      </c>
      <c r="F7" s="10"/>
      <c r="G7" s="10"/>
      <c r="H7" s="10"/>
      <c r="I7" s="10"/>
      <c r="J7" s="10"/>
      <c r="K7" s="10"/>
      <c r="L7" s="10"/>
      <c r="M7" s="10"/>
      <c r="N7" s="10"/>
      <c r="O7" s="10"/>
      <c r="P7" s="10"/>
      <c r="Q7" s="10"/>
      <c r="R7" s="10"/>
      <c r="S7" s="10"/>
      <c r="T7" s="10"/>
      <c r="U7" s="10"/>
      <c r="V7" s="10"/>
      <c r="W7" s="10"/>
      <c r="X7" s="10"/>
      <c r="Y7" s="10"/>
      <c r="Z7" s="10"/>
      <c r="AA7" s="10"/>
      <c r="AB7" s="10"/>
      <c r="AC7" s="10"/>
    </row>
    <row r="8" ht="15.75" customHeight="1">
      <c r="A8" s="59" t="str">
        <f t="array" ref="A8">XLOOKUP(C8, 'マスタ'!$C$2:$C$312, 'マスタ'!$D$2:$D$312, "マスタ未登録")</f>
        <v>マスタ未登録</v>
      </c>
      <c r="B8" s="53" t="str">
        <f>IF(AND(C8&lt;&gt;"", COUNTIF('マスタ'!$C:$C, C8)=0), "マスタ未登録", "")</f>
        <v>マスタ未登録</v>
      </c>
      <c r="C8" s="53" t="str">
        <f t="shared" si="1"/>
        <v>売上原価</v>
      </c>
      <c r="D8" s="10"/>
      <c r="E8" s="10" t="s">
        <v>28</v>
      </c>
      <c r="F8" s="10"/>
      <c r="G8" s="10"/>
      <c r="H8" s="10"/>
      <c r="I8" s="10"/>
      <c r="J8" s="97">
        <v>3.3447897E7</v>
      </c>
      <c r="K8" s="97">
        <v>1709448.0</v>
      </c>
      <c r="L8" s="97">
        <v>0.0</v>
      </c>
      <c r="M8" s="97">
        <v>0.0</v>
      </c>
      <c r="N8" s="97">
        <v>0.0</v>
      </c>
      <c r="O8" s="97">
        <v>0.0</v>
      </c>
      <c r="P8" s="97">
        <v>0.0</v>
      </c>
      <c r="Q8" s="97">
        <v>0.0</v>
      </c>
      <c r="R8" s="97">
        <v>0.0</v>
      </c>
      <c r="S8" s="97">
        <v>0.0</v>
      </c>
      <c r="T8" s="97">
        <v>0.0</v>
      </c>
      <c r="U8" s="97">
        <v>0.0</v>
      </c>
      <c r="V8" s="97">
        <v>3.5157345E7</v>
      </c>
      <c r="W8" s="10"/>
      <c r="X8" s="10"/>
      <c r="Y8" s="10"/>
      <c r="Z8" s="10"/>
      <c r="AA8" s="10"/>
      <c r="AB8" s="10"/>
      <c r="AC8" s="10"/>
    </row>
    <row r="9" ht="15.75" customHeight="1">
      <c r="A9" s="59" t="str">
        <f t="array" ref="A9">XLOOKUP(C9, 'マスタ'!$C$2:$C$312, 'マスタ'!$D$2:$D$312, "マスタ未登録")</f>
        <v>期首商品棚卸高</v>
      </c>
      <c r="B9" s="53" t="str">
        <f>IF(AND(C9&lt;&gt;"", COUNTIF('マスタ'!$C:$C, C9)=0), "マスタ未登録", "")</f>
        <v/>
      </c>
      <c r="C9" s="53" t="str">
        <f t="shared" si="1"/>
        <v>期首商品棚卸</v>
      </c>
      <c r="D9" s="10"/>
      <c r="E9" s="10"/>
      <c r="F9" s="10"/>
      <c r="G9" s="10" t="s">
        <v>227</v>
      </c>
      <c r="H9" s="10"/>
      <c r="I9" s="10"/>
      <c r="J9" s="97">
        <v>0.0</v>
      </c>
      <c r="K9" s="97">
        <v>0.0</v>
      </c>
      <c r="L9" s="97">
        <v>0.0</v>
      </c>
      <c r="M9" s="97">
        <v>0.0</v>
      </c>
      <c r="N9" s="97">
        <v>0.0</v>
      </c>
      <c r="O9" s="97">
        <v>0.0</v>
      </c>
      <c r="P9" s="97">
        <v>0.0</v>
      </c>
      <c r="Q9" s="97">
        <v>0.0</v>
      </c>
      <c r="R9" s="97">
        <v>0.0</v>
      </c>
      <c r="S9" s="97">
        <v>0.0</v>
      </c>
      <c r="T9" s="97">
        <v>0.0</v>
      </c>
      <c r="U9" s="97">
        <v>0.0</v>
      </c>
      <c r="V9" s="97">
        <v>0.0</v>
      </c>
      <c r="W9" s="10"/>
      <c r="X9" s="10"/>
      <c r="Y9" s="10"/>
      <c r="Z9" s="10"/>
      <c r="AA9" s="10"/>
      <c r="AB9" s="10"/>
      <c r="AC9" s="10"/>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当期商品仕入合計</v>
      </c>
      <c r="D10" s="10"/>
      <c r="E10" s="10"/>
      <c r="F10" s="10"/>
      <c r="G10" s="10" t="s">
        <v>372</v>
      </c>
      <c r="H10" s="10"/>
      <c r="I10" s="10"/>
      <c r="J10" s="97">
        <v>3.3538543E7</v>
      </c>
      <c r="K10" s="97">
        <v>150000.0</v>
      </c>
      <c r="L10" s="97">
        <v>0.0</v>
      </c>
      <c r="M10" s="97">
        <v>0.0</v>
      </c>
      <c r="N10" s="97">
        <v>0.0</v>
      </c>
      <c r="O10" s="97">
        <v>0.0</v>
      </c>
      <c r="P10" s="97">
        <v>0.0</v>
      </c>
      <c r="Q10" s="97">
        <v>0.0</v>
      </c>
      <c r="R10" s="97">
        <v>0.0</v>
      </c>
      <c r="S10" s="97">
        <v>0.0</v>
      </c>
      <c r="T10" s="97">
        <v>0.0</v>
      </c>
      <c r="U10" s="97">
        <v>0.0</v>
      </c>
      <c r="V10" s="97">
        <v>3.3688543E7</v>
      </c>
      <c r="W10" s="10"/>
      <c r="X10" s="10"/>
      <c r="Y10" s="10"/>
      <c r="Z10" s="10"/>
      <c r="AA10" s="10"/>
      <c r="AB10" s="10"/>
      <c r="AC10" s="10"/>
    </row>
    <row r="11" ht="15.75" customHeight="1">
      <c r="A11" s="59" t="str">
        <f t="array" ref="A11">XLOOKUP(C11, 'マスタ'!$C$2:$C$312, 'マスタ'!$D$2:$D$312, "マスタ未登録")</f>
        <v>当期商品仕入高</v>
      </c>
      <c r="B11" s="53" t="str">
        <f>IF(AND(C11&lt;&gt;"", COUNTIF('マスタ'!$C:$C, C11)=0), "マスタ未登録", "")</f>
        <v/>
      </c>
      <c r="C11" s="53" t="str">
        <f t="shared" si="1"/>
        <v>仕入高</v>
      </c>
      <c r="D11" s="10"/>
      <c r="E11" s="10"/>
      <c r="F11" s="10"/>
      <c r="G11" s="10"/>
      <c r="H11" s="10" t="s">
        <v>138</v>
      </c>
      <c r="I11" s="10"/>
      <c r="J11" s="97">
        <v>4587586.0</v>
      </c>
      <c r="K11" s="97">
        <v>0.0</v>
      </c>
      <c r="L11" s="97">
        <v>0.0</v>
      </c>
      <c r="M11" s="97">
        <v>0.0</v>
      </c>
      <c r="N11" s="97">
        <v>0.0</v>
      </c>
      <c r="O11" s="97">
        <v>0.0</v>
      </c>
      <c r="P11" s="97">
        <v>0.0</v>
      </c>
      <c r="Q11" s="97">
        <v>0.0</v>
      </c>
      <c r="R11" s="97">
        <v>0.0</v>
      </c>
      <c r="S11" s="97">
        <v>0.0</v>
      </c>
      <c r="T11" s="97">
        <v>0.0</v>
      </c>
      <c r="U11" s="97">
        <v>0.0</v>
      </c>
      <c r="V11" s="97">
        <v>4587586.0</v>
      </c>
      <c r="W11" s="10"/>
      <c r="X11" s="10"/>
      <c r="Y11" s="10"/>
      <c r="Z11" s="10"/>
      <c r="AA11" s="10"/>
      <c r="AB11" s="10"/>
      <c r="AC11" s="10"/>
    </row>
    <row r="12" ht="15.75" customHeight="1">
      <c r="A12" s="59" t="str">
        <f t="array" ref="A12">XLOOKUP(C12, 'マスタ'!$C$2:$C$312, 'マスタ'!$D$2:$D$312, "マスタ未登録")</f>
        <v>当期商品仕入高</v>
      </c>
      <c r="B12" s="53" t="str">
        <f>IF(AND(C12&lt;&gt;"", COUNTIF('マスタ'!$C:$C, C12)=0), "マスタ未登録", "")</f>
        <v/>
      </c>
      <c r="C12" s="53" t="str">
        <f t="shared" si="1"/>
        <v>外注費(原)</v>
      </c>
      <c r="D12" s="10"/>
      <c r="E12" s="10"/>
      <c r="F12" s="10"/>
      <c r="G12" s="10"/>
      <c r="H12" s="10" t="s">
        <v>231</v>
      </c>
      <c r="I12" s="10"/>
      <c r="J12" s="97">
        <v>2.3641759E7</v>
      </c>
      <c r="K12" s="97">
        <v>150000.0</v>
      </c>
      <c r="L12" s="97">
        <v>0.0</v>
      </c>
      <c r="M12" s="97">
        <v>0.0</v>
      </c>
      <c r="N12" s="97">
        <v>0.0</v>
      </c>
      <c r="O12" s="97">
        <v>0.0</v>
      </c>
      <c r="P12" s="97">
        <v>0.0</v>
      </c>
      <c r="Q12" s="97">
        <v>0.0</v>
      </c>
      <c r="R12" s="97">
        <v>0.0</v>
      </c>
      <c r="S12" s="97">
        <v>0.0</v>
      </c>
      <c r="T12" s="97">
        <v>0.0</v>
      </c>
      <c r="U12" s="97">
        <v>0.0</v>
      </c>
      <c r="V12" s="97">
        <v>2.3791759E7</v>
      </c>
      <c r="W12" s="10"/>
      <c r="X12" s="10"/>
      <c r="Y12" s="10"/>
      <c r="Z12" s="10"/>
      <c r="AA12" s="10"/>
      <c r="AB12" s="10"/>
      <c r="AC12" s="10"/>
    </row>
    <row r="13" ht="15.75" customHeight="1">
      <c r="A13" s="59" t="str">
        <f t="array" ref="A13">XLOOKUP(C13, 'マスタ'!$C$2:$C$312, 'マスタ'!$D$2:$D$312, "マスタ未登録")</f>
        <v>当期商品仕入高</v>
      </c>
      <c r="B13" s="53" t="str">
        <f>IF(AND(C13&lt;&gt;"", COUNTIF('マスタ'!$C:$C, C13)=0), "マスタ未登録", "")</f>
        <v/>
      </c>
      <c r="C13" s="53" t="str">
        <f t="shared" si="1"/>
        <v>業務委託費(原・タレント)</v>
      </c>
      <c r="D13" s="10"/>
      <c r="E13" s="10"/>
      <c r="F13" s="10"/>
      <c r="G13" s="10"/>
      <c r="H13" s="10" t="s">
        <v>363</v>
      </c>
      <c r="I13" s="10"/>
      <c r="J13" s="97">
        <v>3108000.0</v>
      </c>
      <c r="K13" s="97">
        <v>0.0</v>
      </c>
      <c r="L13" s="97">
        <v>0.0</v>
      </c>
      <c r="M13" s="97">
        <v>0.0</v>
      </c>
      <c r="N13" s="97">
        <v>0.0</v>
      </c>
      <c r="O13" s="97">
        <v>0.0</v>
      </c>
      <c r="P13" s="97">
        <v>0.0</v>
      </c>
      <c r="Q13" s="97">
        <v>0.0</v>
      </c>
      <c r="R13" s="97">
        <v>0.0</v>
      </c>
      <c r="S13" s="97">
        <v>0.0</v>
      </c>
      <c r="T13" s="97">
        <v>0.0</v>
      </c>
      <c r="U13" s="97">
        <v>0.0</v>
      </c>
      <c r="V13" s="97">
        <v>3108000.0</v>
      </c>
      <c r="W13" s="10"/>
      <c r="X13" s="10"/>
      <c r="Y13" s="10"/>
      <c r="Z13" s="10"/>
      <c r="AA13" s="10"/>
      <c r="AB13" s="10"/>
      <c r="AC13" s="10"/>
    </row>
    <row r="14" ht="15.75" customHeight="1">
      <c r="A14" s="59" t="str">
        <f t="array" ref="A14">XLOOKUP(C14, 'マスタ'!$C$2:$C$312, 'マスタ'!$D$2:$D$312, "マスタ未登録")</f>
        <v>当期商品仕入高</v>
      </c>
      <c r="B14" s="53" t="str">
        <f>IF(AND(C14&lt;&gt;"", COUNTIF('マスタ'!$C:$C, C14)=0), "マスタ未登録", "")</f>
        <v/>
      </c>
      <c r="C14" s="53" t="str">
        <f t="shared" si="1"/>
        <v>業務委託費(原・製)</v>
      </c>
      <c r="D14" s="10"/>
      <c r="E14" s="10"/>
      <c r="F14" s="10"/>
      <c r="G14" s="10"/>
      <c r="H14" s="10" t="s">
        <v>364</v>
      </c>
      <c r="I14" s="10"/>
      <c r="J14" s="97">
        <v>1042250.0</v>
      </c>
      <c r="K14" s="97">
        <v>0.0</v>
      </c>
      <c r="L14" s="97">
        <v>0.0</v>
      </c>
      <c r="M14" s="97">
        <v>0.0</v>
      </c>
      <c r="N14" s="97">
        <v>0.0</v>
      </c>
      <c r="O14" s="97">
        <v>0.0</v>
      </c>
      <c r="P14" s="97">
        <v>0.0</v>
      </c>
      <c r="Q14" s="97">
        <v>0.0</v>
      </c>
      <c r="R14" s="97">
        <v>0.0</v>
      </c>
      <c r="S14" s="97">
        <v>0.0</v>
      </c>
      <c r="T14" s="97">
        <v>0.0</v>
      </c>
      <c r="U14" s="97">
        <v>0.0</v>
      </c>
      <c r="V14" s="97">
        <v>1042250.0</v>
      </c>
      <c r="W14" s="10"/>
      <c r="X14" s="10"/>
      <c r="Y14" s="10"/>
      <c r="Z14" s="10"/>
      <c r="AA14" s="10"/>
      <c r="AB14" s="10"/>
      <c r="AC14" s="10"/>
    </row>
    <row r="15" ht="15.75" customHeight="1">
      <c r="A15" s="59" t="str">
        <f t="array" ref="A15">XLOOKUP(C15, 'マスタ'!$C$2:$C$312, 'マスタ'!$D$2:$D$312, "マスタ未登録")</f>
        <v>当期商品仕入高</v>
      </c>
      <c r="B15" s="53" t="str">
        <f>IF(AND(C15&lt;&gt;"", COUNTIF('マスタ'!$C:$C, C15)=0), "マスタ未登録", "")</f>
        <v/>
      </c>
      <c r="C15" s="53" t="str">
        <f t="shared" si="1"/>
        <v>旅費交通費(原)</v>
      </c>
      <c r="D15" s="10"/>
      <c r="E15" s="10"/>
      <c r="F15" s="10"/>
      <c r="G15" s="10"/>
      <c r="H15" s="10" t="s">
        <v>233</v>
      </c>
      <c r="I15" s="10"/>
      <c r="J15" s="97">
        <v>282633.0</v>
      </c>
      <c r="K15" s="97">
        <v>0.0</v>
      </c>
      <c r="L15" s="97">
        <v>0.0</v>
      </c>
      <c r="M15" s="97">
        <v>0.0</v>
      </c>
      <c r="N15" s="97">
        <v>0.0</v>
      </c>
      <c r="O15" s="97">
        <v>0.0</v>
      </c>
      <c r="P15" s="97">
        <v>0.0</v>
      </c>
      <c r="Q15" s="97">
        <v>0.0</v>
      </c>
      <c r="R15" s="97">
        <v>0.0</v>
      </c>
      <c r="S15" s="97">
        <v>0.0</v>
      </c>
      <c r="T15" s="97">
        <v>0.0</v>
      </c>
      <c r="U15" s="97">
        <v>0.0</v>
      </c>
      <c r="V15" s="97">
        <v>282633.0</v>
      </c>
      <c r="W15" s="10"/>
      <c r="X15" s="10"/>
      <c r="Y15" s="10"/>
      <c r="Z15" s="10"/>
      <c r="AA15" s="10"/>
      <c r="AB15" s="10"/>
      <c r="AC15" s="10"/>
    </row>
    <row r="16" ht="15.75" customHeight="1">
      <c r="A16" s="59" t="str">
        <f t="array" ref="A16">XLOOKUP(C16, 'マスタ'!$C$2:$C$312, 'マスタ'!$D$2:$D$312, "マスタ未登録")</f>
        <v>当期商品仕入高</v>
      </c>
      <c r="B16" s="53" t="str">
        <f>IF(AND(C16&lt;&gt;"", COUNTIF('マスタ'!$C:$C, C16)=0), "マスタ未登録", "")</f>
        <v/>
      </c>
      <c r="C16" s="53" t="str">
        <f t="shared" si="1"/>
        <v>消耗品費(原)</v>
      </c>
      <c r="D16" s="10"/>
      <c r="E16" s="10"/>
      <c r="F16" s="10"/>
      <c r="G16" s="10"/>
      <c r="H16" s="10" t="s">
        <v>234</v>
      </c>
      <c r="I16" s="10"/>
      <c r="J16" s="97">
        <v>33331.0</v>
      </c>
      <c r="K16" s="97">
        <v>0.0</v>
      </c>
      <c r="L16" s="97">
        <v>0.0</v>
      </c>
      <c r="M16" s="97">
        <v>0.0</v>
      </c>
      <c r="N16" s="97">
        <v>0.0</v>
      </c>
      <c r="O16" s="97">
        <v>0.0</v>
      </c>
      <c r="P16" s="97">
        <v>0.0</v>
      </c>
      <c r="Q16" s="97">
        <v>0.0</v>
      </c>
      <c r="R16" s="97">
        <v>0.0</v>
      </c>
      <c r="S16" s="97">
        <v>0.0</v>
      </c>
      <c r="T16" s="97">
        <v>0.0</v>
      </c>
      <c r="U16" s="97">
        <v>0.0</v>
      </c>
      <c r="V16" s="97">
        <v>33331.0</v>
      </c>
      <c r="W16" s="10"/>
      <c r="X16" s="10"/>
      <c r="Y16" s="10"/>
      <c r="Z16" s="10"/>
      <c r="AA16" s="10"/>
      <c r="AB16" s="10"/>
      <c r="AC16" s="10"/>
    </row>
    <row r="17" ht="15.75" customHeight="1">
      <c r="A17" s="59" t="str">
        <f t="array" ref="A17">XLOOKUP(C17, 'マスタ'!$C$2:$C$312, 'マスタ'!$D$2:$D$312, "マスタ未登録")</f>
        <v>当期商品仕入高</v>
      </c>
      <c r="B17" s="53" t="str">
        <f>IF(AND(C17&lt;&gt;"", COUNTIF('マスタ'!$C:$C, C17)=0), "マスタ未登録", "")</f>
        <v/>
      </c>
      <c r="C17" s="53" t="str">
        <f t="shared" si="1"/>
        <v>賃借料(原)</v>
      </c>
      <c r="D17" s="10"/>
      <c r="E17" s="10"/>
      <c r="F17" s="10"/>
      <c r="G17" s="10"/>
      <c r="H17" s="10" t="s">
        <v>366</v>
      </c>
      <c r="I17" s="10"/>
      <c r="J17" s="97">
        <v>842984.0</v>
      </c>
      <c r="K17" s="97">
        <v>0.0</v>
      </c>
      <c r="L17" s="97">
        <v>0.0</v>
      </c>
      <c r="M17" s="97">
        <v>0.0</v>
      </c>
      <c r="N17" s="97">
        <v>0.0</v>
      </c>
      <c r="O17" s="97">
        <v>0.0</v>
      </c>
      <c r="P17" s="97">
        <v>0.0</v>
      </c>
      <c r="Q17" s="97">
        <v>0.0</v>
      </c>
      <c r="R17" s="97">
        <v>0.0</v>
      </c>
      <c r="S17" s="97">
        <v>0.0</v>
      </c>
      <c r="T17" s="97">
        <v>0.0</v>
      </c>
      <c r="U17" s="97">
        <v>0.0</v>
      </c>
      <c r="V17" s="97">
        <v>842984.0</v>
      </c>
      <c r="W17" s="10"/>
      <c r="X17" s="10"/>
      <c r="Y17" s="10"/>
      <c r="Z17" s="10"/>
      <c r="AA17" s="10"/>
      <c r="AB17" s="10"/>
      <c r="AC17" s="10"/>
    </row>
    <row r="18" ht="15.75" customHeight="1">
      <c r="A18" s="59" t="str">
        <f t="array" ref="A18">XLOOKUP(C18, 'マスタ'!$C$2:$C$312, 'マスタ'!$D$2:$D$312, "マスタ未登録")</f>
        <v>他勘定振替高</v>
      </c>
      <c r="B18" s="53" t="str">
        <f>IF(AND(C18&lt;&gt;"", COUNTIF('マスタ'!$C:$C, C18)=0), "マスタ未登録", "")</f>
        <v/>
      </c>
      <c r="C18" s="53" t="str">
        <f t="shared" si="1"/>
        <v>他勘定振替高(商)</v>
      </c>
      <c r="D18" s="10"/>
      <c r="E18" s="10"/>
      <c r="F18" s="10"/>
      <c r="G18" s="10" t="s">
        <v>235</v>
      </c>
      <c r="H18" s="10"/>
      <c r="I18" s="10"/>
      <c r="J18" s="97">
        <v>0.0</v>
      </c>
      <c r="K18" s="97">
        <v>0.0</v>
      </c>
      <c r="L18" s="97">
        <v>0.0</v>
      </c>
      <c r="M18" s="97">
        <v>0.0</v>
      </c>
      <c r="N18" s="97">
        <v>0.0</v>
      </c>
      <c r="O18" s="97">
        <v>0.0</v>
      </c>
      <c r="P18" s="97">
        <v>0.0</v>
      </c>
      <c r="Q18" s="97">
        <v>0.0</v>
      </c>
      <c r="R18" s="97">
        <v>0.0</v>
      </c>
      <c r="S18" s="97">
        <v>0.0</v>
      </c>
      <c r="T18" s="97">
        <v>0.0</v>
      </c>
      <c r="U18" s="97">
        <v>0.0</v>
      </c>
      <c r="V18" s="97">
        <v>0.0</v>
      </c>
      <c r="W18" s="10"/>
      <c r="X18" s="10"/>
      <c r="Y18" s="10"/>
      <c r="Z18" s="10"/>
      <c r="AA18" s="10"/>
      <c r="AB18" s="10"/>
      <c r="AC18" s="10"/>
    </row>
    <row r="19" ht="15.75" customHeight="1">
      <c r="A19" s="59" t="str">
        <f t="array" ref="A19">XLOOKUP(C19, 'マスタ'!$C$2:$C$312, 'マスタ'!$D$2:$D$312, "マスタ未登録")</f>
        <v>マスタ未登録</v>
      </c>
      <c r="B19" s="53" t="str">
        <f>IF(AND(C19&lt;&gt;"", COUNTIF('マスタ'!$C:$C, C19)=0), "マスタ未登録", "")</f>
        <v>マスタ未登録</v>
      </c>
      <c r="C19" s="53" t="str">
        <f t="shared" si="1"/>
        <v>期末商品棚卸合計</v>
      </c>
      <c r="D19" s="10"/>
      <c r="E19" s="10"/>
      <c r="F19" s="10"/>
      <c r="G19" s="10" t="s">
        <v>373</v>
      </c>
      <c r="H19" s="10"/>
      <c r="I19" s="10"/>
      <c r="J19" s="97">
        <v>90646.0</v>
      </c>
      <c r="K19" s="97">
        <v>-1559448.0</v>
      </c>
      <c r="L19" s="97">
        <v>0.0</v>
      </c>
      <c r="M19" s="97">
        <v>0.0</v>
      </c>
      <c r="N19" s="97">
        <v>0.0</v>
      </c>
      <c r="O19" s="97">
        <v>0.0</v>
      </c>
      <c r="P19" s="97">
        <v>0.0</v>
      </c>
      <c r="Q19" s="97">
        <v>0.0</v>
      </c>
      <c r="R19" s="97">
        <v>0.0</v>
      </c>
      <c r="S19" s="97">
        <v>0.0</v>
      </c>
      <c r="T19" s="97">
        <v>0.0</v>
      </c>
      <c r="U19" s="97">
        <v>0.0</v>
      </c>
      <c r="V19" s="97">
        <v>-1468802.0</v>
      </c>
      <c r="W19" s="10"/>
      <c r="X19" s="10"/>
      <c r="Y19" s="10"/>
      <c r="Z19" s="10"/>
      <c r="AA19" s="10"/>
      <c r="AB19" s="10"/>
      <c r="AC19" s="10"/>
    </row>
    <row r="20" ht="15.75" customHeight="1">
      <c r="A20" s="59" t="str">
        <f t="array" ref="A20">XLOOKUP(C20, 'マスタ'!$C$2:$C$312, 'マスタ'!$D$2:$D$312, "マスタ未登録")</f>
        <v>期末商品棚卸高</v>
      </c>
      <c r="B20" s="53" t="str">
        <f>IF(AND(C20&lt;&gt;"", COUNTIF('マスタ'!$C:$C, C20)=0), "マスタ未登録", "")</f>
        <v/>
      </c>
      <c r="C20" s="53" t="str">
        <f t="shared" si="1"/>
        <v>期末商品棚卸高</v>
      </c>
      <c r="D20" s="10"/>
      <c r="E20" s="10"/>
      <c r="F20" s="10"/>
      <c r="G20" s="10"/>
      <c r="H20" s="10" t="s">
        <v>71</v>
      </c>
      <c r="I20" s="10"/>
      <c r="J20" s="97">
        <v>90646.0</v>
      </c>
      <c r="K20" s="97">
        <v>-1559448.0</v>
      </c>
      <c r="L20" s="97">
        <v>0.0</v>
      </c>
      <c r="M20" s="97">
        <v>0.0</v>
      </c>
      <c r="N20" s="97">
        <v>0.0</v>
      </c>
      <c r="O20" s="97">
        <v>0.0</v>
      </c>
      <c r="P20" s="97">
        <v>0.0</v>
      </c>
      <c r="Q20" s="97">
        <v>0.0</v>
      </c>
      <c r="R20" s="97">
        <v>0.0</v>
      </c>
      <c r="S20" s="97">
        <v>0.0</v>
      </c>
      <c r="T20" s="97">
        <v>0.0</v>
      </c>
      <c r="U20" s="97">
        <v>0.0</v>
      </c>
      <c r="V20" s="97">
        <v>-1468802.0</v>
      </c>
      <c r="W20" s="10"/>
      <c r="X20" s="10"/>
      <c r="Y20" s="10"/>
      <c r="Z20" s="10"/>
      <c r="AA20" s="10"/>
      <c r="AB20" s="10"/>
      <c r="AC20" s="10"/>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商品売上原価</v>
      </c>
      <c r="D21" s="10"/>
      <c r="E21" s="10"/>
      <c r="F21" s="10" t="s">
        <v>3</v>
      </c>
      <c r="G21" s="10"/>
      <c r="H21" s="10"/>
      <c r="I21" s="10"/>
      <c r="J21" s="97">
        <v>3.3447897E7</v>
      </c>
      <c r="K21" s="97">
        <v>1709448.0</v>
      </c>
      <c r="L21" s="97">
        <v>0.0</v>
      </c>
      <c r="M21" s="97">
        <v>0.0</v>
      </c>
      <c r="N21" s="97">
        <v>0.0</v>
      </c>
      <c r="O21" s="97">
        <v>0.0</v>
      </c>
      <c r="P21" s="97">
        <v>0.0</v>
      </c>
      <c r="Q21" s="97">
        <v>0.0</v>
      </c>
      <c r="R21" s="97">
        <v>0.0</v>
      </c>
      <c r="S21" s="97">
        <v>0.0</v>
      </c>
      <c r="T21" s="97">
        <v>0.0</v>
      </c>
      <c r="U21" s="97">
        <v>0.0</v>
      </c>
      <c r="V21" s="97">
        <v>3.5157345E7</v>
      </c>
      <c r="W21" s="10"/>
      <c r="X21" s="10"/>
      <c r="Y21" s="10"/>
      <c r="Z21" s="10"/>
      <c r="AA21" s="10"/>
      <c r="AB21" s="10"/>
      <c r="AC21" s="10"/>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売上総損益金額</v>
      </c>
      <c r="D22" s="10" t="s">
        <v>237</v>
      </c>
      <c r="E22" s="10"/>
      <c r="F22" s="10"/>
      <c r="G22" s="10"/>
      <c r="H22" s="10"/>
      <c r="I22" s="10"/>
      <c r="J22" s="97">
        <v>1.5583194E7</v>
      </c>
      <c r="K22" s="97">
        <v>-1709448.0</v>
      </c>
      <c r="L22" s="97">
        <v>0.0</v>
      </c>
      <c r="M22" s="97">
        <v>0.0</v>
      </c>
      <c r="N22" s="97">
        <v>0.0</v>
      </c>
      <c r="O22" s="97">
        <v>0.0</v>
      </c>
      <c r="P22" s="97">
        <v>0.0</v>
      </c>
      <c r="Q22" s="97">
        <v>0.0</v>
      </c>
      <c r="R22" s="97">
        <v>0.0</v>
      </c>
      <c r="S22" s="97">
        <v>0.0</v>
      </c>
      <c r="T22" s="97">
        <v>0.0</v>
      </c>
      <c r="U22" s="97">
        <v>0.0</v>
      </c>
      <c r="V22" s="97">
        <v>1.3873746E7</v>
      </c>
      <c r="W22" s="10"/>
      <c r="X22" s="10"/>
      <c r="Y22" s="10"/>
      <c r="Z22" s="10"/>
      <c r="AA22" s="10"/>
      <c r="AB22" s="10"/>
      <c r="AC22" s="10"/>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販売管理費</v>
      </c>
      <c r="D23" s="10"/>
      <c r="E23" s="10" t="s">
        <v>238</v>
      </c>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ht="15.75" customHeight="1">
      <c r="A24" s="59" t="str">
        <f t="array" ref="A24">XLOOKUP(C24, 'マスタ'!$C$2:$C$312, 'マスタ'!$D$2:$D$312, "マスタ未登録")</f>
        <v>販売促進費</v>
      </c>
      <c r="B24" s="53" t="str">
        <f>IF(AND(C24&lt;&gt;"", COUNTIF('マスタ'!$C:$C, C24)=0), "マスタ未登録", "")</f>
        <v/>
      </c>
      <c r="C24" s="53" t="str">
        <f t="shared" si="1"/>
        <v>販売促進費</v>
      </c>
      <c r="D24" s="10"/>
      <c r="E24" s="10"/>
      <c r="F24" s="10" t="s">
        <v>101</v>
      </c>
      <c r="G24" s="10"/>
      <c r="H24" s="10"/>
      <c r="I24" s="10"/>
      <c r="J24" s="97">
        <v>630080.0</v>
      </c>
      <c r="K24" s="97">
        <v>0.0</v>
      </c>
      <c r="L24" s="97">
        <v>0.0</v>
      </c>
      <c r="M24" s="97">
        <v>0.0</v>
      </c>
      <c r="N24" s="97">
        <v>0.0</v>
      </c>
      <c r="O24" s="97">
        <v>0.0</v>
      </c>
      <c r="P24" s="97">
        <v>0.0</v>
      </c>
      <c r="Q24" s="97">
        <v>0.0</v>
      </c>
      <c r="R24" s="97">
        <v>0.0</v>
      </c>
      <c r="S24" s="97">
        <v>0.0</v>
      </c>
      <c r="T24" s="97">
        <v>0.0</v>
      </c>
      <c r="U24" s="97">
        <v>0.0</v>
      </c>
      <c r="V24" s="97">
        <v>630080.0</v>
      </c>
      <c r="W24" s="10"/>
      <c r="X24" s="10"/>
      <c r="Y24" s="10"/>
      <c r="Z24" s="10"/>
      <c r="AA24" s="10"/>
      <c r="AB24" s="10"/>
      <c r="AC24" s="10"/>
    </row>
    <row r="25" ht="15.75" customHeight="1">
      <c r="A25" s="59" t="str">
        <f t="array" ref="A25">XLOOKUP(C25, 'マスタ'!$C$2:$C$312, 'マスタ'!$D$2:$D$312, "マスタ未登録")</f>
        <v>広告宣伝費</v>
      </c>
      <c r="B25" s="53" t="str">
        <f>IF(AND(C25&lt;&gt;"", COUNTIF('マスタ'!$C:$C, C25)=0), "マスタ未登録", "")</f>
        <v/>
      </c>
      <c r="C25" s="53" t="str">
        <f t="shared" si="1"/>
        <v>広告宣伝費</v>
      </c>
      <c r="D25" s="10"/>
      <c r="E25" s="10"/>
      <c r="F25" s="10" t="s">
        <v>81</v>
      </c>
      <c r="G25" s="10"/>
      <c r="H25" s="10"/>
      <c r="I25" s="10"/>
      <c r="J25" s="97">
        <v>89975.0</v>
      </c>
      <c r="K25" s="97">
        <v>0.0</v>
      </c>
      <c r="L25" s="97">
        <v>0.0</v>
      </c>
      <c r="M25" s="97">
        <v>0.0</v>
      </c>
      <c r="N25" s="97">
        <v>0.0</v>
      </c>
      <c r="O25" s="97">
        <v>0.0</v>
      </c>
      <c r="P25" s="97">
        <v>0.0</v>
      </c>
      <c r="Q25" s="97">
        <v>0.0</v>
      </c>
      <c r="R25" s="97">
        <v>0.0</v>
      </c>
      <c r="S25" s="97">
        <v>0.0</v>
      </c>
      <c r="T25" s="97">
        <v>0.0</v>
      </c>
      <c r="U25" s="97">
        <v>0.0</v>
      </c>
      <c r="V25" s="97">
        <v>89975.0</v>
      </c>
      <c r="W25" s="10"/>
      <c r="X25" s="10"/>
      <c r="Y25" s="10"/>
      <c r="Z25" s="10"/>
      <c r="AA25" s="10"/>
      <c r="AB25" s="10"/>
      <c r="AC25" s="10"/>
    </row>
    <row r="26" ht="15.75" customHeight="1">
      <c r="A26" s="59" t="str">
        <f t="array" ref="A26">XLOOKUP(C26, 'マスタ'!$C$2:$C$312, 'マスタ'!$D$2:$D$312, "マスタ未登録")</f>
        <v>荷造運賃</v>
      </c>
      <c r="B26" s="53" t="str">
        <f>IF(AND(C26&lt;&gt;"", COUNTIF('マスタ'!$C:$C, C26)=0), "マスタ未登録", "")</f>
        <v/>
      </c>
      <c r="C26" s="53" t="str">
        <f t="shared" si="1"/>
        <v>荷造運賃</v>
      </c>
      <c r="D26" s="10"/>
      <c r="E26" s="10"/>
      <c r="F26" s="10" t="s">
        <v>80</v>
      </c>
      <c r="G26" s="10"/>
      <c r="H26" s="10"/>
      <c r="I26" s="10"/>
      <c r="J26" s="97">
        <v>1431202.0</v>
      </c>
      <c r="K26" s="97">
        <v>0.0</v>
      </c>
      <c r="L26" s="97">
        <v>0.0</v>
      </c>
      <c r="M26" s="97">
        <v>0.0</v>
      </c>
      <c r="N26" s="97">
        <v>0.0</v>
      </c>
      <c r="O26" s="97">
        <v>0.0</v>
      </c>
      <c r="P26" s="97">
        <v>0.0</v>
      </c>
      <c r="Q26" s="97">
        <v>0.0</v>
      </c>
      <c r="R26" s="97">
        <v>0.0</v>
      </c>
      <c r="S26" s="97">
        <v>0.0</v>
      </c>
      <c r="T26" s="97">
        <v>0.0</v>
      </c>
      <c r="U26" s="97">
        <v>0.0</v>
      </c>
      <c r="V26" s="97">
        <v>1431202.0</v>
      </c>
      <c r="W26" s="10"/>
      <c r="X26" s="10"/>
      <c r="Y26" s="10"/>
      <c r="Z26" s="10"/>
      <c r="AA26" s="10"/>
      <c r="AB26" s="10"/>
      <c r="AC26" s="10"/>
    </row>
    <row r="27" ht="15.75" customHeight="1">
      <c r="A27" s="59" t="str">
        <f t="array" ref="A27">XLOOKUP(C27, 'マスタ'!$C$2:$C$312, 'マスタ'!$D$2:$D$312, "マスタ未登録")</f>
        <v>支払手数料</v>
      </c>
      <c r="B27" s="53" t="str">
        <f>IF(AND(C27&lt;&gt;"", COUNTIF('マスタ'!$C:$C, C27)=0), "マスタ未登録", "")</f>
        <v/>
      </c>
      <c r="C27" s="53" t="str">
        <f t="shared" si="1"/>
        <v>支払手数料</v>
      </c>
      <c r="D27" s="10"/>
      <c r="E27" s="10"/>
      <c r="F27" s="10" t="s">
        <v>92</v>
      </c>
      <c r="G27" s="10"/>
      <c r="H27" s="10"/>
      <c r="I27" s="10"/>
      <c r="J27" s="97">
        <v>1273507.0</v>
      </c>
      <c r="K27" s="97">
        <v>0.0</v>
      </c>
      <c r="L27" s="97">
        <v>0.0</v>
      </c>
      <c r="M27" s="97">
        <v>0.0</v>
      </c>
      <c r="N27" s="97">
        <v>0.0</v>
      </c>
      <c r="O27" s="97">
        <v>0.0</v>
      </c>
      <c r="P27" s="97">
        <v>0.0</v>
      </c>
      <c r="Q27" s="97">
        <v>0.0</v>
      </c>
      <c r="R27" s="97">
        <v>0.0</v>
      </c>
      <c r="S27" s="97">
        <v>0.0</v>
      </c>
      <c r="T27" s="97">
        <v>0.0</v>
      </c>
      <c r="U27" s="97">
        <v>0.0</v>
      </c>
      <c r="V27" s="97">
        <v>1273507.0</v>
      </c>
      <c r="W27" s="10"/>
      <c r="X27" s="10"/>
      <c r="Y27" s="10"/>
      <c r="Z27" s="10"/>
      <c r="AA27" s="10"/>
      <c r="AB27" s="10"/>
      <c r="AC27" s="10"/>
    </row>
    <row r="28" ht="15.75" customHeight="1">
      <c r="A28" s="59" t="str">
        <f t="array" ref="A28">XLOOKUP(C28, 'マスタ'!$C$2:$C$312, 'マスタ'!$D$2:$D$312, "マスタ未登録")</f>
        <v>接待交際費</v>
      </c>
      <c r="B28" s="53" t="str">
        <f>IF(AND(C28&lt;&gt;"", COUNTIF('マスタ'!$C:$C, C28)=0), "マスタ未登録", "")</f>
        <v/>
      </c>
      <c r="C28" s="53" t="str">
        <f t="shared" si="1"/>
        <v>交際費（11,000円超/人）</v>
      </c>
      <c r="D28" s="10"/>
      <c r="E28" s="10"/>
      <c r="F28" s="10" t="s">
        <v>241</v>
      </c>
      <c r="G28" s="10"/>
      <c r="H28" s="10"/>
      <c r="I28" s="10"/>
      <c r="J28" s="97">
        <v>21637.0</v>
      </c>
      <c r="K28" s="97">
        <v>0.0</v>
      </c>
      <c r="L28" s="97">
        <v>0.0</v>
      </c>
      <c r="M28" s="97">
        <v>0.0</v>
      </c>
      <c r="N28" s="97">
        <v>0.0</v>
      </c>
      <c r="O28" s="97">
        <v>0.0</v>
      </c>
      <c r="P28" s="97">
        <v>0.0</v>
      </c>
      <c r="Q28" s="97">
        <v>0.0</v>
      </c>
      <c r="R28" s="97">
        <v>0.0</v>
      </c>
      <c r="S28" s="97">
        <v>0.0</v>
      </c>
      <c r="T28" s="97">
        <v>0.0</v>
      </c>
      <c r="U28" s="97">
        <v>0.0</v>
      </c>
      <c r="V28" s="97">
        <v>21637.0</v>
      </c>
      <c r="W28" s="10"/>
      <c r="X28" s="10"/>
      <c r="Y28" s="10"/>
      <c r="Z28" s="10"/>
      <c r="AA28" s="10"/>
      <c r="AB28" s="10"/>
      <c r="AC28" s="10"/>
    </row>
    <row r="29" ht="15.75" customHeight="1">
      <c r="A29" s="59" t="str">
        <f t="array" ref="A29">XLOOKUP(C29, 'マスタ'!$C$2:$C$312, 'マスタ'!$D$2:$D$312, "マスタ未登録")</f>
        <v>減価償却費</v>
      </c>
      <c r="B29" s="53" t="str">
        <f>IF(AND(C29&lt;&gt;"", COUNTIF('マスタ'!$C:$C, C29)=0), "マスタ未登録", "")</f>
        <v/>
      </c>
      <c r="C29" s="53" t="str">
        <f t="shared" si="1"/>
        <v>減価償却費</v>
      </c>
      <c r="D29" s="10"/>
      <c r="E29" s="10"/>
      <c r="F29" s="10" t="s">
        <v>95</v>
      </c>
      <c r="G29" s="10"/>
      <c r="H29" s="10"/>
      <c r="I29" s="10"/>
      <c r="J29" s="97">
        <v>66480.0</v>
      </c>
      <c r="K29" s="97">
        <v>0.0</v>
      </c>
      <c r="L29" s="97">
        <v>0.0</v>
      </c>
      <c r="M29" s="97">
        <v>0.0</v>
      </c>
      <c r="N29" s="97">
        <v>0.0</v>
      </c>
      <c r="O29" s="97">
        <v>0.0</v>
      </c>
      <c r="P29" s="97">
        <v>0.0</v>
      </c>
      <c r="Q29" s="97">
        <v>0.0</v>
      </c>
      <c r="R29" s="97">
        <v>0.0</v>
      </c>
      <c r="S29" s="97">
        <v>0.0</v>
      </c>
      <c r="T29" s="97">
        <v>0.0</v>
      </c>
      <c r="U29" s="97">
        <v>0.0</v>
      </c>
      <c r="V29" s="97">
        <v>66480.0</v>
      </c>
      <c r="W29" s="10"/>
      <c r="X29" s="10"/>
      <c r="Y29" s="10"/>
      <c r="Z29" s="10"/>
      <c r="AA29" s="10"/>
      <c r="AB29" s="10"/>
      <c r="AC29" s="10"/>
    </row>
    <row r="30" ht="15.75" customHeight="1">
      <c r="A30" s="59" t="str">
        <f t="array" ref="A30">XLOOKUP(C30, 'マスタ'!$C$2:$C$312, 'マスタ'!$D$2:$D$312, "マスタ未登録")</f>
        <v>マスタ未登録</v>
      </c>
      <c r="B30" s="53" t="str">
        <f>IF(AND(C30&lt;&gt;"", COUNTIF('マスタ'!$C:$C, C30)=0), "マスタ未登録", "")</f>
        <v>マスタ未登録</v>
      </c>
      <c r="C30" s="53" t="str">
        <f t="shared" si="1"/>
        <v>販売管理費 計</v>
      </c>
      <c r="D30" s="10"/>
      <c r="E30" s="10" t="s">
        <v>183</v>
      </c>
      <c r="F30" s="10"/>
      <c r="G30" s="10"/>
      <c r="H30" s="10"/>
      <c r="I30" s="10"/>
      <c r="J30" s="97">
        <v>3512881.0</v>
      </c>
      <c r="K30" s="97">
        <v>0.0</v>
      </c>
      <c r="L30" s="97">
        <v>0.0</v>
      </c>
      <c r="M30" s="97">
        <v>0.0</v>
      </c>
      <c r="N30" s="97">
        <v>0.0</v>
      </c>
      <c r="O30" s="97">
        <v>0.0</v>
      </c>
      <c r="P30" s="97">
        <v>0.0</v>
      </c>
      <c r="Q30" s="97">
        <v>0.0</v>
      </c>
      <c r="R30" s="97">
        <v>0.0</v>
      </c>
      <c r="S30" s="97">
        <v>0.0</v>
      </c>
      <c r="T30" s="97">
        <v>0.0</v>
      </c>
      <c r="U30" s="97">
        <v>0.0</v>
      </c>
      <c r="V30" s="97">
        <v>3512881.0</v>
      </c>
      <c r="W30" s="10"/>
      <c r="X30" s="10"/>
      <c r="Y30" s="10"/>
      <c r="Z30" s="10"/>
      <c r="AA30" s="10"/>
      <c r="AB30" s="10"/>
      <c r="AC30" s="10"/>
    </row>
    <row r="31" ht="15.75" customHeight="1">
      <c r="A31" s="59" t="str">
        <f t="array" ref="A31">XLOOKUP(C31, 'マスタ'!$C$2:$C$312, 'マスタ'!$D$2:$D$312, "マスタ未登録")</f>
        <v>マスタ未登録</v>
      </c>
      <c r="B31" s="53" t="str">
        <f>IF(AND(C31&lt;&gt;"", COUNTIF('マスタ'!$C:$C, C31)=0), "マスタ未登録", "")</f>
        <v>マスタ未登録</v>
      </c>
      <c r="C31" s="53" t="str">
        <f t="shared" si="1"/>
        <v>営業損益金額</v>
      </c>
      <c r="D31" s="10" t="s">
        <v>184</v>
      </c>
      <c r="E31" s="10"/>
      <c r="F31" s="10"/>
      <c r="G31" s="10"/>
      <c r="H31" s="10"/>
      <c r="I31" s="10"/>
      <c r="J31" s="97">
        <v>1.2070313E7</v>
      </c>
      <c r="K31" s="97">
        <v>-1709448.0</v>
      </c>
      <c r="L31" s="97">
        <v>0.0</v>
      </c>
      <c r="M31" s="97">
        <v>0.0</v>
      </c>
      <c r="N31" s="97">
        <v>0.0</v>
      </c>
      <c r="O31" s="97">
        <v>0.0</v>
      </c>
      <c r="P31" s="97">
        <v>0.0</v>
      </c>
      <c r="Q31" s="97">
        <v>0.0</v>
      </c>
      <c r="R31" s="97">
        <v>0.0</v>
      </c>
      <c r="S31" s="97">
        <v>0.0</v>
      </c>
      <c r="T31" s="97">
        <v>0.0</v>
      </c>
      <c r="U31" s="97">
        <v>0.0</v>
      </c>
      <c r="V31" s="97">
        <v>1.0360865E7</v>
      </c>
      <c r="W31" s="10"/>
      <c r="X31" s="10"/>
      <c r="Y31" s="10"/>
      <c r="Z31" s="10"/>
      <c r="AA31" s="10"/>
      <c r="AB31" s="10"/>
      <c r="AC31" s="10"/>
    </row>
    <row r="32" ht="15.75" customHeight="1">
      <c r="A32" s="59" t="str">
        <f t="array" ref="A32">XLOOKUP(C32, 'マスタ'!$C$2:$C$312, 'マスタ'!$D$2:$D$312, "マスタ未登録")</f>
        <v>マスタ未登録</v>
      </c>
      <c r="B32" s="53" t="str">
        <f>IF(AND(C32&lt;&gt;"", COUNTIF('マスタ'!$C:$C, C32)=0), "マスタ未登録", "")</f>
        <v>マスタ未登録</v>
      </c>
      <c r="C32" s="53" t="str">
        <f t="shared" si="1"/>
        <v>営業外収益</v>
      </c>
      <c r="D32" s="10"/>
      <c r="E32" s="10" t="s">
        <v>32</v>
      </c>
      <c r="F32" s="10"/>
      <c r="G32" s="10"/>
      <c r="H32" s="10"/>
      <c r="I32" s="10"/>
      <c r="J32" s="97">
        <v>6701.0</v>
      </c>
      <c r="K32" s="97">
        <v>0.0</v>
      </c>
      <c r="L32" s="97">
        <v>0.0</v>
      </c>
      <c r="M32" s="97">
        <v>0.0</v>
      </c>
      <c r="N32" s="97">
        <v>0.0</v>
      </c>
      <c r="O32" s="97">
        <v>0.0</v>
      </c>
      <c r="P32" s="97">
        <v>0.0</v>
      </c>
      <c r="Q32" s="97">
        <v>0.0</v>
      </c>
      <c r="R32" s="97">
        <v>0.0</v>
      </c>
      <c r="S32" s="97">
        <v>0.0</v>
      </c>
      <c r="T32" s="97">
        <v>0.0</v>
      </c>
      <c r="U32" s="97">
        <v>0.0</v>
      </c>
      <c r="V32" s="97">
        <v>6701.0</v>
      </c>
      <c r="W32" s="10"/>
      <c r="X32" s="10"/>
      <c r="Y32" s="10"/>
      <c r="Z32" s="10"/>
      <c r="AA32" s="10"/>
      <c r="AB32" s="10"/>
      <c r="AC32" s="10"/>
    </row>
    <row r="33" ht="15.75" customHeight="1">
      <c r="A33" s="59" t="str">
        <f t="array" ref="A33">XLOOKUP(C33, 'マスタ'!$C$2:$C$312, 'マスタ'!$D$2:$D$312, "マスタ未登録")</f>
        <v>受取利息</v>
      </c>
      <c r="B33" s="53" t="str">
        <f>IF(AND(C33&lt;&gt;"", COUNTIF('マスタ'!$C:$C, C33)=0), "マスタ未登録", "")</f>
        <v/>
      </c>
      <c r="C33" s="53" t="str">
        <f t="shared" si="1"/>
        <v>受取利息</v>
      </c>
      <c r="D33" s="10"/>
      <c r="E33" s="10"/>
      <c r="F33" s="10" t="s">
        <v>103</v>
      </c>
      <c r="G33" s="10"/>
      <c r="H33" s="10"/>
      <c r="I33" s="10"/>
      <c r="J33" s="97">
        <v>6701.0</v>
      </c>
      <c r="K33" s="97">
        <v>0.0</v>
      </c>
      <c r="L33" s="97">
        <v>0.0</v>
      </c>
      <c r="M33" s="97">
        <v>0.0</v>
      </c>
      <c r="N33" s="97">
        <v>0.0</v>
      </c>
      <c r="O33" s="97">
        <v>0.0</v>
      </c>
      <c r="P33" s="97">
        <v>0.0</v>
      </c>
      <c r="Q33" s="97">
        <v>0.0</v>
      </c>
      <c r="R33" s="97">
        <v>0.0</v>
      </c>
      <c r="S33" s="97">
        <v>0.0</v>
      </c>
      <c r="T33" s="97">
        <v>0.0</v>
      </c>
      <c r="U33" s="97">
        <v>0.0</v>
      </c>
      <c r="V33" s="97">
        <v>6701.0</v>
      </c>
      <c r="W33" s="10"/>
      <c r="X33" s="10"/>
      <c r="Y33" s="10"/>
      <c r="Z33" s="10"/>
      <c r="AA33" s="10"/>
      <c r="AB33" s="10"/>
      <c r="AC33" s="10"/>
    </row>
    <row r="34" ht="15.75" customHeight="1">
      <c r="A34" s="59" t="str">
        <f t="array" ref="A34">XLOOKUP(C34, 'マスタ'!$C$2:$C$312, 'マスタ'!$D$2:$D$312, "マスタ未登録")</f>
        <v>マスタ未登録</v>
      </c>
      <c r="B34" s="53" t="str">
        <f>IF(AND(C34&lt;&gt;"", COUNTIF('マスタ'!$C:$C, C34)=0), "マスタ未登録", "")</f>
        <v>マスタ未登録</v>
      </c>
      <c r="C34" s="53" t="str">
        <f t="shared" si="1"/>
        <v>営業外費用</v>
      </c>
      <c r="D34" s="10"/>
      <c r="E34" s="10" t="s">
        <v>34</v>
      </c>
      <c r="F34" s="10"/>
      <c r="G34" s="10"/>
      <c r="H34" s="10"/>
      <c r="I34" s="10"/>
      <c r="J34" s="97">
        <v>0.0</v>
      </c>
      <c r="K34" s="97">
        <v>0.0</v>
      </c>
      <c r="L34" s="97">
        <v>0.0</v>
      </c>
      <c r="M34" s="97">
        <v>0.0</v>
      </c>
      <c r="N34" s="97">
        <v>0.0</v>
      </c>
      <c r="O34" s="97">
        <v>0.0</v>
      </c>
      <c r="P34" s="97">
        <v>0.0</v>
      </c>
      <c r="Q34" s="97">
        <v>0.0</v>
      </c>
      <c r="R34" s="97">
        <v>0.0</v>
      </c>
      <c r="S34" s="97">
        <v>0.0</v>
      </c>
      <c r="T34" s="97">
        <v>0.0</v>
      </c>
      <c r="U34" s="97">
        <v>0.0</v>
      </c>
      <c r="V34" s="97">
        <v>0.0</v>
      </c>
      <c r="W34" s="10"/>
      <c r="X34" s="10"/>
      <c r="Y34" s="10"/>
      <c r="Z34" s="10"/>
      <c r="AA34" s="10"/>
      <c r="AB34" s="10"/>
      <c r="AC34" s="10"/>
    </row>
    <row r="35" ht="15.75" customHeight="1">
      <c r="A35" s="59" t="str">
        <f t="array" ref="A35">XLOOKUP(C35, 'マスタ'!$C$2:$C$312, 'マスタ'!$D$2:$D$312, "マスタ未登録")</f>
        <v>マスタ未登録</v>
      </c>
      <c r="B35" s="53" t="str">
        <f>IF(AND(C35&lt;&gt;"", COUNTIF('マスタ'!$C:$C, C35)=0), "マスタ未登録", "")</f>
        <v>マスタ未登録</v>
      </c>
      <c r="C35" s="53" t="str">
        <f t="shared" si="1"/>
        <v>経常損益金額</v>
      </c>
      <c r="D35" s="10" t="s">
        <v>112</v>
      </c>
      <c r="E35" s="10"/>
      <c r="F35" s="10"/>
      <c r="G35" s="10"/>
      <c r="H35" s="10"/>
      <c r="I35" s="10"/>
      <c r="J35" s="97">
        <v>1.2077014E7</v>
      </c>
      <c r="K35" s="97">
        <v>-1709448.0</v>
      </c>
      <c r="L35" s="97">
        <v>0.0</v>
      </c>
      <c r="M35" s="97">
        <v>0.0</v>
      </c>
      <c r="N35" s="97">
        <v>0.0</v>
      </c>
      <c r="O35" s="97">
        <v>0.0</v>
      </c>
      <c r="P35" s="97">
        <v>0.0</v>
      </c>
      <c r="Q35" s="97">
        <v>0.0</v>
      </c>
      <c r="R35" s="97">
        <v>0.0</v>
      </c>
      <c r="S35" s="97">
        <v>0.0</v>
      </c>
      <c r="T35" s="97">
        <v>0.0</v>
      </c>
      <c r="U35" s="97">
        <v>0.0</v>
      </c>
      <c r="V35" s="97">
        <v>1.0367566E7</v>
      </c>
      <c r="W35" s="10"/>
      <c r="X35" s="10"/>
      <c r="Y35" s="10"/>
      <c r="Z35" s="10"/>
      <c r="AA35" s="10"/>
      <c r="AB35" s="10"/>
      <c r="AC35" s="10"/>
    </row>
    <row r="36" ht="15.75" customHeight="1">
      <c r="A36" s="59" t="str">
        <f t="array" ref="A36">XLOOKUP(C36, 'マスタ'!$C$2:$C$312, 'マスタ'!$D$2:$D$312, "マスタ未登録")</f>
        <v>マスタ未登録</v>
      </c>
      <c r="B36" s="53" t="str">
        <f>IF(AND(C36&lt;&gt;"", COUNTIF('マスタ'!$C:$C, C36)=0), "マスタ未登録", "")</f>
        <v>マスタ未登録</v>
      </c>
      <c r="C36" s="53" t="str">
        <f t="shared" si="1"/>
        <v>特別利益</v>
      </c>
      <c r="D36" s="10"/>
      <c r="E36" s="10" t="s">
        <v>37</v>
      </c>
      <c r="F36" s="10"/>
      <c r="G36" s="10"/>
      <c r="H36" s="10"/>
      <c r="I36" s="10"/>
      <c r="J36" s="97">
        <v>0.0</v>
      </c>
      <c r="K36" s="97">
        <v>0.0</v>
      </c>
      <c r="L36" s="97">
        <v>0.0</v>
      </c>
      <c r="M36" s="97">
        <v>0.0</v>
      </c>
      <c r="N36" s="97">
        <v>0.0</v>
      </c>
      <c r="O36" s="97">
        <v>0.0</v>
      </c>
      <c r="P36" s="97">
        <v>0.0</v>
      </c>
      <c r="Q36" s="97">
        <v>0.0</v>
      </c>
      <c r="R36" s="97">
        <v>0.0</v>
      </c>
      <c r="S36" s="97">
        <v>0.0</v>
      </c>
      <c r="T36" s="97">
        <v>0.0</v>
      </c>
      <c r="U36" s="97">
        <v>0.0</v>
      </c>
      <c r="V36" s="97">
        <v>0.0</v>
      </c>
      <c r="W36" s="10"/>
      <c r="X36" s="10"/>
      <c r="Y36" s="10"/>
      <c r="Z36" s="10"/>
      <c r="AA36" s="10"/>
      <c r="AB36" s="10"/>
      <c r="AC36" s="10"/>
    </row>
    <row r="37" ht="15.75" customHeight="1">
      <c r="A37" s="59" t="str">
        <f t="array" ref="A37">XLOOKUP(C37, 'マスタ'!$C$2:$C$312, 'マスタ'!$D$2:$D$312, "マスタ未登録")</f>
        <v>マスタ未登録</v>
      </c>
      <c r="B37" s="53" t="str">
        <f>IF(AND(C37&lt;&gt;"", COUNTIF('マスタ'!$C:$C, C37)=0), "マスタ未登録", "")</f>
        <v>マスタ未登録</v>
      </c>
      <c r="C37" s="53" t="str">
        <f t="shared" si="1"/>
        <v>特別損失</v>
      </c>
      <c r="D37" s="10"/>
      <c r="E37" s="10" t="s">
        <v>39</v>
      </c>
      <c r="F37" s="10"/>
      <c r="G37" s="10"/>
      <c r="H37" s="10"/>
      <c r="I37" s="10"/>
      <c r="J37" s="97">
        <v>0.0</v>
      </c>
      <c r="K37" s="97">
        <v>0.0</v>
      </c>
      <c r="L37" s="97">
        <v>0.0</v>
      </c>
      <c r="M37" s="97">
        <v>0.0</v>
      </c>
      <c r="N37" s="97">
        <v>0.0</v>
      </c>
      <c r="O37" s="97">
        <v>0.0</v>
      </c>
      <c r="P37" s="97">
        <v>0.0</v>
      </c>
      <c r="Q37" s="97">
        <v>0.0</v>
      </c>
      <c r="R37" s="97">
        <v>0.0</v>
      </c>
      <c r="S37" s="97">
        <v>0.0</v>
      </c>
      <c r="T37" s="97">
        <v>0.0</v>
      </c>
      <c r="U37" s="97">
        <v>0.0</v>
      </c>
      <c r="V37" s="97">
        <v>0.0</v>
      </c>
      <c r="W37" s="10"/>
      <c r="X37" s="10"/>
      <c r="Y37" s="10"/>
      <c r="Z37" s="10"/>
      <c r="AA37" s="10"/>
      <c r="AB37" s="10"/>
      <c r="AC37" s="10"/>
    </row>
    <row r="38" ht="15.75" customHeight="1">
      <c r="A38" s="59" t="str">
        <f t="array" ref="A38">XLOOKUP(C38, 'マスタ'!$C$2:$C$312, 'マスタ'!$D$2:$D$312, "マスタ未登録")</f>
        <v>マスタ未登録</v>
      </c>
      <c r="B38" s="53" t="str">
        <f>IF(AND(C38&lt;&gt;"", COUNTIF('マスタ'!$C:$C, C38)=0), "マスタ未登録", "")</f>
        <v>マスタ未登録</v>
      </c>
      <c r="C38" s="53" t="str">
        <f t="shared" si="1"/>
        <v>税引前当期純損益金額</v>
      </c>
      <c r="D38" s="10" t="s">
        <v>117</v>
      </c>
      <c r="E38" s="10"/>
      <c r="F38" s="10"/>
      <c r="G38" s="10"/>
      <c r="H38" s="10"/>
      <c r="I38" s="10"/>
      <c r="J38" s="97">
        <v>1.2077014E7</v>
      </c>
      <c r="K38" s="97">
        <v>-1709448.0</v>
      </c>
      <c r="L38" s="97">
        <v>0.0</v>
      </c>
      <c r="M38" s="97">
        <v>0.0</v>
      </c>
      <c r="N38" s="97">
        <v>0.0</v>
      </c>
      <c r="O38" s="97">
        <v>0.0</v>
      </c>
      <c r="P38" s="97">
        <v>0.0</v>
      </c>
      <c r="Q38" s="97">
        <v>0.0</v>
      </c>
      <c r="R38" s="97">
        <v>0.0</v>
      </c>
      <c r="S38" s="97">
        <v>0.0</v>
      </c>
      <c r="T38" s="97">
        <v>0.0</v>
      </c>
      <c r="U38" s="97">
        <v>0.0</v>
      </c>
      <c r="V38" s="97">
        <v>1.0367566E7</v>
      </c>
      <c r="W38" s="10"/>
      <c r="X38" s="10"/>
      <c r="Y38" s="10"/>
      <c r="Z38" s="10"/>
      <c r="AA38" s="10"/>
      <c r="AB38" s="10"/>
      <c r="AC38" s="10"/>
    </row>
    <row r="39" ht="15.75" customHeight="1">
      <c r="A39" s="59" t="str">
        <f t="array" ref="A39">XLOOKUP(C39, 'マスタ'!$C$2:$C$312, 'マスタ'!$D$2:$D$312, "マスタ未登録")</f>
        <v>法人税等</v>
      </c>
      <c r="B39" s="53" t="str">
        <f>IF(AND(C39&lt;&gt;"", COUNTIF('マスタ'!$C:$C, C39)=0), "マスタ未登録", "")</f>
        <v/>
      </c>
      <c r="C39" s="53" t="str">
        <f t="shared" si="1"/>
        <v>法人税等</v>
      </c>
      <c r="D39" s="10"/>
      <c r="E39" s="10" t="s">
        <v>43</v>
      </c>
      <c r="F39" s="10"/>
      <c r="G39" s="10"/>
      <c r="H39" s="10"/>
      <c r="I39" s="10"/>
      <c r="J39" s="97">
        <v>0.0</v>
      </c>
      <c r="K39" s="97">
        <v>0.0</v>
      </c>
      <c r="L39" s="97">
        <v>0.0</v>
      </c>
      <c r="M39" s="97">
        <v>0.0</v>
      </c>
      <c r="N39" s="97">
        <v>0.0</v>
      </c>
      <c r="O39" s="97">
        <v>0.0</v>
      </c>
      <c r="P39" s="97">
        <v>0.0</v>
      </c>
      <c r="Q39" s="97">
        <v>0.0</v>
      </c>
      <c r="R39" s="97">
        <v>0.0</v>
      </c>
      <c r="S39" s="97">
        <v>0.0</v>
      </c>
      <c r="T39" s="97">
        <v>0.0</v>
      </c>
      <c r="U39" s="97">
        <v>0.0</v>
      </c>
      <c r="V39" s="97">
        <v>0.0</v>
      </c>
      <c r="W39" s="10"/>
      <c r="X39" s="10"/>
      <c r="Y39" s="10"/>
      <c r="Z39" s="10"/>
      <c r="AA39" s="10"/>
      <c r="AB39" s="10"/>
      <c r="AC39" s="10"/>
    </row>
    <row r="40" ht="15.75" customHeight="1">
      <c r="A40" s="59" t="str">
        <f t="array" ref="A40">XLOOKUP(C40, 'マスタ'!$C$2:$C$312, 'マスタ'!$D$2:$D$312, "マスタ未登録")</f>
        <v>法人税等調整額</v>
      </c>
      <c r="B40" s="53" t="str">
        <f>IF(AND(C40&lt;&gt;"", COUNTIF('マスタ'!$C:$C, C40)=0), "マスタ未登録", "")</f>
        <v/>
      </c>
      <c r="C40" s="53" t="str">
        <f t="shared" si="1"/>
        <v>法人税等調整額</v>
      </c>
      <c r="D40" s="10"/>
      <c r="E40" s="10" t="s">
        <v>118</v>
      </c>
      <c r="F40" s="10"/>
      <c r="G40" s="10"/>
      <c r="H40" s="10"/>
      <c r="I40" s="10"/>
      <c r="J40" s="97">
        <v>0.0</v>
      </c>
      <c r="K40" s="97">
        <v>0.0</v>
      </c>
      <c r="L40" s="97">
        <v>0.0</v>
      </c>
      <c r="M40" s="97">
        <v>0.0</v>
      </c>
      <c r="N40" s="97">
        <v>0.0</v>
      </c>
      <c r="O40" s="97">
        <v>0.0</v>
      </c>
      <c r="P40" s="97">
        <v>0.0</v>
      </c>
      <c r="Q40" s="97">
        <v>0.0</v>
      </c>
      <c r="R40" s="97">
        <v>0.0</v>
      </c>
      <c r="S40" s="97">
        <v>0.0</v>
      </c>
      <c r="T40" s="97">
        <v>0.0</v>
      </c>
      <c r="U40" s="97">
        <v>0.0</v>
      </c>
      <c r="V40" s="97">
        <v>0.0</v>
      </c>
      <c r="W40" s="10"/>
      <c r="X40" s="10"/>
      <c r="Y40" s="10"/>
      <c r="Z40" s="10"/>
      <c r="AA40" s="10"/>
      <c r="AB40" s="10"/>
      <c r="AC40" s="10"/>
    </row>
    <row r="41" ht="15.75" customHeight="1">
      <c r="A41" s="59" t="str">
        <f t="array" ref="A41">XLOOKUP(C41, 'マスタ'!$C$2:$C$312, 'マスタ'!$D$2:$D$312, "マスタ未登録")</f>
        <v>マスタ未登録</v>
      </c>
      <c r="B41" s="53" t="str">
        <f>IF(AND(C41&lt;&gt;"", COUNTIF('マスタ'!$C:$C, C41)=0), "マスタ未登録", "")</f>
        <v>マスタ未登録</v>
      </c>
      <c r="C41" s="53" t="str">
        <f t="shared" si="1"/>
        <v>当期純損益金額</v>
      </c>
      <c r="D41" s="10" t="s">
        <v>119</v>
      </c>
      <c r="E41" s="10"/>
      <c r="F41" s="10"/>
      <c r="G41" s="10"/>
      <c r="H41" s="10"/>
      <c r="I41" s="10"/>
      <c r="J41" s="97">
        <v>1.2077014E7</v>
      </c>
      <c r="K41" s="97">
        <v>-1709448.0</v>
      </c>
      <c r="L41" s="97">
        <v>0.0</v>
      </c>
      <c r="M41" s="97">
        <v>0.0</v>
      </c>
      <c r="N41" s="97">
        <v>0.0</v>
      </c>
      <c r="O41" s="97">
        <v>0.0</v>
      </c>
      <c r="P41" s="97">
        <v>0.0</v>
      </c>
      <c r="Q41" s="97">
        <v>0.0</v>
      </c>
      <c r="R41" s="97">
        <v>0.0</v>
      </c>
      <c r="S41" s="97">
        <v>0.0</v>
      </c>
      <c r="T41" s="97">
        <v>0.0</v>
      </c>
      <c r="U41" s="97">
        <v>0.0</v>
      </c>
      <c r="V41" s="97">
        <v>1.0367566E7</v>
      </c>
      <c r="W41" s="10"/>
      <c r="X41" s="10"/>
      <c r="Y41" s="10"/>
      <c r="Z41" s="10"/>
      <c r="AA41" s="10"/>
      <c r="AB41" s="10"/>
      <c r="AC41" s="10"/>
    </row>
    <row r="42" ht="15.75" customHeight="1">
      <c r="A42" s="59"/>
      <c r="B42" s="53" t="str">
        <f>IF(AND(C42&lt;&gt;"", COUNTIF('マスタ'!$C:$C, C42)=0), "マスタ未登録", "")</f>
        <v/>
      </c>
      <c r="C42" s="53" t="str">
        <f t="shared" si="1"/>
        <v/>
      </c>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ht="15.75" customHeight="1">
      <c r="A43" s="59"/>
      <c r="B43" s="53" t="str">
        <f>IF(AND(C43&lt;&gt;"", COUNTIF('マスタ'!$C:$C, C43)=0), "マスタ未登録", "")</f>
        <v/>
      </c>
      <c r="C43" s="53" t="str">
        <f t="shared" si="1"/>
        <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ht="15.75" customHeight="1">
      <c r="A44" s="59"/>
      <c r="B44" s="53" t="str">
        <f>IF(AND(C44&lt;&gt;"", COUNTIF('マスタ'!$C:$C, C44)=0), "マスタ未登録", "")</f>
        <v/>
      </c>
      <c r="C44" s="53" t="str">
        <f t="shared" si="1"/>
        <v/>
      </c>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ht="15.75" customHeight="1">
      <c r="A45" s="59"/>
      <c r="B45" s="53" t="str">
        <f>IF(AND(C45&lt;&gt;"", COUNTIF('マスタ'!$C:$C, C45)=0), "マスタ未登録", "")</f>
        <v/>
      </c>
      <c r="C45" s="53" t="str">
        <f t="shared" si="1"/>
        <v/>
      </c>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ht="15.75" customHeight="1">
      <c r="A46" s="59"/>
      <c r="B46" s="53" t="str">
        <f>IF(AND(C46&lt;&gt;"", COUNTIF('マスタ'!$C:$C, C46)=0), "マスタ未登録", "")</f>
        <v/>
      </c>
      <c r="C46" s="53" t="str">
        <f t="shared" si="1"/>
        <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ht="15.75" customHeight="1">
      <c r="A47" s="59"/>
      <c r="B47" s="53" t="str">
        <f>IF(AND(C47&lt;&gt;"", COUNTIF('マスタ'!$C:$C, C47)=0), "マスタ未登録", "")</f>
        <v/>
      </c>
      <c r="C47" s="53" t="str">
        <f t="shared" si="1"/>
        <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ht="15.75" customHeight="1">
      <c r="A48" s="59"/>
      <c r="B48" s="53" t="str">
        <f>IF(AND(C48&lt;&gt;"", COUNTIF('マスタ'!$C:$C, C48)=0), "マスタ未登録", "")</f>
        <v/>
      </c>
      <c r="C48" s="53" t="str">
        <f t="shared" si="1"/>
        <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ht="15.75" customHeight="1">
      <c r="A49" s="59"/>
      <c r="B49" s="53" t="str">
        <f>IF(AND(C49&lt;&gt;"", COUNTIF('マスタ'!$C:$C, C49)=0), "マスタ未登録", "")</f>
        <v/>
      </c>
      <c r="C49" s="53" t="str">
        <f t="shared" si="1"/>
        <v/>
      </c>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ht="15.75" customHeight="1">
      <c r="A50" s="59"/>
      <c r="B50" s="53" t="str">
        <f>IF(AND(C50&lt;&gt;"", COUNTIF('マスタ'!$C:$C, C50)=0), "マスタ未登録", "")</f>
        <v/>
      </c>
      <c r="C50" s="53" t="str">
        <f t="shared" si="1"/>
        <v/>
      </c>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ht="15.75" customHeight="1">
      <c r="A51" s="59"/>
      <c r="B51" s="53" t="str">
        <f>IF(AND(C51&lt;&gt;"", COUNTIF('マスタ'!$C:$C, C51)=0), "マスタ未登録", "")</f>
        <v/>
      </c>
      <c r="C51" s="53" t="str">
        <f t="shared" si="1"/>
        <v/>
      </c>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ht="15.75" customHeight="1">
      <c r="A52" s="59"/>
      <c r="B52" s="53" t="str">
        <f>IF(AND(C52&lt;&gt;"", COUNTIF('マスタ'!$C:$C, C52)=0), "マスタ未登録", "")</f>
        <v/>
      </c>
      <c r="C52" s="53" t="str">
        <f t="shared" si="1"/>
        <v/>
      </c>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ht="15.75" customHeight="1">
      <c r="A53" s="59"/>
      <c r="B53" s="53" t="str">
        <f>IF(AND(C53&lt;&gt;"", COUNTIF('マスタ'!$C:$C, C53)=0), "マスタ未登録", "")</f>
        <v/>
      </c>
      <c r="C53" s="53" t="str">
        <f t="shared" si="1"/>
        <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ht="15.75" customHeight="1">
      <c r="A54" s="59"/>
      <c r="B54" s="53" t="str">
        <f>IF(AND(C54&lt;&gt;"", COUNTIF('マスタ'!$C:$C, C54)=0), "マスタ未登録", "")</f>
        <v/>
      </c>
      <c r="C54" s="53" t="str">
        <f t="shared" si="1"/>
        <v/>
      </c>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ht="15.75" customHeight="1">
      <c r="A55" s="59"/>
      <c r="B55" s="53" t="str">
        <f>IF(AND(C55&lt;&gt;"", COUNTIF('マスタ'!$C:$C, C55)=0), "マスタ未登録", "")</f>
        <v/>
      </c>
      <c r="C55" s="53" t="str">
        <f t="shared" si="1"/>
        <v/>
      </c>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ht="15.75" customHeight="1">
      <c r="A56" s="59"/>
      <c r="B56" s="53" t="str">
        <f>IF(AND(C56&lt;&gt;"", COUNTIF('マスタ'!$C:$C, C56)=0), "マスタ未登録", "")</f>
        <v/>
      </c>
      <c r="C56" s="53" t="str">
        <f t="shared" si="1"/>
        <v/>
      </c>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ht="15.75" customHeight="1">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ht="15.75" customHeight="1">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15.75" customHeight="1">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15.75" customHeight="1">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15.75" customHeight="1">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15.75" customHeight="1">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15.75" customHeight="1">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15.75" customHeight="1">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15.75" customHeight="1">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15.75" customHeight="1">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15.75" customHeight="1">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15.75" customHeight="1">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15.75" customHeight="1">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15.75" customHeight="1">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15.75" customHeight="1">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15.75" customHeight="1">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15.75" customHeight="1">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15.75" customHeight="1">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15.75" customHeight="1">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15.75" customHeight="1">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15.75" customHeight="1">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15.75" customHeight="1">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15.75" customHeight="1">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15.75" customHeight="1">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15.75" customHeight="1">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15.75" customHeight="1">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15.75" customHeight="1">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15.75" customHeight="1">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B1" s="53" t="s">
        <v>222</v>
      </c>
      <c r="C1" s="53" t="s">
        <v>223</v>
      </c>
      <c r="D1" s="10" t="s">
        <v>357</v>
      </c>
      <c r="E1" s="10"/>
      <c r="F1" s="10"/>
      <c r="G1" s="10"/>
      <c r="H1" s="10"/>
      <c r="I1" s="10"/>
      <c r="J1" s="10"/>
      <c r="K1" s="10"/>
      <c r="L1" s="10"/>
      <c r="M1" s="10"/>
      <c r="N1" s="10"/>
      <c r="O1" s="10"/>
      <c r="P1" s="10"/>
      <c r="Q1" s="10"/>
      <c r="R1" s="10"/>
      <c r="S1" s="10"/>
      <c r="T1" s="10"/>
      <c r="U1" s="10"/>
      <c r="V1" s="10"/>
      <c r="W1" s="10"/>
      <c r="X1" s="10"/>
      <c r="Y1" s="10"/>
      <c r="Z1" s="10"/>
      <c r="AA1" s="10"/>
      <c r="AB1" s="10"/>
      <c r="AC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c r="W2" s="10"/>
      <c r="X2" s="10"/>
      <c r="Y2" s="10"/>
      <c r="Z2" s="10"/>
      <c r="AA2" s="10"/>
      <c r="AB2" s="10"/>
      <c r="AC2" s="10"/>
    </row>
    <row r="3" ht="15.75" customHeight="1">
      <c r="B3" s="53"/>
      <c r="C3" s="53"/>
      <c r="D3" s="10" t="s">
        <v>1</v>
      </c>
      <c r="E3" s="10"/>
      <c r="F3" s="10"/>
      <c r="G3" s="10"/>
      <c r="H3" s="10"/>
      <c r="I3" s="10"/>
      <c r="J3" s="10"/>
      <c r="K3" s="10"/>
      <c r="L3" s="10"/>
      <c r="M3" s="10"/>
      <c r="N3" s="10"/>
      <c r="O3" s="10"/>
      <c r="P3" s="10"/>
      <c r="Q3" s="10"/>
      <c r="R3" s="10"/>
      <c r="S3" s="10"/>
      <c r="T3" s="10"/>
      <c r="U3" s="10"/>
      <c r="V3" s="10"/>
      <c r="W3" s="10"/>
      <c r="X3" s="10"/>
      <c r="Y3" s="10"/>
      <c r="Z3" s="10"/>
      <c r="AA3" s="10"/>
      <c r="AB3" s="10"/>
      <c r="AC3" s="10"/>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D4" s="10"/>
      <c r="E4" s="10" t="s">
        <v>1</v>
      </c>
      <c r="F4" s="10"/>
      <c r="G4" s="10"/>
      <c r="H4" s="10"/>
      <c r="I4" s="10"/>
      <c r="J4" s="97">
        <v>2696700.0</v>
      </c>
      <c r="K4" s="97">
        <v>0.0</v>
      </c>
      <c r="L4" s="97">
        <v>0.0</v>
      </c>
      <c r="M4" s="97">
        <v>0.0</v>
      </c>
      <c r="N4" s="97">
        <v>0.0</v>
      </c>
      <c r="O4" s="97">
        <v>0.0</v>
      </c>
      <c r="P4" s="97">
        <v>0.0</v>
      </c>
      <c r="Q4" s="97">
        <v>0.0</v>
      </c>
      <c r="R4" s="97">
        <v>0.0</v>
      </c>
      <c r="S4" s="97">
        <v>0.0</v>
      </c>
      <c r="T4" s="97">
        <v>0.0</v>
      </c>
      <c r="U4" s="97">
        <v>0.0</v>
      </c>
      <c r="V4" s="97">
        <v>2696700.0</v>
      </c>
      <c r="W4" s="10"/>
      <c r="X4" s="10"/>
      <c r="Y4" s="10"/>
      <c r="Z4" s="10"/>
      <c r="AA4" s="10"/>
      <c r="AB4" s="10"/>
      <c r="AC4" s="10"/>
    </row>
    <row r="5" ht="15.75" customHeight="1">
      <c r="A5" s="59" t="str">
        <f t="array" ref="A5">XLOOKUP(C5, 'マスタ'!$C$2:$C$312, 'マスタ'!$D$2:$D$312, "マスタ未登録")</f>
        <v>売上高</v>
      </c>
      <c r="B5" s="53" t="str">
        <f>IF(AND(C5&lt;&gt;"", COUNTIF('マスタ'!$C:$C, C5)=0), "マスタ未登録", "")</f>
        <v/>
      </c>
      <c r="C5" s="53" t="str">
        <f t="shared" si="1"/>
        <v>委託販売売上高</v>
      </c>
      <c r="D5" s="10"/>
      <c r="E5" s="10" t="s">
        <v>358</v>
      </c>
      <c r="F5" s="10"/>
      <c r="G5" s="10"/>
      <c r="H5" s="10"/>
      <c r="I5" s="10"/>
      <c r="J5" s="97">
        <v>240406.0</v>
      </c>
      <c r="K5" s="97">
        <v>0.0</v>
      </c>
      <c r="L5" s="97">
        <v>0.0</v>
      </c>
      <c r="M5" s="97">
        <v>0.0</v>
      </c>
      <c r="N5" s="97">
        <v>0.0</v>
      </c>
      <c r="O5" s="97">
        <v>0.0</v>
      </c>
      <c r="P5" s="97">
        <v>0.0</v>
      </c>
      <c r="Q5" s="97">
        <v>0.0</v>
      </c>
      <c r="R5" s="97">
        <v>0.0</v>
      </c>
      <c r="S5" s="97">
        <v>0.0</v>
      </c>
      <c r="T5" s="97">
        <v>0.0</v>
      </c>
      <c r="U5" s="97">
        <v>0.0</v>
      </c>
      <c r="V5" s="97">
        <v>240406.0</v>
      </c>
      <c r="W5" s="10"/>
      <c r="X5" s="10"/>
      <c r="Y5" s="10"/>
      <c r="Z5" s="10"/>
      <c r="AA5" s="10"/>
      <c r="AB5" s="10"/>
      <c r="AC5" s="10"/>
    </row>
    <row r="6" ht="15.75" customHeight="1">
      <c r="A6" s="59" t="str">
        <f t="array" ref="A6">XLOOKUP(C6, 'マスタ'!$C$2:$C$312, 'マスタ'!$D$2:$D$312, "マスタ未登録")</f>
        <v>マスタ未登録</v>
      </c>
      <c r="B6" s="53" t="str">
        <f>IF(AND(C6&lt;&gt;"", COUNTIF('マスタ'!$C:$C, C6)=0), "マスタ未登録", "")</f>
        <v>マスタ未登録</v>
      </c>
      <c r="C6" s="53" t="str">
        <f t="shared" si="1"/>
        <v>売上高 計</v>
      </c>
      <c r="D6" s="10" t="s">
        <v>226</v>
      </c>
      <c r="E6" s="10"/>
      <c r="F6" s="10"/>
      <c r="G6" s="10"/>
      <c r="H6" s="10"/>
      <c r="I6" s="10"/>
      <c r="J6" s="97">
        <v>2937106.0</v>
      </c>
      <c r="K6" s="97">
        <v>0.0</v>
      </c>
      <c r="L6" s="97">
        <v>0.0</v>
      </c>
      <c r="M6" s="97">
        <v>0.0</v>
      </c>
      <c r="N6" s="97">
        <v>0.0</v>
      </c>
      <c r="O6" s="97">
        <v>0.0</v>
      </c>
      <c r="P6" s="97">
        <v>0.0</v>
      </c>
      <c r="Q6" s="97">
        <v>0.0</v>
      </c>
      <c r="R6" s="97">
        <v>0.0</v>
      </c>
      <c r="S6" s="97">
        <v>0.0</v>
      </c>
      <c r="T6" s="97">
        <v>0.0</v>
      </c>
      <c r="U6" s="97">
        <v>0.0</v>
      </c>
      <c r="V6" s="97">
        <v>2937106.0</v>
      </c>
      <c r="W6" s="10"/>
      <c r="X6" s="10"/>
      <c r="Y6" s="10"/>
      <c r="Z6" s="10"/>
      <c r="AA6" s="10"/>
      <c r="AB6" s="10"/>
      <c r="AC6" s="10"/>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D7" s="10"/>
      <c r="E7" s="10" t="s">
        <v>28</v>
      </c>
      <c r="F7" s="10"/>
      <c r="G7" s="10"/>
      <c r="H7" s="10"/>
      <c r="I7" s="10"/>
      <c r="J7" s="10"/>
      <c r="K7" s="10"/>
      <c r="L7" s="10"/>
      <c r="M7" s="10"/>
      <c r="N7" s="10"/>
      <c r="O7" s="10"/>
      <c r="P7" s="10"/>
      <c r="Q7" s="10"/>
      <c r="R7" s="10"/>
      <c r="S7" s="10"/>
      <c r="T7" s="10"/>
      <c r="U7" s="10"/>
      <c r="V7" s="10"/>
      <c r="W7" s="10"/>
      <c r="X7" s="10"/>
      <c r="Y7" s="10"/>
      <c r="Z7" s="10"/>
      <c r="AA7" s="10"/>
      <c r="AB7" s="10"/>
      <c r="AC7" s="10"/>
    </row>
    <row r="8" ht="15.75" customHeight="1">
      <c r="A8" s="59" t="str">
        <f t="array" ref="A8">XLOOKUP(C8, 'マスタ'!$C$2:$C$312, 'マスタ'!$D$2:$D$312, "マスタ未登録")</f>
        <v>マスタ未登録</v>
      </c>
      <c r="B8" s="53" t="str">
        <f>IF(AND(C8&lt;&gt;"", COUNTIF('マスタ'!$C:$C, C8)=0), "マスタ未登録", "")</f>
        <v>マスタ未登録</v>
      </c>
      <c r="C8" s="53" t="str">
        <f t="shared" si="1"/>
        <v>売上原価</v>
      </c>
      <c r="D8" s="10"/>
      <c r="E8" s="10" t="s">
        <v>28</v>
      </c>
      <c r="F8" s="10"/>
      <c r="G8" s="10"/>
      <c r="H8" s="10"/>
      <c r="I8" s="10"/>
      <c r="J8" s="97">
        <v>7044937.0</v>
      </c>
      <c r="K8" s="97">
        <v>0.0</v>
      </c>
      <c r="L8" s="97">
        <v>0.0</v>
      </c>
      <c r="M8" s="97">
        <v>0.0</v>
      </c>
      <c r="N8" s="97">
        <v>0.0</v>
      </c>
      <c r="O8" s="97">
        <v>0.0</v>
      </c>
      <c r="P8" s="97">
        <v>0.0</v>
      </c>
      <c r="Q8" s="97">
        <v>0.0</v>
      </c>
      <c r="R8" s="97">
        <v>0.0</v>
      </c>
      <c r="S8" s="97">
        <v>0.0</v>
      </c>
      <c r="T8" s="97">
        <v>0.0</v>
      </c>
      <c r="U8" s="97">
        <v>0.0</v>
      </c>
      <c r="V8" s="97">
        <v>7044937.0</v>
      </c>
      <c r="W8" s="10"/>
      <c r="X8" s="10"/>
      <c r="Y8" s="10"/>
      <c r="Z8" s="10"/>
      <c r="AA8" s="10"/>
      <c r="AB8" s="10"/>
      <c r="AC8" s="10"/>
    </row>
    <row r="9" ht="15.75" customHeight="1">
      <c r="A9" s="59" t="str">
        <f t="array" ref="A9">XLOOKUP(C9, 'マスタ'!$C$2:$C$312, 'マスタ'!$D$2:$D$312, "マスタ未登録")</f>
        <v>期首商品棚卸高</v>
      </c>
      <c r="B9" s="53" t="str">
        <f>IF(AND(C9&lt;&gt;"", COUNTIF('マスタ'!$C:$C, C9)=0), "マスタ未登録", "")</f>
        <v/>
      </c>
      <c r="C9" s="53" t="str">
        <f t="shared" si="1"/>
        <v>期首商品棚卸</v>
      </c>
      <c r="D9" s="10"/>
      <c r="E9" s="10"/>
      <c r="F9" s="10"/>
      <c r="G9" s="10" t="s">
        <v>227</v>
      </c>
      <c r="H9" s="10"/>
      <c r="I9" s="10"/>
      <c r="J9" s="97">
        <v>0.0</v>
      </c>
      <c r="K9" s="97">
        <v>0.0</v>
      </c>
      <c r="L9" s="97">
        <v>0.0</v>
      </c>
      <c r="M9" s="97">
        <v>0.0</v>
      </c>
      <c r="N9" s="97">
        <v>0.0</v>
      </c>
      <c r="O9" s="97">
        <v>0.0</v>
      </c>
      <c r="P9" s="97">
        <v>0.0</v>
      </c>
      <c r="Q9" s="97">
        <v>0.0</v>
      </c>
      <c r="R9" s="97">
        <v>0.0</v>
      </c>
      <c r="S9" s="97">
        <v>0.0</v>
      </c>
      <c r="T9" s="97">
        <v>0.0</v>
      </c>
      <c r="U9" s="97">
        <v>0.0</v>
      </c>
      <c r="V9" s="97">
        <v>0.0</v>
      </c>
      <c r="W9" s="10"/>
      <c r="X9" s="10"/>
      <c r="Y9" s="10"/>
      <c r="Z9" s="10"/>
      <c r="AA9" s="10"/>
      <c r="AB9" s="10"/>
      <c r="AC9" s="10"/>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当期商品仕入合計額</v>
      </c>
      <c r="D10" s="10"/>
      <c r="E10" s="10"/>
      <c r="F10" s="10"/>
      <c r="G10" s="10" t="s">
        <v>374</v>
      </c>
      <c r="H10" s="10"/>
      <c r="I10" s="10"/>
      <c r="J10" s="97">
        <v>6774413.0</v>
      </c>
      <c r="K10" s="97">
        <v>0.0</v>
      </c>
      <c r="L10" s="97">
        <v>0.0</v>
      </c>
      <c r="M10" s="97">
        <v>0.0</v>
      </c>
      <c r="N10" s="97">
        <v>0.0</v>
      </c>
      <c r="O10" s="97">
        <v>0.0</v>
      </c>
      <c r="P10" s="97">
        <v>0.0</v>
      </c>
      <c r="Q10" s="97">
        <v>0.0</v>
      </c>
      <c r="R10" s="97">
        <v>0.0</v>
      </c>
      <c r="S10" s="97">
        <v>0.0</v>
      </c>
      <c r="T10" s="97">
        <v>0.0</v>
      </c>
      <c r="U10" s="97">
        <v>0.0</v>
      </c>
      <c r="V10" s="97">
        <v>6774413.0</v>
      </c>
      <c r="W10" s="10"/>
      <c r="X10" s="10"/>
      <c r="Y10" s="10"/>
      <c r="Z10" s="10"/>
      <c r="AA10" s="10"/>
      <c r="AB10" s="10"/>
      <c r="AC10" s="10"/>
    </row>
    <row r="11" ht="15.75" customHeight="1">
      <c r="A11" s="59" t="str">
        <f t="array" ref="A11">XLOOKUP(C11, 'マスタ'!$C$2:$C$312, 'マスタ'!$D$2:$D$312, "マスタ未登録")</f>
        <v>当期商品仕入高</v>
      </c>
      <c r="B11" s="53" t="str">
        <f>IF(AND(C11&lt;&gt;"", COUNTIF('マスタ'!$C:$C, C11)=0), "マスタ未登録", "")</f>
        <v/>
      </c>
      <c r="C11" s="53" t="str">
        <f t="shared" si="1"/>
        <v>仕入高</v>
      </c>
      <c r="D11" s="10"/>
      <c r="E11" s="10"/>
      <c r="F11" s="10"/>
      <c r="G11" s="10"/>
      <c r="H11" s="10" t="s">
        <v>138</v>
      </c>
      <c r="I11" s="10"/>
      <c r="J11" s="97">
        <v>0.0</v>
      </c>
      <c r="K11" s="97">
        <v>0.0</v>
      </c>
      <c r="L11" s="97">
        <v>0.0</v>
      </c>
      <c r="M11" s="97">
        <v>0.0</v>
      </c>
      <c r="N11" s="97">
        <v>0.0</v>
      </c>
      <c r="O11" s="97">
        <v>0.0</v>
      </c>
      <c r="P11" s="97">
        <v>0.0</v>
      </c>
      <c r="Q11" s="97">
        <v>0.0</v>
      </c>
      <c r="R11" s="97">
        <v>0.0</v>
      </c>
      <c r="S11" s="97">
        <v>0.0</v>
      </c>
      <c r="T11" s="97">
        <v>0.0</v>
      </c>
      <c r="U11" s="97">
        <v>0.0</v>
      </c>
      <c r="V11" s="97">
        <v>0.0</v>
      </c>
      <c r="W11" s="10"/>
      <c r="X11" s="10"/>
      <c r="Y11" s="10"/>
      <c r="Z11" s="10"/>
      <c r="AA11" s="10"/>
      <c r="AB11" s="10"/>
      <c r="AC11" s="10"/>
    </row>
    <row r="12" ht="15.75" customHeight="1">
      <c r="A12" s="59" t="str">
        <f t="array" ref="A12">XLOOKUP(C12, 'マスタ'!$C$2:$C$312, 'マスタ'!$D$2:$D$312, "マスタ未登録")</f>
        <v>当期商品仕入高</v>
      </c>
      <c r="B12" s="53" t="str">
        <f>IF(AND(C12&lt;&gt;"", COUNTIF('マスタ'!$C:$C, C12)=0), "マスタ未登録", "")</f>
        <v/>
      </c>
      <c r="C12" s="53" t="str">
        <f t="shared" si="1"/>
        <v>外注費(原)</v>
      </c>
      <c r="D12" s="10"/>
      <c r="E12" s="10"/>
      <c r="F12" s="10"/>
      <c r="G12" s="10"/>
      <c r="H12" s="10" t="s">
        <v>231</v>
      </c>
      <c r="I12" s="10"/>
      <c r="J12" s="97">
        <v>2477324.0</v>
      </c>
      <c r="K12" s="97">
        <v>0.0</v>
      </c>
      <c r="L12" s="97">
        <v>0.0</v>
      </c>
      <c r="M12" s="97">
        <v>0.0</v>
      </c>
      <c r="N12" s="97">
        <v>0.0</v>
      </c>
      <c r="O12" s="97">
        <v>0.0</v>
      </c>
      <c r="P12" s="97">
        <v>0.0</v>
      </c>
      <c r="Q12" s="97">
        <v>0.0</v>
      </c>
      <c r="R12" s="97">
        <v>0.0</v>
      </c>
      <c r="S12" s="97">
        <v>0.0</v>
      </c>
      <c r="T12" s="97">
        <v>0.0</v>
      </c>
      <c r="U12" s="97">
        <v>0.0</v>
      </c>
      <c r="V12" s="97">
        <v>2477324.0</v>
      </c>
      <c r="W12" s="10"/>
      <c r="X12" s="10"/>
      <c r="Y12" s="10"/>
      <c r="Z12" s="10"/>
      <c r="AA12" s="10"/>
      <c r="AB12" s="10"/>
      <c r="AC12" s="10"/>
    </row>
    <row r="13" ht="15.75" customHeight="1">
      <c r="A13" s="59" t="str">
        <f t="array" ref="A13">XLOOKUP(C13, 'マスタ'!$C$2:$C$312, 'マスタ'!$D$2:$D$312, "マスタ未登録")</f>
        <v>当期商品仕入高</v>
      </c>
      <c r="B13" s="53" t="str">
        <f>IF(AND(C13&lt;&gt;"", COUNTIF('マスタ'!$C:$C, C13)=0), "マスタ未登録", "")</f>
        <v/>
      </c>
      <c r="C13" s="53" t="str">
        <f t="shared" si="1"/>
        <v>業務委託費(原・タレント)</v>
      </c>
      <c r="D13" s="10"/>
      <c r="E13" s="10"/>
      <c r="F13" s="10"/>
      <c r="G13" s="10"/>
      <c r="H13" s="10" t="s">
        <v>363</v>
      </c>
      <c r="I13" s="10"/>
      <c r="J13" s="97">
        <v>2353140.0</v>
      </c>
      <c r="K13" s="97">
        <v>0.0</v>
      </c>
      <c r="L13" s="97">
        <v>0.0</v>
      </c>
      <c r="M13" s="97">
        <v>0.0</v>
      </c>
      <c r="N13" s="97">
        <v>0.0</v>
      </c>
      <c r="O13" s="97">
        <v>0.0</v>
      </c>
      <c r="P13" s="97">
        <v>0.0</v>
      </c>
      <c r="Q13" s="97">
        <v>0.0</v>
      </c>
      <c r="R13" s="97">
        <v>0.0</v>
      </c>
      <c r="S13" s="97">
        <v>0.0</v>
      </c>
      <c r="T13" s="97">
        <v>0.0</v>
      </c>
      <c r="U13" s="97">
        <v>0.0</v>
      </c>
      <c r="V13" s="97">
        <v>2353140.0</v>
      </c>
      <c r="W13" s="10"/>
      <c r="X13" s="10"/>
      <c r="Y13" s="10"/>
      <c r="Z13" s="10"/>
      <c r="AA13" s="10"/>
      <c r="AB13" s="10"/>
      <c r="AC13" s="10"/>
    </row>
    <row r="14" ht="15.75" customHeight="1">
      <c r="A14" s="59" t="str">
        <f t="array" ref="A14">XLOOKUP(C14, 'マスタ'!$C$2:$C$312, 'マスタ'!$D$2:$D$312, "マスタ未登録")</f>
        <v>当期商品仕入高</v>
      </c>
      <c r="B14" s="53" t="str">
        <f>IF(AND(C14&lt;&gt;"", COUNTIF('マスタ'!$C:$C, C14)=0), "マスタ未登録", "")</f>
        <v/>
      </c>
      <c r="C14" s="53" t="str">
        <f t="shared" si="1"/>
        <v>業務委託費(原・製)</v>
      </c>
      <c r="D14" s="10"/>
      <c r="E14" s="10"/>
      <c r="F14" s="10"/>
      <c r="G14" s="10"/>
      <c r="H14" s="10" t="s">
        <v>364</v>
      </c>
      <c r="I14" s="10"/>
      <c r="J14" s="97">
        <v>1246168.0</v>
      </c>
      <c r="K14" s="97">
        <v>0.0</v>
      </c>
      <c r="L14" s="97">
        <v>0.0</v>
      </c>
      <c r="M14" s="97">
        <v>0.0</v>
      </c>
      <c r="N14" s="97">
        <v>0.0</v>
      </c>
      <c r="O14" s="97">
        <v>0.0</v>
      </c>
      <c r="P14" s="97">
        <v>0.0</v>
      </c>
      <c r="Q14" s="97">
        <v>0.0</v>
      </c>
      <c r="R14" s="97">
        <v>0.0</v>
      </c>
      <c r="S14" s="97">
        <v>0.0</v>
      </c>
      <c r="T14" s="97">
        <v>0.0</v>
      </c>
      <c r="U14" s="97">
        <v>0.0</v>
      </c>
      <c r="V14" s="97">
        <v>1246168.0</v>
      </c>
      <c r="W14" s="10"/>
      <c r="X14" s="10"/>
      <c r="Y14" s="10"/>
      <c r="Z14" s="10"/>
      <c r="AA14" s="10"/>
      <c r="AB14" s="10"/>
      <c r="AC14" s="10"/>
    </row>
    <row r="15" ht="15.75" customHeight="1">
      <c r="A15" s="59" t="str">
        <f t="array" ref="A15">XLOOKUP(C15, 'マスタ'!$C$2:$C$312, 'マスタ'!$D$2:$D$312, "マスタ未登録")</f>
        <v>当期商品仕入高</v>
      </c>
      <c r="B15" s="53" t="str">
        <f>IF(AND(C15&lt;&gt;"", COUNTIF('マスタ'!$C:$C, C15)=0), "マスタ未登録", "")</f>
        <v/>
      </c>
      <c r="C15" s="53" t="str">
        <f t="shared" si="1"/>
        <v>旅費交通費(原)</v>
      </c>
      <c r="D15" s="10"/>
      <c r="E15" s="10"/>
      <c r="F15" s="10"/>
      <c r="G15" s="10"/>
      <c r="H15" s="10" t="s">
        <v>233</v>
      </c>
      <c r="I15" s="10"/>
      <c r="J15" s="97">
        <v>257617.0</v>
      </c>
      <c r="K15" s="97">
        <v>0.0</v>
      </c>
      <c r="L15" s="97">
        <v>0.0</v>
      </c>
      <c r="M15" s="97">
        <v>0.0</v>
      </c>
      <c r="N15" s="97">
        <v>0.0</v>
      </c>
      <c r="O15" s="97">
        <v>0.0</v>
      </c>
      <c r="P15" s="97">
        <v>0.0</v>
      </c>
      <c r="Q15" s="97">
        <v>0.0</v>
      </c>
      <c r="R15" s="97">
        <v>0.0</v>
      </c>
      <c r="S15" s="97">
        <v>0.0</v>
      </c>
      <c r="T15" s="97">
        <v>0.0</v>
      </c>
      <c r="U15" s="97">
        <v>0.0</v>
      </c>
      <c r="V15" s="97">
        <v>257617.0</v>
      </c>
      <c r="W15" s="10"/>
      <c r="X15" s="10"/>
      <c r="Y15" s="10"/>
      <c r="Z15" s="10"/>
      <c r="AA15" s="10"/>
      <c r="AB15" s="10"/>
      <c r="AC15" s="10"/>
    </row>
    <row r="16" ht="15.75" customHeight="1">
      <c r="A16" s="59" t="str">
        <f t="array" ref="A16">XLOOKUP(C16, 'マスタ'!$C$2:$C$312, 'マスタ'!$D$2:$D$312, "マスタ未登録")</f>
        <v>当期商品仕入高</v>
      </c>
      <c r="B16" s="53" t="str">
        <f>IF(AND(C16&lt;&gt;"", COUNTIF('マスタ'!$C:$C, C16)=0), "マスタ未登録", "")</f>
        <v/>
      </c>
      <c r="C16" s="53" t="str">
        <f t="shared" si="1"/>
        <v>通信費(原)</v>
      </c>
      <c r="D16" s="10"/>
      <c r="E16" s="10"/>
      <c r="F16" s="10"/>
      <c r="G16" s="10"/>
      <c r="H16" s="10" t="s">
        <v>351</v>
      </c>
      <c r="I16" s="10"/>
      <c r="J16" s="97">
        <v>72106.0</v>
      </c>
      <c r="K16" s="97">
        <v>0.0</v>
      </c>
      <c r="L16" s="97">
        <v>0.0</v>
      </c>
      <c r="M16" s="97">
        <v>0.0</v>
      </c>
      <c r="N16" s="97">
        <v>0.0</v>
      </c>
      <c r="O16" s="97">
        <v>0.0</v>
      </c>
      <c r="P16" s="97">
        <v>0.0</v>
      </c>
      <c r="Q16" s="97">
        <v>0.0</v>
      </c>
      <c r="R16" s="97">
        <v>0.0</v>
      </c>
      <c r="S16" s="97">
        <v>0.0</v>
      </c>
      <c r="T16" s="97">
        <v>0.0</v>
      </c>
      <c r="U16" s="97">
        <v>0.0</v>
      </c>
      <c r="V16" s="97">
        <v>72106.0</v>
      </c>
      <c r="W16" s="10"/>
      <c r="X16" s="10"/>
      <c r="Y16" s="10"/>
      <c r="Z16" s="10"/>
      <c r="AA16" s="10"/>
      <c r="AB16" s="10"/>
      <c r="AC16" s="10"/>
    </row>
    <row r="17" ht="15.75" customHeight="1">
      <c r="A17" s="59" t="str">
        <f t="array" ref="A17">XLOOKUP(C17, 'マスタ'!$C$2:$C$312, 'マスタ'!$D$2:$D$312, "マスタ未登録")</f>
        <v>当期商品仕入高</v>
      </c>
      <c r="B17" s="53" t="str">
        <f>IF(AND(C17&lt;&gt;"", COUNTIF('マスタ'!$C:$C, C17)=0), "マスタ未登録", "")</f>
        <v/>
      </c>
      <c r="C17" s="53" t="str">
        <f t="shared" si="1"/>
        <v>消耗品費(原)</v>
      </c>
      <c r="D17" s="10"/>
      <c r="E17" s="10"/>
      <c r="F17" s="10"/>
      <c r="G17" s="10"/>
      <c r="H17" s="10" t="s">
        <v>234</v>
      </c>
      <c r="I17" s="10"/>
      <c r="J17" s="97">
        <v>254219.0</v>
      </c>
      <c r="K17" s="97">
        <v>0.0</v>
      </c>
      <c r="L17" s="97">
        <v>0.0</v>
      </c>
      <c r="M17" s="97">
        <v>0.0</v>
      </c>
      <c r="N17" s="97">
        <v>0.0</v>
      </c>
      <c r="O17" s="97">
        <v>0.0</v>
      </c>
      <c r="P17" s="97">
        <v>0.0</v>
      </c>
      <c r="Q17" s="97">
        <v>0.0</v>
      </c>
      <c r="R17" s="97">
        <v>0.0</v>
      </c>
      <c r="S17" s="97">
        <v>0.0</v>
      </c>
      <c r="T17" s="97">
        <v>0.0</v>
      </c>
      <c r="U17" s="97">
        <v>0.0</v>
      </c>
      <c r="V17" s="97">
        <v>254219.0</v>
      </c>
      <c r="W17" s="10"/>
      <c r="X17" s="10"/>
      <c r="Y17" s="10"/>
      <c r="Z17" s="10"/>
      <c r="AA17" s="10"/>
      <c r="AB17" s="10"/>
      <c r="AC17" s="10"/>
    </row>
    <row r="18" ht="15.75" customHeight="1">
      <c r="A18" s="59" t="str">
        <f t="array" ref="A18">XLOOKUP(C18, 'マスタ'!$C$2:$C$312, 'マスタ'!$D$2:$D$312, "マスタ未登録")</f>
        <v>当期商品仕入高</v>
      </c>
      <c r="B18" s="53" t="str">
        <f>IF(AND(C18&lt;&gt;"", COUNTIF('マスタ'!$C:$C, C18)=0), "マスタ未登録", "")</f>
        <v/>
      </c>
      <c r="C18" s="53" t="str">
        <f t="shared" si="1"/>
        <v>賃借料(原)</v>
      </c>
      <c r="D18" s="10"/>
      <c r="E18" s="10"/>
      <c r="F18" s="10"/>
      <c r="G18" s="10"/>
      <c r="H18" s="10" t="s">
        <v>366</v>
      </c>
      <c r="I18" s="10"/>
      <c r="J18" s="97">
        <v>113839.0</v>
      </c>
      <c r="K18" s="97">
        <v>0.0</v>
      </c>
      <c r="L18" s="97">
        <v>0.0</v>
      </c>
      <c r="M18" s="97">
        <v>0.0</v>
      </c>
      <c r="N18" s="97">
        <v>0.0</v>
      </c>
      <c r="O18" s="97">
        <v>0.0</v>
      </c>
      <c r="P18" s="97">
        <v>0.0</v>
      </c>
      <c r="Q18" s="97">
        <v>0.0</v>
      </c>
      <c r="R18" s="97">
        <v>0.0</v>
      </c>
      <c r="S18" s="97">
        <v>0.0</v>
      </c>
      <c r="T18" s="97">
        <v>0.0</v>
      </c>
      <c r="U18" s="97">
        <v>0.0</v>
      </c>
      <c r="V18" s="97">
        <v>113839.0</v>
      </c>
      <c r="W18" s="10"/>
      <c r="X18" s="10"/>
      <c r="Y18" s="10"/>
      <c r="Z18" s="10"/>
      <c r="AA18" s="10"/>
      <c r="AB18" s="10"/>
      <c r="AC18" s="10"/>
    </row>
    <row r="19" ht="15.75" customHeight="1">
      <c r="A19" s="59" t="str">
        <f t="array" ref="A19">XLOOKUP(C19, 'マスタ'!$C$2:$C$312, 'マスタ'!$D$2:$D$312, "マスタ未登録")</f>
        <v>他勘定振替高</v>
      </c>
      <c r="B19" s="53" t="str">
        <f>IF(AND(C19&lt;&gt;"", COUNTIF('マスタ'!$C:$C, C19)=0), "マスタ未登録", "")</f>
        <v/>
      </c>
      <c r="C19" s="53" t="str">
        <f t="shared" si="1"/>
        <v>他勘定振替高(商)</v>
      </c>
      <c r="D19" s="10"/>
      <c r="E19" s="10"/>
      <c r="F19" s="10"/>
      <c r="G19" s="10" t="s">
        <v>235</v>
      </c>
      <c r="H19" s="10"/>
      <c r="I19" s="10"/>
      <c r="J19" s="97">
        <v>0.0</v>
      </c>
      <c r="K19" s="97">
        <v>0.0</v>
      </c>
      <c r="L19" s="97">
        <v>0.0</v>
      </c>
      <c r="M19" s="97">
        <v>0.0</v>
      </c>
      <c r="N19" s="97">
        <v>0.0</v>
      </c>
      <c r="O19" s="97">
        <v>0.0</v>
      </c>
      <c r="P19" s="97">
        <v>0.0</v>
      </c>
      <c r="Q19" s="97">
        <v>0.0</v>
      </c>
      <c r="R19" s="97">
        <v>0.0</v>
      </c>
      <c r="S19" s="97">
        <v>0.0</v>
      </c>
      <c r="T19" s="97">
        <v>0.0</v>
      </c>
      <c r="U19" s="97">
        <v>0.0</v>
      </c>
      <c r="V19" s="97">
        <v>0.0</v>
      </c>
      <c r="W19" s="10"/>
      <c r="X19" s="10"/>
      <c r="Y19" s="10"/>
      <c r="Z19" s="10"/>
      <c r="AA19" s="10"/>
      <c r="AB19" s="10"/>
      <c r="AC19" s="10"/>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期末商品棚卸合計額</v>
      </c>
      <c r="D20" s="10"/>
      <c r="E20" s="10"/>
      <c r="F20" s="10"/>
      <c r="G20" s="10" t="s">
        <v>375</v>
      </c>
      <c r="H20" s="10"/>
      <c r="I20" s="10"/>
      <c r="J20" s="97">
        <v>-270524.0</v>
      </c>
      <c r="K20" s="97">
        <v>0.0</v>
      </c>
      <c r="L20" s="97">
        <v>0.0</v>
      </c>
      <c r="M20" s="97">
        <v>0.0</v>
      </c>
      <c r="N20" s="97">
        <v>0.0</v>
      </c>
      <c r="O20" s="97">
        <v>0.0</v>
      </c>
      <c r="P20" s="97">
        <v>0.0</v>
      </c>
      <c r="Q20" s="97">
        <v>0.0</v>
      </c>
      <c r="R20" s="97">
        <v>0.0</v>
      </c>
      <c r="S20" s="97">
        <v>0.0</v>
      </c>
      <c r="T20" s="97">
        <v>0.0</v>
      </c>
      <c r="U20" s="97">
        <v>0.0</v>
      </c>
      <c r="V20" s="97">
        <v>-270524.0</v>
      </c>
      <c r="W20" s="10"/>
      <c r="X20" s="10"/>
      <c r="Y20" s="10"/>
      <c r="Z20" s="10"/>
      <c r="AA20" s="10"/>
      <c r="AB20" s="10"/>
      <c r="AC20" s="10"/>
    </row>
    <row r="21" ht="15.75" customHeight="1">
      <c r="A21" s="59" t="str">
        <f t="array" ref="A21">XLOOKUP(C21, 'マスタ'!$C$2:$C$312, 'マスタ'!$D$2:$D$312, "マスタ未登録")</f>
        <v>期末商品棚卸高</v>
      </c>
      <c r="B21" s="53" t="str">
        <f>IF(AND(C21&lt;&gt;"", COUNTIF('マスタ'!$C:$C, C21)=0), "マスタ未登録", "")</f>
        <v/>
      </c>
      <c r="C21" s="53" t="str">
        <f t="shared" si="1"/>
        <v>期末商品棚卸高</v>
      </c>
      <c r="D21" s="10"/>
      <c r="E21" s="10"/>
      <c r="F21" s="10"/>
      <c r="G21" s="10"/>
      <c r="H21" s="10" t="s">
        <v>71</v>
      </c>
      <c r="I21" s="10"/>
      <c r="J21" s="97">
        <v>-270524.0</v>
      </c>
      <c r="K21" s="97">
        <v>0.0</v>
      </c>
      <c r="L21" s="97">
        <v>0.0</v>
      </c>
      <c r="M21" s="97">
        <v>0.0</v>
      </c>
      <c r="N21" s="97">
        <v>0.0</v>
      </c>
      <c r="O21" s="97">
        <v>0.0</v>
      </c>
      <c r="P21" s="97">
        <v>0.0</v>
      </c>
      <c r="Q21" s="97">
        <v>0.0</v>
      </c>
      <c r="R21" s="97">
        <v>0.0</v>
      </c>
      <c r="S21" s="97">
        <v>0.0</v>
      </c>
      <c r="T21" s="97">
        <v>0.0</v>
      </c>
      <c r="U21" s="97">
        <v>0.0</v>
      </c>
      <c r="V21" s="97">
        <v>-270524.0</v>
      </c>
      <c r="W21" s="10"/>
      <c r="X21" s="10"/>
      <c r="Y21" s="10"/>
      <c r="Z21" s="10"/>
      <c r="AA21" s="10"/>
      <c r="AB21" s="10"/>
      <c r="AC21" s="10"/>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商品売上原価</v>
      </c>
      <c r="D22" s="10"/>
      <c r="E22" s="10"/>
      <c r="F22" s="10" t="s">
        <v>3</v>
      </c>
      <c r="G22" s="10"/>
      <c r="H22" s="10"/>
      <c r="I22" s="10"/>
      <c r="J22" s="97">
        <v>7044937.0</v>
      </c>
      <c r="K22" s="97">
        <v>0.0</v>
      </c>
      <c r="L22" s="97">
        <v>0.0</v>
      </c>
      <c r="M22" s="97">
        <v>0.0</v>
      </c>
      <c r="N22" s="97">
        <v>0.0</v>
      </c>
      <c r="O22" s="97">
        <v>0.0</v>
      </c>
      <c r="P22" s="97">
        <v>0.0</v>
      </c>
      <c r="Q22" s="97">
        <v>0.0</v>
      </c>
      <c r="R22" s="97">
        <v>0.0</v>
      </c>
      <c r="S22" s="97">
        <v>0.0</v>
      </c>
      <c r="T22" s="97">
        <v>0.0</v>
      </c>
      <c r="U22" s="97">
        <v>0.0</v>
      </c>
      <c r="V22" s="97">
        <v>7044937.0</v>
      </c>
      <c r="W22" s="10"/>
      <c r="X22" s="10"/>
      <c r="Y22" s="10"/>
      <c r="Z22" s="10"/>
      <c r="AA22" s="10"/>
      <c r="AB22" s="10"/>
      <c r="AC22" s="10"/>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売上総損益金額</v>
      </c>
      <c r="D23" s="10" t="s">
        <v>237</v>
      </c>
      <c r="E23" s="10"/>
      <c r="F23" s="10"/>
      <c r="G23" s="10"/>
      <c r="H23" s="10"/>
      <c r="I23" s="10"/>
      <c r="J23" s="97">
        <v>-4107831.0</v>
      </c>
      <c r="K23" s="97">
        <v>0.0</v>
      </c>
      <c r="L23" s="97">
        <v>0.0</v>
      </c>
      <c r="M23" s="97">
        <v>0.0</v>
      </c>
      <c r="N23" s="97">
        <v>0.0</v>
      </c>
      <c r="O23" s="97">
        <v>0.0</v>
      </c>
      <c r="P23" s="97">
        <v>0.0</v>
      </c>
      <c r="Q23" s="97">
        <v>0.0</v>
      </c>
      <c r="R23" s="97">
        <v>0.0</v>
      </c>
      <c r="S23" s="97">
        <v>0.0</v>
      </c>
      <c r="T23" s="97">
        <v>0.0</v>
      </c>
      <c r="U23" s="97">
        <v>0.0</v>
      </c>
      <c r="V23" s="97">
        <v>-4107831.0</v>
      </c>
      <c r="W23" s="10"/>
      <c r="X23" s="10"/>
      <c r="Y23" s="10"/>
      <c r="Z23" s="10"/>
      <c r="AA23" s="10"/>
      <c r="AB23" s="10"/>
      <c r="AC23" s="10"/>
    </row>
    <row r="24" ht="15.75" customHeight="1">
      <c r="A24" s="59" t="str">
        <f t="array" ref="A24">XLOOKUP(C24, 'マスタ'!$C$2:$C$312, 'マスタ'!$D$2:$D$312, "マスタ未登録")</f>
        <v>マスタ未登録</v>
      </c>
      <c r="B24" s="53" t="str">
        <f>IF(AND(C24&lt;&gt;"", COUNTIF('マスタ'!$C:$C, C24)=0), "マスタ未登録", "")</f>
        <v>マスタ未登録</v>
      </c>
      <c r="C24" s="53" t="str">
        <f t="shared" si="1"/>
        <v>販売管理費</v>
      </c>
      <c r="D24" s="10"/>
      <c r="E24" s="10" t="s">
        <v>238</v>
      </c>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ht="15.75" customHeight="1">
      <c r="A25" s="59" t="str">
        <f t="array" ref="A25">XLOOKUP(C25, 'マスタ'!$C$2:$C$312, 'マスタ'!$D$2:$D$312, "マスタ未登録")</f>
        <v>通信費</v>
      </c>
      <c r="B25" s="53" t="str">
        <f>IF(AND(C25&lt;&gt;"", COUNTIF('マスタ'!$C:$C, C25)=0), "マスタ未登録", "")</f>
        <v/>
      </c>
      <c r="C25" s="53" t="str">
        <f t="shared" si="1"/>
        <v>通信費</v>
      </c>
      <c r="D25" s="10"/>
      <c r="E25" s="10"/>
      <c r="F25" s="10" t="s">
        <v>84</v>
      </c>
      <c r="G25" s="10"/>
      <c r="H25" s="10"/>
      <c r="I25" s="10"/>
      <c r="J25" s="97">
        <v>2346.0</v>
      </c>
      <c r="K25" s="97">
        <v>0.0</v>
      </c>
      <c r="L25" s="97">
        <v>0.0</v>
      </c>
      <c r="M25" s="97">
        <v>0.0</v>
      </c>
      <c r="N25" s="97">
        <v>0.0</v>
      </c>
      <c r="O25" s="97">
        <v>0.0</v>
      </c>
      <c r="P25" s="97">
        <v>0.0</v>
      </c>
      <c r="Q25" s="97">
        <v>0.0</v>
      </c>
      <c r="R25" s="97">
        <v>0.0</v>
      </c>
      <c r="S25" s="97">
        <v>0.0</v>
      </c>
      <c r="T25" s="97">
        <v>0.0</v>
      </c>
      <c r="U25" s="97">
        <v>0.0</v>
      </c>
      <c r="V25" s="97">
        <v>2346.0</v>
      </c>
      <c r="W25" s="10"/>
      <c r="X25" s="10"/>
      <c r="Y25" s="10"/>
      <c r="Z25" s="10"/>
      <c r="AA25" s="10"/>
      <c r="AB25" s="10"/>
      <c r="AC25" s="10"/>
    </row>
    <row r="26" ht="15.75" customHeight="1">
      <c r="A26" s="59" t="str">
        <f t="array" ref="A26">XLOOKUP(C26, 'マスタ'!$C$2:$C$312, 'マスタ'!$D$2:$D$312, "マスタ未登録")</f>
        <v>広告宣伝費</v>
      </c>
      <c r="B26" s="53" t="str">
        <f>IF(AND(C26&lt;&gt;"", COUNTIF('マスタ'!$C:$C, C26)=0), "マスタ未登録", "")</f>
        <v/>
      </c>
      <c r="C26" s="53" t="str">
        <f t="shared" si="1"/>
        <v>広告宣伝費</v>
      </c>
      <c r="D26" s="10"/>
      <c r="E26" s="10"/>
      <c r="F26" s="10" t="s">
        <v>81</v>
      </c>
      <c r="G26" s="10"/>
      <c r="H26" s="10"/>
      <c r="I26" s="10"/>
      <c r="J26" s="97">
        <v>17469.0</v>
      </c>
      <c r="K26" s="97">
        <v>0.0</v>
      </c>
      <c r="L26" s="97">
        <v>0.0</v>
      </c>
      <c r="M26" s="97">
        <v>0.0</v>
      </c>
      <c r="N26" s="97">
        <v>0.0</v>
      </c>
      <c r="O26" s="97">
        <v>0.0</v>
      </c>
      <c r="P26" s="97">
        <v>0.0</v>
      </c>
      <c r="Q26" s="97">
        <v>0.0</v>
      </c>
      <c r="R26" s="97">
        <v>0.0</v>
      </c>
      <c r="S26" s="97">
        <v>0.0</v>
      </c>
      <c r="T26" s="97">
        <v>0.0</v>
      </c>
      <c r="U26" s="97">
        <v>0.0</v>
      </c>
      <c r="V26" s="97">
        <v>17469.0</v>
      </c>
      <c r="W26" s="10"/>
      <c r="X26" s="10"/>
      <c r="Y26" s="10"/>
      <c r="Z26" s="10"/>
      <c r="AA26" s="10"/>
      <c r="AB26" s="10"/>
      <c r="AC26" s="10"/>
    </row>
    <row r="27" ht="15.75" customHeight="1">
      <c r="A27" s="59" t="str">
        <f t="array" ref="A27">XLOOKUP(C27, 'マスタ'!$C$2:$C$312, 'マスタ'!$D$2:$D$312, "マスタ未登録")</f>
        <v>荷造運賃</v>
      </c>
      <c r="B27" s="53" t="str">
        <f>IF(AND(C27&lt;&gt;"", COUNTIF('マスタ'!$C:$C, C27)=0), "マスタ未登録", "")</f>
        <v/>
      </c>
      <c r="C27" s="53" t="str">
        <f t="shared" si="1"/>
        <v>荷造運賃</v>
      </c>
      <c r="D27" s="10"/>
      <c r="E27" s="10"/>
      <c r="F27" s="10" t="s">
        <v>80</v>
      </c>
      <c r="G27" s="10"/>
      <c r="H27" s="10"/>
      <c r="I27" s="10"/>
      <c r="J27" s="97">
        <v>286140.0</v>
      </c>
      <c r="K27" s="97">
        <v>0.0</v>
      </c>
      <c r="L27" s="97">
        <v>0.0</v>
      </c>
      <c r="M27" s="97">
        <v>0.0</v>
      </c>
      <c r="N27" s="97">
        <v>0.0</v>
      </c>
      <c r="O27" s="97">
        <v>0.0</v>
      </c>
      <c r="P27" s="97">
        <v>0.0</v>
      </c>
      <c r="Q27" s="97">
        <v>0.0</v>
      </c>
      <c r="R27" s="97">
        <v>0.0</v>
      </c>
      <c r="S27" s="97">
        <v>0.0</v>
      </c>
      <c r="T27" s="97">
        <v>0.0</v>
      </c>
      <c r="U27" s="97">
        <v>0.0</v>
      </c>
      <c r="V27" s="97">
        <v>286140.0</v>
      </c>
      <c r="W27" s="10"/>
      <c r="X27" s="10"/>
      <c r="Y27" s="10"/>
      <c r="Z27" s="10"/>
      <c r="AA27" s="10"/>
      <c r="AB27" s="10"/>
      <c r="AC27" s="10"/>
    </row>
    <row r="28" ht="15.75" customHeight="1">
      <c r="A28" s="59" t="str">
        <f t="array" ref="A28">XLOOKUP(C28, 'マスタ'!$C$2:$C$312, 'マスタ'!$D$2:$D$312, "マスタ未登録")</f>
        <v>支払手数料</v>
      </c>
      <c r="B28" s="53" t="str">
        <f>IF(AND(C28&lt;&gt;"", COUNTIF('マスタ'!$C:$C, C28)=0), "マスタ未登録", "")</f>
        <v/>
      </c>
      <c r="C28" s="53" t="str">
        <f t="shared" si="1"/>
        <v>支払手数料</v>
      </c>
      <c r="D28" s="10"/>
      <c r="E28" s="10"/>
      <c r="F28" s="10" t="s">
        <v>92</v>
      </c>
      <c r="G28" s="10"/>
      <c r="H28" s="10"/>
      <c r="I28" s="10"/>
      <c r="J28" s="97">
        <v>145924.0</v>
      </c>
      <c r="K28" s="97">
        <v>5000.0</v>
      </c>
      <c r="L28" s="97">
        <v>0.0</v>
      </c>
      <c r="M28" s="97">
        <v>0.0</v>
      </c>
      <c r="N28" s="97">
        <v>0.0</v>
      </c>
      <c r="O28" s="97">
        <v>0.0</v>
      </c>
      <c r="P28" s="97">
        <v>0.0</v>
      </c>
      <c r="Q28" s="97">
        <v>0.0</v>
      </c>
      <c r="R28" s="97">
        <v>0.0</v>
      </c>
      <c r="S28" s="97">
        <v>0.0</v>
      </c>
      <c r="T28" s="97">
        <v>0.0</v>
      </c>
      <c r="U28" s="97">
        <v>0.0</v>
      </c>
      <c r="V28" s="97">
        <v>150924.0</v>
      </c>
      <c r="W28" s="10"/>
      <c r="X28" s="10"/>
      <c r="Y28" s="10"/>
      <c r="Z28" s="10"/>
      <c r="AA28" s="10"/>
      <c r="AB28" s="10"/>
      <c r="AC28" s="10"/>
    </row>
    <row r="29" ht="15.75" customHeight="1">
      <c r="A29" s="59" t="str">
        <f t="array" ref="A29">XLOOKUP(C29, 'マスタ'!$C$2:$C$312, 'マスタ'!$D$2:$D$312, "マスタ未登録")</f>
        <v>接待交際費</v>
      </c>
      <c r="B29" s="53" t="str">
        <f>IF(AND(C29&lt;&gt;"", COUNTIF('マスタ'!$C:$C, C29)=0), "マスタ未登録", "")</f>
        <v/>
      </c>
      <c r="C29" s="53" t="str">
        <f t="shared" si="1"/>
        <v>交際費（11,000円超/人）</v>
      </c>
      <c r="D29" s="10"/>
      <c r="E29" s="10"/>
      <c r="F29" s="10" t="s">
        <v>241</v>
      </c>
      <c r="G29" s="10"/>
      <c r="H29" s="10"/>
      <c r="I29" s="10"/>
      <c r="J29" s="97">
        <v>27819.0</v>
      </c>
      <c r="K29" s="97">
        <v>0.0</v>
      </c>
      <c r="L29" s="97">
        <v>0.0</v>
      </c>
      <c r="M29" s="97">
        <v>0.0</v>
      </c>
      <c r="N29" s="97">
        <v>0.0</v>
      </c>
      <c r="O29" s="97">
        <v>0.0</v>
      </c>
      <c r="P29" s="97">
        <v>0.0</v>
      </c>
      <c r="Q29" s="97">
        <v>0.0</v>
      </c>
      <c r="R29" s="97">
        <v>0.0</v>
      </c>
      <c r="S29" s="97">
        <v>0.0</v>
      </c>
      <c r="T29" s="97">
        <v>0.0</v>
      </c>
      <c r="U29" s="97">
        <v>0.0</v>
      </c>
      <c r="V29" s="97">
        <v>27819.0</v>
      </c>
      <c r="W29" s="10"/>
      <c r="X29" s="10"/>
      <c r="Y29" s="10"/>
      <c r="Z29" s="10"/>
      <c r="AA29" s="10"/>
      <c r="AB29" s="10"/>
      <c r="AC29" s="10"/>
    </row>
    <row r="30" ht="15.75" customHeight="1">
      <c r="A30" s="59" t="str">
        <f t="array" ref="A30">XLOOKUP(C30, 'マスタ'!$C$2:$C$312, 'マスタ'!$D$2:$D$312, "マスタ未登録")</f>
        <v>マスタ未登録</v>
      </c>
      <c r="B30" s="53" t="str">
        <f>IF(AND(C30&lt;&gt;"", COUNTIF('マスタ'!$C:$C, C30)=0), "マスタ未登録", "")</f>
        <v>マスタ未登録</v>
      </c>
      <c r="C30" s="53" t="str">
        <f t="shared" si="1"/>
        <v>販売管理費 計</v>
      </c>
      <c r="D30" s="10"/>
      <c r="E30" s="10" t="s">
        <v>183</v>
      </c>
      <c r="F30" s="10"/>
      <c r="G30" s="10"/>
      <c r="H30" s="10"/>
      <c r="I30" s="10"/>
      <c r="J30" s="97">
        <v>479698.0</v>
      </c>
      <c r="K30" s="97">
        <v>5000.0</v>
      </c>
      <c r="L30" s="97">
        <v>0.0</v>
      </c>
      <c r="M30" s="97">
        <v>0.0</v>
      </c>
      <c r="N30" s="97">
        <v>0.0</v>
      </c>
      <c r="O30" s="97">
        <v>0.0</v>
      </c>
      <c r="P30" s="97">
        <v>0.0</v>
      </c>
      <c r="Q30" s="97">
        <v>0.0</v>
      </c>
      <c r="R30" s="97">
        <v>0.0</v>
      </c>
      <c r="S30" s="97">
        <v>0.0</v>
      </c>
      <c r="T30" s="97">
        <v>0.0</v>
      </c>
      <c r="U30" s="97">
        <v>0.0</v>
      </c>
      <c r="V30" s="97">
        <v>484698.0</v>
      </c>
      <c r="W30" s="10"/>
      <c r="X30" s="10"/>
      <c r="Y30" s="10"/>
      <c r="Z30" s="10"/>
      <c r="AA30" s="10"/>
      <c r="AB30" s="10"/>
      <c r="AC30" s="10"/>
    </row>
    <row r="31" ht="15.75" customHeight="1">
      <c r="A31" s="59" t="str">
        <f t="array" ref="A31">XLOOKUP(C31, 'マスタ'!$C$2:$C$312, 'マスタ'!$D$2:$D$312, "マスタ未登録")</f>
        <v>マスタ未登録</v>
      </c>
      <c r="B31" s="53" t="str">
        <f>IF(AND(C31&lt;&gt;"", COUNTIF('マスタ'!$C:$C, C31)=0), "マスタ未登録", "")</f>
        <v>マスタ未登録</v>
      </c>
      <c r="C31" s="53" t="str">
        <f t="shared" si="1"/>
        <v>営業損益金額</v>
      </c>
      <c r="D31" s="10" t="s">
        <v>184</v>
      </c>
      <c r="E31" s="10"/>
      <c r="F31" s="10"/>
      <c r="G31" s="10"/>
      <c r="H31" s="10"/>
      <c r="I31" s="10"/>
      <c r="J31" s="97">
        <v>-4587529.0</v>
      </c>
      <c r="K31" s="97">
        <v>-5000.0</v>
      </c>
      <c r="L31" s="97">
        <v>0.0</v>
      </c>
      <c r="M31" s="97">
        <v>0.0</v>
      </c>
      <c r="N31" s="97">
        <v>0.0</v>
      </c>
      <c r="O31" s="97">
        <v>0.0</v>
      </c>
      <c r="P31" s="97">
        <v>0.0</v>
      </c>
      <c r="Q31" s="97">
        <v>0.0</v>
      </c>
      <c r="R31" s="97">
        <v>0.0</v>
      </c>
      <c r="S31" s="97">
        <v>0.0</v>
      </c>
      <c r="T31" s="97">
        <v>0.0</v>
      </c>
      <c r="U31" s="97">
        <v>0.0</v>
      </c>
      <c r="V31" s="97">
        <v>-4592529.0</v>
      </c>
      <c r="W31" s="10"/>
      <c r="X31" s="10"/>
      <c r="Y31" s="10"/>
      <c r="Z31" s="10"/>
      <c r="AA31" s="10"/>
      <c r="AB31" s="10"/>
      <c r="AC31" s="10"/>
    </row>
    <row r="32" ht="15.75" customHeight="1">
      <c r="A32" s="59" t="str">
        <f t="array" ref="A32">XLOOKUP(C32, 'マスタ'!$C$2:$C$312, 'マスタ'!$D$2:$D$312, "マスタ未登録")</f>
        <v>マスタ未登録</v>
      </c>
      <c r="B32" s="53" t="str">
        <f>IF(AND(C32&lt;&gt;"", COUNTIF('マスタ'!$C:$C, C32)=0), "マスタ未登録", "")</f>
        <v>マスタ未登録</v>
      </c>
      <c r="C32" s="53" t="str">
        <f t="shared" si="1"/>
        <v>営業外収益</v>
      </c>
      <c r="D32" s="10"/>
      <c r="E32" s="10" t="s">
        <v>32</v>
      </c>
      <c r="F32" s="10"/>
      <c r="G32" s="10"/>
      <c r="H32" s="10"/>
      <c r="I32" s="10"/>
      <c r="J32" s="97">
        <v>610.0</v>
      </c>
      <c r="K32" s="97">
        <v>0.0</v>
      </c>
      <c r="L32" s="97">
        <v>0.0</v>
      </c>
      <c r="M32" s="97">
        <v>0.0</v>
      </c>
      <c r="N32" s="97">
        <v>0.0</v>
      </c>
      <c r="O32" s="97">
        <v>0.0</v>
      </c>
      <c r="P32" s="97">
        <v>0.0</v>
      </c>
      <c r="Q32" s="97">
        <v>0.0</v>
      </c>
      <c r="R32" s="97">
        <v>0.0</v>
      </c>
      <c r="S32" s="97">
        <v>0.0</v>
      </c>
      <c r="T32" s="97">
        <v>0.0</v>
      </c>
      <c r="U32" s="97">
        <v>0.0</v>
      </c>
      <c r="V32" s="97">
        <v>610.0</v>
      </c>
      <c r="W32" s="10"/>
      <c r="X32" s="10"/>
      <c r="Y32" s="10"/>
      <c r="Z32" s="10"/>
      <c r="AA32" s="10"/>
      <c r="AB32" s="10"/>
      <c r="AC32" s="10"/>
    </row>
    <row r="33" ht="15.75" customHeight="1">
      <c r="A33" s="59" t="str">
        <f t="array" ref="A33">XLOOKUP(C33, 'マスタ'!$C$2:$C$312, 'マスタ'!$D$2:$D$312, "マスタ未登録")</f>
        <v>受取利息</v>
      </c>
      <c r="B33" s="53" t="str">
        <f>IF(AND(C33&lt;&gt;"", COUNTIF('マスタ'!$C:$C, C33)=0), "マスタ未登録", "")</f>
        <v/>
      </c>
      <c r="C33" s="53" t="str">
        <f t="shared" si="1"/>
        <v>受取利息</v>
      </c>
      <c r="D33" s="10"/>
      <c r="E33" s="10"/>
      <c r="F33" s="10" t="s">
        <v>103</v>
      </c>
      <c r="G33" s="10"/>
      <c r="H33" s="10"/>
      <c r="I33" s="10"/>
      <c r="J33" s="97">
        <v>610.0</v>
      </c>
      <c r="K33" s="97">
        <v>0.0</v>
      </c>
      <c r="L33" s="97">
        <v>0.0</v>
      </c>
      <c r="M33" s="97">
        <v>0.0</v>
      </c>
      <c r="N33" s="97">
        <v>0.0</v>
      </c>
      <c r="O33" s="97">
        <v>0.0</v>
      </c>
      <c r="P33" s="97">
        <v>0.0</v>
      </c>
      <c r="Q33" s="97">
        <v>0.0</v>
      </c>
      <c r="R33" s="97">
        <v>0.0</v>
      </c>
      <c r="S33" s="97">
        <v>0.0</v>
      </c>
      <c r="T33" s="97">
        <v>0.0</v>
      </c>
      <c r="U33" s="97">
        <v>0.0</v>
      </c>
      <c r="V33" s="97">
        <v>610.0</v>
      </c>
      <c r="W33" s="10"/>
      <c r="X33" s="10"/>
      <c r="Y33" s="10"/>
      <c r="Z33" s="10"/>
      <c r="AA33" s="10"/>
      <c r="AB33" s="10"/>
      <c r="AC33" s="10"/>
    </row>
    <row r="34" ht="15.75" customHeight="1">
      <c r="A34" s="59" t="str">
        <f t="array" ref="A34">XLOOKUP(C34, 'マスタ'!$C$2:$C$312, 'マスタ'!$D$2:$D$312, "マスタ未登録")</f>
        <v>マスタ未登録</v>
      </c>
      <c r="B34" s="53" t="str">
        <f>IF(AND(C34&lt;&gt;"", COUNTIF('マスタ'!$C:$C, C34)=0), "マスタ未登録", "")</f>
        <v>マスタ未登録</v>
      </c>
      <c r="C34" s="53" t="str">
        <f t="shared" si="1"/>
        <v>営業外費用</v>
      </c>
      <c r="D34" s="10"/>
      <c r="E34" s="10" t="s">
        <v>34</v>
      </c>
      <c r="F34" s="10"/>
      <c r="G34" s="10"/>
      <c r="H34" s="10"/>
      <c r="I34" s="10"/>
      <c r="J34" s="97">
        <v>0.0</v>
      </c>
      <c r="K34" s="97">
        <v>0.0</v>
      </c>
      <c r="L34" s="97">
        <v>0.0</v>
      </c>
      <c r="M34" s="97">
        <v>0.0</v>
      </c>
      <c r="N34" s="97">
        <v>0.0</v>
      </c>
      <c r="O34" s="97">
        <v>0.0</v>
      </c>
      <c r="P34" s="97">
        <v>0.0</v>
      </c>
      <c r="Q34" s="97">
        <v>0.0</v>
      </c>
      <c r="R34" s="97">
        <v>0.0</v>
      </c>
      <c r="S34" s="97">
        <v>0.0</v>
      </c>
      <c r="T34" s="97">
        <v>0.0</v>
      </c>
      <c r="U34" s="97">
        <v>0.0</v>
      </c>
      <c r="V34" s="97">
        <v>0.0</v>
      </c>
      <c r="W34" s="10"/>
      <c r="X34" s="10"/>
      <c r="Y34" s="10"/>
      <c r="Z34" s="10"/>
      <c r="AA34" s="10"/>
      <c r="AB34" s="10"/>
      <c r="AC34" s="10"/>
    </row>
    <row r="35" ht="15.75" customHeight="1">
      <c r="A35" s="59" t="str">
        <f t="array" ref="A35">XLOOKUP(C35, 'マスタ'!$C$2:$C$312, 'マスタ'!$D$2:$D$312, "マスタ未登録")</f>
        <v>マスタ未登録</v>
      </c>
      <c r="B35" s="53" t="str">
        <f>IF(AND(C35&lt;&gt;"", COUNTIF('マスタ'!$C:$C, C35)=0), "マスタ未登録", "")</f>
        <v>マスタ未登録</v>
      </c>
      <c r="C35" s="53" t="str">
        <f t="shared" si="1"/>
        <v>経常損益金額</v>
      </c>
      <c r="D35" s="10" t="s">
        <v>112</v>
      </c>
      <c r="E35" s="10"/>
      <c r="F35" s="10"/>
      <c r="G35" s="10"/>
      <c r="H35" s="10"/>
      <c r="I35" s="10"/>
      <c r="J35" s="97">
        <v>-4586919.0</v>
      </c>
      <c r="K35" s="97">
        <v>-5000.0</v>
      </c>
      <c r="L35" s="97">
        <v>0.0</v>
      </c>
      <c r="M35" s="97">
        <v>0.0</v>
      </c>
      <c r="N35" s="97">
        <v>0.0</v>
      </c>
      <c r="O35" s="97">
        <v>0.0</v>
      </c>
      <c r="P35" s="97">
        <v>0.0</v>
      </c>
      <c r="Q35" s="97">
        <v>0.0</v>
      </c>
      <c r="R35" s="97">
        <v>0.0</v>
      </c>
      <c r="S35" s="97">
        <v>0.0</v>
      </c>
      <c r="T35" s="97">
        <v>0.0</v>
      </c>
      <c r="U35" s="97">
        <v>0.0</v>
      </c>
      <c r="V35" s="97">
        <v>-4591919.0</v>
      </c>
      <c r="W35" s="10"/>
      <c r="X35" s="10"/>
      <c r="Y35" s="10"/>
      <c r="Z35" s="10"/>
      <c r="AA35" s="10"/>
      <c r="AB35" s="10"/>
      <c r="AC35" s="10"/>
    </row>
    <row r="36" ht="15.75" customHeight="1">
      <c r="A36" s="59" t="str">
        <f t="array" ref="A36">XLOOKUP(C36, 'マスタ'!$C$2:$C$312, 'マスタ'!$D$2:$D$312, "マスタ未登録")</f>
        <v>マスタ未登録</v>
      </c>
      <c r="B36" s="53" t="str">
        <f>IF(AND(C36&lt;&gt;"", COUNTIF('マスタ'!$C:$C, C36)=0), "マスタ未登録", "")</f>
        <v>マスタ未登録</v>
      </c>
      <c r="C36" s="53" t="str">
        <f t="shared" si="1"/>
        <v>特別利益</v>
      </c>
      <c r="D36" s="10"/>
      <c r="E36" s="10" t="s">
        <v>37</v>
      </c>
      <c r="F36" s="10"/>
      <c r="G36" s="10"/>
      <c r="H36" s="10"/>
      <c r="I36" s="10"/>
      <c r="J36" s="97">
        <v>0.0</v>
      </c>
      <c r="K36" s="97">
        <v>0.0</v>
      </c>
      <c r="L36" s="97">
        <v>0.0</v>
      </c>
      <c r="M36" s="97">
        <v>0.0</v>
      </c>
      <c r="N36" s="97">
        <v>0.0</v>
      </c>
      <c r="O36" s="97">
        <v>0.0</v>
      </c>
      <c r="P36" s="97">
        <v>0.0</v>
      </c>
      <c r="Q36" s="97">
        <v>0.0</v>
      </c>
      <c r="R36" s="97">
        <v>0.0</v>
      </c>
      <c r="S36" s="97">
        <v>0.0</v>
      </c>
      <c r="T36" s="97">
        <v>0.0</v>
      </c>
      <c r="U36" s="97">
        <v>0.0</v>
      </c>
      <c r="V36" s="97">
        <v>0.0</v>
      </c>
      <c r="W36" s="10"/>
      <c r="X36" s="10"/>
      <c r="Y36" s="10"/>
      <c r="Z36" s="10"/>
      <c r="AA36" s="10"/>
      <c r="AB36" s="10"/>
      <c r="AC36" s="10"/>
    </row>
    <row r="37" ht="15.75" customHeight="1">
      <c r="A37" s="59" t="str">
        <f t="array" ref="A37">XLOOKUP(C37, 'マスタ'!$C$2:$C$312, 'マスタ'!$D$2:$D$312, "マスタ未登録")</f>
        <v>マスタ未登録</v>
      </c>
      <c r="B37" s="53" t="str">
        <f>IF(AND(C37&lt;&gt;"", COUNTIF('マスタ'!$C:$C, C37)=0), "マスタ未登録", "")</f>
        <v>マスタ未登録</v>
      </c>
      <c r="C37" s="53" t="str">
        <f t="shared" si="1"/>
        <v>特別損失</v>
      </c>
      <c r="D37" s="10"/>
      <c r="E37" s="10" t="s">
        <v>39</v>
      </c>
      <c r="F37" s="10"/>
      <c r="G37" s="10"/>
      <c r="H37" s="10"/>
      <c r="I37" s="10"/>
      <c r="J37" s="97">
        <v>0.0</v>
      </c>
      <c r="K37" s="97">
        <v>0.0</v>
      </c>
      <c r="L37" s="97">
        <v>0.0</v>
      </c>
      <c r="M37" s="97">
        <v>0.0</v>
      </c>
      <c r="N37" s="97">
        <v>0.0</v>
      </c>
      <c r="O37" s="97">
        <v>0.0</v>
      </c>
      <c r="P37" s="97">
        <v>0.0</v>
      </c>
      <c r="Q37" s="97">
        <v>0.0</v>
      </c>
      <c r="R37" s="97">
        <v>0.0</v>
      </c>
      <c r="S37" s="97">
        <v>0.0</v>
      </c>
      <c r="T37" s="97">
        <v>0.0</v>
      </c>
      <c r="U37" s="97">
        <v>0.0</v>
      </c>
      <c r="V37" s="97">
        <v>0.0</v>
      </c>
      <c r="W37" s="10"/>
      <c r="X37" s="10"/>
      <c r="Y37" s="10"/>
      <c r="Z37" s="10"/>
      <c r="AA37" s="10"/>
      <c r="AB37" s="10"/>
      <c r="AC37" s="10"/>
    </row>
    <row r="38" ht="15.75" customHeight="1">
      <c r="A38" s="59" t="str">
        <f t="array" ref="A38">XLOOKUP(C38, 'マスタ'!$C$2:$C$312, 'マスタ'!$D$2:$D$312, "マスタ未登録")</f>
        <v>マスタ未登録</v>
      </c>
      <c r="B38" s="53" t="str">
        <f>IF(AND(C38&lt;&gt;"", COUNTIF('マスタ'!$C:$C, C38)=0), "マスタ未登録", "")</f>
        <v>マスタ未登録</v>
      </c>
      <c r="C38" s="53" t="str">
        <f t="shared" si="1"/>
        <v>税引前当期純損益金額</v>
      </c>
      <c r="D38" s="10" t="s">
        <v>117</v>
      </c>
      <c r="E38" s="10"/>
      <c r="F38" s="10"/>
      <c r="G38" s="10"/>
      <c r="H38" s="10"/>
      <c r="I38" s="10"/>
      <c r="J38" s="97">
        <v>-4586919.0</v>
      </c>
      <c r="K38" s="97">
        <v>-5000.0</v>
      </c>
      <c r="L38" s="97">
        <v>0.0</v>
      </c>
      <c r="M38" s="97">
        <v>0.0</v>
      </c>
      <c r="N38" s="97">
        <v>0.0</v>
      </c>
      <c r="O38" s="97">
        <v>0.0</v>
      </c>
      <c r="P38" s="97">
        <v>0.0</v>
      </c>
      <c r="Q38" s="97">
        <v>0.0</v>
      </c>
      <c r="R38" s="97">
        <v>0.0</v>
      </c>
      <c r="S38" s="97">
        <v>0.0</v>
      </c>
      <c r="T38" s="97">
        <v>0.0</v>
      </c>
      <c r="U38" s="97">
        <v>0.0</v>
      </c>
      <c r="V38" s="97">
        <v>-4591919.0</v>
      </c>
      <c r="W38" s="10"/>
      <c r="X38" s="10"/>
      <c r="Y38" s="10"/>
      <c r="Z38" s="10"/>
      <c r="AA38" s="10"/>
      <c r="AB38" s="10"/>
      <c r="AC38" s="10"/>
    </row>
    <row r="39" ht="15.75" customHeight="1">
      <c r="A39" s="59" t="str">
        <f t="array" ref="A39">XLOOKUP(C39, 'マスタ'!$C$2:$C$312, 'マスタ'!$D$2:$D$312, "マスタ未登録")</f>
        <v>法人税等</v>
      </c>
      <c r="B39" s="53" t="str">
        <f>IF(AND(C39&lt;&gt;"", COUNTIF('マスタ'!$C:$C, C39)=0), "マスタ未登録", "")</f>
        <v/>
      </c>
      <c r="C39" s="53" t="str">
        <f t="shared" si="1"/>
        <v>法人税等</v>
      </c>
      <c r="D39" s="10"/>
      <c r="E39" s="10" t="s">
        <v>43</v>
      </c>
      <c r="F39" s="10"/>
      <c r="G39" s="10"/>
      <c r="H39" s="10"/>
      <c r="I39" s="10"/>
      <c r="J39" s="97">
        <v>0.0</v>
      </c>
      <c r="K39" s="97">
        <v>0.0</v>
      </c>
      <c r="L39" s="97">
        <v>0.0</v>
      </c>
      <c r="M39" s="97">
        <v>0.0</v>
      </c>
      <c r="N39" s="97">
        <v>0.0</v>
      </c>
      <c r="O39" s="97">
        <v>0.0</v>
      </c>
      <c r="P39" s="97">
        <v>0.0</v>
      </c>
      <c r="Q39" s="97">
        <v>0.0</v>
      </c>
      <c r="R39" s="97">
        <v>0.0</v>
      </c>
      <c r="S39" s="97">
        <v>0.0</v>
      </c>
      <c r="T39" s="97">
        <v>0.0</v>
      </c>
      <c r="U39" s="97">
        <v>0.0</v>
      </c>
      <c r="V39" s="97">
        <v>0.0</v>
      </c>
      <c r="W39" s="10"/>
      <c r="X39" s="10"/>
      <c r="Y39" s="10"/>
      <c r="Z39" s="10"/>
      <c r="AA39" s="10"/>
      <c r="AB39" s="10"/>
      <c r="AC39" s="10"/>
    </row>
    <row r="40" ht="15.75" customHeight="1">
      <c r="A40" s="59" t="str">
        <f t="array" ref="A40">XLOOKUP(C40, 'マスタ'!$C$2:$C$312, 'マスタ'!$D$2:$D$312, "マスタ未登録")</f>
        <v>法人税等調整額</v>
      </c>
      <c r="B40" s="53" t="str">
        <f>IF(AND(C40&lt;&gt;"", COUNTIF('マスタ'!$C:$C, C40)=0), "マスタ未登録", "")</f>
        <v/>
      </c>
      <c r="C40" s="53" t="str">
        <f t="shared" si="1"/>
        <v>法人税等調整額</v>
      </c>
      <c r="D40" s="10"/>
      <c r="E40" s="10" t="s">
        <v>118</v>
      </c>
      <c r="F40" s="10"/>
      <c r="G40" s="10"/>
      <c r="H40" s="10"/>
      <c r="I40" s="10"/>
      <c r="J40" s="97">
        <v>0.0</v>
      </c>
      <c r="K40" s="97">
        <v>0.0</v>
      </c>
      <c r="L40" s="97">
        <v>0.0</v>
      </c>
      <c r="M40" s="97">
        <v>0.0</v>
      </c>
      <c r="N40" s="97">
        <v>0.0</v>
      </c>
      <c r="O40" s="97">
        <v>0.0</v>
      </c>
      <c r="P40" s="97">
        <v>0.0</v>
      </c>
      <c r="Q40" s="97">
        <v>0.0</v>
      </c>
      <c r="R40" s="97">
        <v>0.0</v>
      </c>
      <c r="S40" s="97">
        <v>0.0</v>
      </c>
      <c r="T40" s="97">
        <v>0.0</v>
      </c>
      <c r="U40" s="97">
        <v>0.0</v>
      </c>
      <c r="V40" s="97">
        <v>0.0</v>
      </c>
      <c r="W40" s="10"/>
      <c r="X40" s="10"/>
      <c r="Y40" s="10"/>
      <c r="Z40" s="10"/>
      <c r="AA40" s="10"/>
      <c r="AB40" s="10"/>
      <c r="AC40" s="10"/>
    </row>
    <row r="41" ht="15.75" customHeight="1">
      <c r="A41" s="59" t="str">
        <f t="array" ref="A41">XLOOKUP(C41, 'マスタ'!$C$2:$C$312, 'マスタ'!$D$2:$D$312, "マスタ未登録")</f>
        <v>マスタ未登録</v>
      </c>
      <c r="B41" s="53" t="str">
        <f>IF(AND(C41&lt;&gt;"", COUNTIF('マスタ'!$C:$C, C41)=0), "マスタ未登録", "")</f>
        <v>マスタ未登録</v>
      </c>
      <c r="C41" s="53" t="str">
        <f t="shared" si="1"/>
        <v>当期純損益金額</v>
      </c>
      <c r="D41" s="10" t="s">
        <v>119</v>
      </c>
      <c r="E41" s="10"/>
      <c r="F41" s="10"/>
      <c r="G41" s="10"/>
      <c r="H41" s="10"/>
      <c r="I41" s="10"/>
      <c r="J41" s="97">
        <v>-4586919.0</v>
      </c>
      <c r="K41" s="97">
        <v>-5000.0</v>
      </c>
      <c r="L41" s="97">
        <v>0.0</v>
      </c>
      <c r="M41" s="97">
        <v>0.0</v>
      </c>
      <c r="N41" s="97">
        <v>0.0</v>
      </c>
      <c r="O41" s="97">
        <v>0.0</v>
      </c>
      <c r="P41" s="97">
        <v>0.0</v>
      </c>
      <c r="Q41" s="97">
        <v>0.0</v>
      </c>
      <c r="R41" s="97">
        <v>0.0</v>
      </c>
      <c r="S41" s="97">
        <v>0.0</v>
      </c>
      <c r="T41" s="97">
        <v>0.0</v>
      </c>
      <c r="U41" s="97">
        <v>0.0</v>
      </c>
      <c r="V41" s="97">
        <v>-4591919.0</v>
      </c>
      <c r="W41" s="10"/>
      <c r="X41" s="10"/>
      <c r="Y41" s="10"/>
      <c r="Z41" s="10"/>
      <c r="AA41" s="10"/>
      <c r="AB41" s="10"/>
      <c r="AC41" s="10"/>
    </row>
    <row r="42" ht="15.75" customHeight="1">
      <c r="A42" s="59"/>
      <c r="B42" s="53" t="str">
        <f>IF(AND(C42&lt;&gt;"", COUNTIF('マスタ'!$C:$C, C42)=0), "マスタ未登録", "")</f>
        <v/>
      </c>
      <c r="C42" s="53" t="str">
        <f t="shared" si="1"/>
        <v/>
      </c>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ht="15.75" customHeight="1">
      <c r="A43" s="59"/>
      <c r="B43" s="53" t="str">
        <f>IF(AND(C43&lt;&gt;"", COUNTIF('マスタ'!$C:$C, C43)=0), "マスタ未登録", "")</f>
        <v/>
      </c>
      <c r="C43" s="53" t="str">
        <f t="shared" si="1"/>
        <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ht="15.75" customHeight="1">
      <c r="A44" s="59"/>
      <c r="B44" s="53" t="str">
        <f>IF(AND(C44&lt;&gt;"", COUNTIF('マスタ'!$C:$C, C44)=0), "マスタ未登録", "")</f>
        <v/>
      </c>
      <c r="C44" s="53" t="str">
        <f t="shared" si="1"/>
        <v/>
      </c>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ht="15.75" customHeight="1">
      <c r="A45" s="59"/>
      <c r="B45" s="53" t="str">
        <f>IF(AND(C45&lt;&gt;"", COUNTIF('マスタ'!$C:$C, C45)=0), "マスタ未登録", "")</f>
        <v/>
      </c>
      <c r="C45" s="53" t="str">
        <f t="shared" si="1"/>
        <v/>
      </c>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ht="15.75" customHeight="1">
      <c r="A46" s="59"/>
      <c r="B46" s="53" t="str">
        <f>IF(AND(C46&lt;&gt;"", COUNTIF('マスタ'!$C:$C, C46)=0), "マスタ未登録", "")</f>
        <v/>
      </c>
      <c r="C46" s="53" t="str">
        <f t="shared" si="1"/>
        <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ht="15.75" customHeight="1">
      <c r="A47" s="59"/>
      <c r="B47" s="53" t="str">
        <f>IF(AND(C47&lt;&gt;"", COUNTIF('マスタ'!$C:$C, C47)=0), "マスタ未登録", "")</f>
        <v/>
      </c>
      <c r="C47" s="53" t="str">
        <f t="shared" si="1"/>
        <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ht="15.75" customHeight="1">
      <c r="A48" s="59"/>
      <c r="B48" s="53" t="str">
        <f>IF(AND(C48&lt;&gt;"", COUNTIF('マスタ'!$C:$C, C48)=0), "マスタ未登録", "")</f>
        <v/>
      </c>
      <c r="C48" s="53" t="str">
        <f t="shared" si="1"/>
        <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ht="15.75" customHeight="1">
      <c r="A49" s="59"/>
      <c r="B49" s="53" t="str">
        <f>IF(AND(C49&lt;&gt;"", COUNTIF('マスタ'!$C:$C, C49)=0), "マスタ未登録", "")</f>
        <v/>
      </c>
      <c r="C49" s="53" t="str">
        <f t="shared" si="1"/>
        <v/>
      </c>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ht="15.75" customHeight="1">
      <c r="A50" s="59"/>
      <c r="B50" s="53" t="str">
        <f>IF(AND(C50&lt;&gt;"", COUNTIF('マスタ'!$C:$C, C50)=0), "マスタ未登録", "")</f>
        <v/>
      </c>
      <c r="C50" s="53" t="str">
        <f t="shared" si="1"/>
        <v/>
      </c>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ht="15.75" customHeight="1">
      <c r="A51" s="59"/>
      <c r="B51" s="53" t="str">
        <f>IF(AND(C51&lt;&gt;"", COUNTIF('マスタ'!$C:$C, C51)=0), "マスタ未登録", "")</f>
        <v/>
      </c>
      <c r="C51" s="53" t="str">
        <f t="shared" si="1"/>
        <v/>
      </c>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ht="15.75" customHeight="1">
      <c r="A52" s="59"/>
      <c r="B52" s="53" t="str">
        <f>IF(AND(C52&lt;&gt;"", COUNTIF('マスタ'!$C:$C, C52)=0), "マスタ未登録", "")</f>
        <v/>
      </c>
      <c r="C52" s="53" t="str">
        <f t="shared" si="1"/>
        <v/>
      </c>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ht="15.75" customHeight="1">
      <c r="A53" s="59"/>
      <c r="B53" s="53" t="str">
        <f>IF(AND(C53&lt;&gt;"", COUNTIF('マスタ'!$C:$C, C53)=0), "マスタ未登録", "")</f>
        <v/>
      </c>
      <c r="C53" s="53" t="str">
        <f t="shared" si="1"/>
        <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ht="15.75" customHeight="1">
      <c r="A54" s="59"/>
      <c r="B54" s="53" t="str">
        <f>IF(AND(C54&lt;&gt;"", COUNTIF('マスタ'!$C:$C, C54)=0), "マスタ未登録", "")</f>
        <v/>
      </c>
      <c r="C54" s="53" t="str">
        <f t="shared" si="1"/>
        <v/>
      </c>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ht="15.75" customHeight="1">
      <c r="A55" s="59"/>
      <c r="B55" s="53" t="str">
        <f>IF(AND(C55&lt;&gt;"", COUNTIF('マスタ'!$C:$C, C55)=0), "マスタ未登録", "")</f>
        <v/>
      </c>
      <c r="C55" s="53" t="str">
        <f t="shared" si="1"/>
        <v/>
      </c>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ht="15.75" customHeight="1">
      <c r="A56" s="59"/>
      <c r="B56" s="53" t="str">
        <f>IF(AND(C56&lt;&gt;"", COUNTIF('マスタ'!$C:$C, C56)=0), "マスタ未登録", "")</f>
        <v/>
      </c>
      <c r="C56" s="53" t="str">
        <f t="shared" si="1"/>
        <v/>
      </c>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ht="15.75" customHeight="1">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ht="15.75" customHeight="1">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15.75" customHeight="1">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15.75" customHeight="1">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15.75" customHeight="1">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15.75" customHeight="1">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15.75" customHeight="1">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15.75" customHeight="1">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15.75" customHeight="1">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15.75" customHeight="1">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15.75" customHeight="1">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15.75" customHeight="1">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15.75" customHeight="1">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15.75" customHeight="1">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15.75" customHeight="1">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15.75" customHeight="1">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15.75" customHeight="1">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15.75" customHeight="1">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15.75" customHeight="1">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15.75" customHeight="1">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15.75" customHeight="1">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15.75" customHeight="1">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15.75" customHeight="1">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15.75" customHeight="1">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15.75" customHeight="1">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15.75" customHeight="1">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15.75" customHeight="1">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15.75" customHeight="1">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B1" s="53" t="s">
        <v>222</v>
      </c>
      <c r="C1" s="53" t="s">
        <v>223</v>
      </c>
      <c r="D1" s="10" t="s">
        <v>357</v>
      </c>
      <c r="E1" s="10"/>
      <c r="F1" s="10"/>
      <c r="G1" s="10"/>
      <c r="H1" s="10"/>
      <c r="I1" s="10"/>
      <c r="J1" s="10"/>
      <c r="K1" s="10"/>
      <c r="L1" s="10"/>
      <c r="M1" s="10"/>
      <c r="N1" s="10"/>
      <c r="O1" s="10"/>
      <c r="P1" s="10"/>
      <c r="Q1" s="10"/>
      <c r="R1" s="10"/>
      <c r="S1" s="10"/>
      <c r="T1" s="10"/>
      <c r="U1" s="10"/>
      <c r="V1" s="10"/>
      <c r="W1" s="10"/>
      <c r="X1" s="10"/>
      <c r="Y1" s="10"/>
      <c r="Z1" s="10"/>
      <c r="AA1" s="10"/>
      <c r="AB1" s="10"/>
      <c r="AC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c r="W2" s="10"/>
      <c r="X2" s="10"/>
      <c r="Y2" s="10"/>
      <c r="Z2" s="10"/>
      <c r="AA2" s="10"/>
      <c r="AB2" s="10"/>
      <c r="AC2" s="10"/>
    </row>
    <row r="3" ht="15.75" customHeight="1">
      <c r="B3" s="53"/>
      <c r="C3" s="53"/>
      <c r="D3" s="10" t="s">
        <v>1</v>
      </c>
      <c r="E3" s="10"/>
      <c r="F3" s="10"/>
      <c r="G3" s="10"/>
      <c r="H3" s="10"/>
      <c r="I3" s="10"/>
      <c r="J3" s="10"/>
      <c r="K3" s="10"/>
      <c r="L3" s="10"/>
      <c r="M3" s="10"/>
      <c r="N3" s="10"/>
      <c r="O3" s="10"/>
      <c r="P3" s="10"/>
      <c r="Q3" s="10"/>
      <c r="R3" s="10"/>
      <c r="S3" s="10"/>
      <c r="T3" s="10"/>
      <c r="U3" s="10"/>
      <c r="V3" s="10"/>
      <c r="W3" s="10"/>
      <c r="X3" s="10"/>
      <c r="Y3" s="10"/>
      <c r="Z3" s="10"/>
      <c r="AA3" s="10"/>
      <c r="AB3" s="10"/>
      <c r="AC3" s="10"/>
    </row>
    <row r="4" ht="15.75" customHeight="1">
      <c r="A4" s="59" t="str">
        <f t="array" ref="A4">XLOOKUP(C4, 'マスタ'!$C$2:$C$312, 'マスタ'!$D$2:$D$312, "マスタ未登録")</f>
        <v>マスタ未登録</v>
      </c>
      <c r="B4" s="53" t="str">
        <f>IF(AND(C4&lt;&gt;"", COUNTIF('マスタ'!$C:$C, C4)=0), "マスタ未登録", "")</f>
        <v>マスタ未登録</v>
      </c>
      <c r="C4" s="53" t="str">
        <f t="shared" ref="C4:C56" si="1">D4&amp;D109&amp;E4&amp;F4&amp;G4&amp;H4</f>
        <v>売上高 計</v>
      </c>
      <c r="D4" s="10" t="s">
        <v>226</v>
      </c>
      <c r="E4" s="10"/>
      <c r="F4" s="10"/>
      <c r="G4" s="10"/>
      <c r="H4" s="10"/>
      <c r="I4" s="10"/>
      <c r="J4" s="97">
        <v>0.0</v>
      </c>
      <c r="K4" s="97">
        <v>0.0</v>
      </c>
      <c r="L4" s="97">
        <v>0.0</v>
      </c>
      <c r="M4" s="97">
        <v>0.0</v>
      </c>
      <c r="N4" s="97">
        <v>0.0</v>
      </c>
      <c r="O4" s="97">
        <v>0.0</v>
      </c>
      <c r="P4" s="97">
        <v>0.0</v>
      </c>
      <c r="Q4" s="97">
        <v>0.0</v>
      </c>
      <c r="R4" s="97">
        <v>0.0</v>
      </c>
      <c r="S4" s="97">
        <v>0.0</v>
      </c>
      <c r="T4" s="97">
        <v>0.0</v>
      </c>
      <c r="U4" s="97">
        <v>0.0</v>
      </c>
      <c r="V4" s="97">
        <v>0.0</v>
      </c>
      <c r="W4" s="10"/>
      <c r="X4" s="10"/>
      <c r="Y4" s="10"/>
      <c r="Z4" s="10"/>
      <c r="AA4" s="10"/>
      <c r="AB4" s="10"/>
      <c r="AC4" s="10"/>
    </row>
    <row r="5" ht="15.75" customHeight="1">
      <c r="A5" s="59" t="str">
        <f t="array" ref="A5">XLOOKUP(C5, 'マスタ'!$C$2:$C$312, 'マスタ'!$D$2:$D$312, "マスタ未登録")</f>
        <v>マスタ未登録</v>
      </c>
      <c r="B5" s="53" t="str">
        <f>IF(AND(C5&lt;&gt;"", COUNTIF('マスタ'!$C:$C, C5)=0), "マスタ未登録", "")</f>
        <v>マスタ未登録</v>
      </c>
      <c r="C5" s="53" t="str">
        <f t="shared" si="1"/>
        <v>売上原価</v>
      </c>
      <c r="D5" s="10"/>
      <c r="E5" s="10" t="s">
        <v>28</v>
      </c>
      <c r="F5" s="10"/>
      <c r="G5" s="10"/>
      <c r="H5" s="10"/>
      <c r="I5" s="10"/>
      <c r="J5" s="10"/>
      <c r="K5" s="10"/>
      <c r="L5" s="10"/>
      <c r="M5" s="10"/>
      <c r="N5" s="10"/>
      <c r="O5" s="10"/>
      <c r="P5" s="10"/>
      <c r="Q5" s="10"/>
      <c r="R5" s="10"/>
      <c r="S5" s="10"/>
      <c r="T5" s="10"/>
      <c r="U5" s="10"/>
      <c r="V5" s="10"/>
      <c r="W5" s="10"/>
      <c r="X5" s="10"/>
      <c r="Y5" s="10"/>
      <c r="Z5" s="10"/>
      <c r="AA5" s="10"/>
      <c r="AB5" s="10"/>
      <c r="AC5" s="10"/>
    </row>
    <row r="6" ht="15.75" customHeight="1">
      <c r="A6" s="59" t="str">
        <f t="array" ref="A6">XLOOKUP(C6, 'マスタ'!$C$2:$C$312, 'マスタ'!$D$2:$D$312, "マスタ未登録")</f>
        <v>マスタ未登録</v>
      </c>
      <c r="B6" s="53" t="str">
        <f>IF(AND(C6&lt;&gt;"", COUNTIF('マスタ'!$C:$C, C6)=0), "マスタ未登録", "")</f>
        <v>マスタ未登録</v>
      </c>
      <c r="C6" s="53" t="str">
        <f t="shared" si="1"/>
        <v>売上原価</v>
      </c>
      <c r="D6" s="10"/>
      <c r="E6" s="10" t="s">
        <v>28</v>
      </c>
      <c r="F6" s="10"/>
      <c r="G6" s="10"/>
      <c r="H6" s="10"/>
      <c r="I6" s="10"/>
      <c r="J6" s="97">
        <v>2272468.0</v>
      </c>
      <c r="K6" s="97">
        <v>0.0</v>
      </c>
      <c r="L6" s="97">
        <v>0.0</v>
      </c>
      <c r="M6" s="97">
        <v>0.0</v>
      </c>
      <c r="N6" s="97">
        <v>0.0</v>
      </c>
      <c r="O6" s="97">
        <v>0.0</v>
      </c>
      <c r="P6" s="97">
        <v>0.0</v>
      </c>
      <c r="Q6" s="97">
        <v>0.0</v>
      </c>
      <c r="R6" s="97">
        <v>0.0</v>
      </c>
      <c r="S6" s="97">
        <v>0.0</v>
      </c>
      <c r="T6" s="97">
        <v>0.0</v>
      </c>
      <c r="U6" s="97">
        <v>0.0</v>
      </c>
      <c r="V6" s="97">
        <v>2272468.0</v>
      </c>
      <c r="W6" s="10"/>
      <c r="X6" s="10"/>
      <c r="Y6" s="10"/>
      <c r="Z6" s="10"/>
      <c r="AA6" s="10"/>
      <c r="AB6" s="10"/>
      <c r="AC6" s="10"/>
    </row>
    <row r="7" ht="15.75" customHeight="1">
      <c r="A7" s="59" t="str">
        <f t="array" ref="A7">XLOOKUP(C7, 'マスタ'!$C$2:$C$312, 'マスタ'!$D$2:$D$312, "マスタ未登録")</f>
        <v>期首商品棚卸高</v>
      </c>
      <c r="B7" s="53" t="str">
        <f>IF(AND(C7&lt;&gt;"", COUNTIF('マスタ'!$C:$C, C7)=0), "マスタ未登録", "")</f>
        <v/>
      </c>
      <c r="C7" s="53" t="str">
        <f t="shared" si="1"/>
        <v>期首商品棚卸</v>
      </c>
      <c r="D7" s="10"/>
      <c r="E7" s="10"/>
      <c r="F7" s="10"/>
      <c r="G7" s="10" t="s">
        <v>227</v>
      </c>
      <c r="H7" s="10"/>
      <c r="I7" s="10"/>
      <c r="J7" s="97">
        <v>0.0</v>
      </c>
      <c r="K7" s="97">
        <v>0.0</v>
      </c>
      <c r="L7" s="97">
        <v>0.0</v>
      </c>
      <c r="M7" s="97">
        <v>0.0</v>
      </c>
      <c r="N7" s="97">
        <v>0.0</v>
      </c>
      <c r="O7" s="97">
        <v>0.0</v>
      </c>
      <c r="P7" s="97">
        <v>0.0</v>
      </c>
      <c r="Q7" s="97">
        <v>0.0</v>
      </c>
      <c r="R7" s="97">
        <v>0.0</v>
      </c>
      <c r="S7" s="97">
        <v>0.0</v>
      </c>
      <c r="T7" s="97">
        <v>0.0</v>
      </c>
      <c r="U7" s="97">
        <v>0.0</v>
      </c>
      <c r="V7" s="97">
        <v>0.0</v>
      </c>
      <c r="W7" s="10"/>
      <c r="X7" s="10"/>
      <c r="Y7" s="10"/>
      <c r="Z7" s="10"/>
      <c r="AA7" s="10"/>
      <c r="AB7" s="10"/>
      <c r="AC7" s="10"/>
    </row>
    <row r="8" ht="15.75" customHeight="1">
      <c r="A8" s="59" t="str">
        <f t="array" ref="A8">XLOOKUP(C8, 'マスタ'!$C$2:$C$312, 'マスタ'!$D$2:$D$312, "マスタ未登録")</f>
        <v>マスタ未登録</v>
      </c>
      <c r="B8" s="53" t="str">
        <f>IF(AND(C8&lt;&gt;"", COUNTIF('マスタ'!$C:$C, C8)=0), "マスタ未登録", "")</f>
        <v>マスタ未登録</v>
      </c>
      <c r="C8" s="53" t="str">
        <f t="shared" si="1"/>
        <v>当期商品仕入合計額</v>
      </c>
      <c r="D8" s="10"/>
      <c r="E8" s="10"/>
      <c r="F8" s="10"/>
      <c r="G8" s="10" t="s">
        <v>374</v>
      </c>
      <c r="H8" s="10"/>
      <c r="I8" s="10"/>
      <c r="J8" s="97">
        <v>2272468.0</v>
      </c>
      <c r="K8" s="97">
        <v>0.0</v>
      </c>
      <c r="L8" s="97">
        <v>0.0</v>
      </c>
      <c r="M8" s="97">
        <v>0.0</v>
      </c>
      <c r="N8" s="97">
        <v>0.0</v>
      </c>
      <c r="O8" s="97">
        <v>0.0</v>
      </c>
      <c r="P8" s="97">
        <v>0.0</v>
      </c>
      <c r="Q8" s="97">
        <v>0.0</v>
      </c>
      <c r="R8" s="97">
        <v>0.0</v>
      </c>
      <c r="S8" s="97">
        <v>0.0</v>
      </c>
      <c r="T8" s="97">
        <v>0.0</v>
      </c>
      <c r="U8" s="97">
        <v>0.0</v>
      </c>
      <c r="V8" s="97">
        <v>2272468.0</v>
      </c>
      <c r="W8" s="10"/>
      <c r="X8" s="10"/>
      <c r="Y8" s="10"/>
      <c r="Z8" s="10"/>
      <c r="AA8" s="10"/>
      <c r="AB8" s="10"/>
      <c r="AC8" s="10"/>
    </row>
    <row r="9" ht="15.75" customHeight="1">
      <c r="A9" s="59" t="str">
        <f t="array" ref="A9">XLOOKUP(C9, 'マスタ'!$C$2:$C$312, 'マスタ'!$D$2:$D$312, "マスタ未登録")</f>
        <v>当期商品仕入高</v>
      </c>
      <c r="B9" s="53" t="str">
        <f>IF(AND(C9&lt;&gt;"", COUNTIF('マスタ'!$C:$C, C9)=0), "マスタ未登録", "")</f>
        <v/>
      </c>
      <c r="C9" s="53" t="str">
        <f t="shared" si="1"/>
        <v>外注費(原)</v>
      </c>
      <c r="D9" s="10"/>
      <c r="E9" s="10"/>
      <c r="F9" s="10"/>
      <c r="G9" s="10"/>
      <c r="H9" s="10" t="s">
        <v>231</v>
      </c>
      <c r="I9" s="10"/>
      <c r="J9" s="97">
        <v>2040228.0</v>
      </c>
      <c r="K9" s="97">
        <v>0.0</v>
      </c>
      <c r="L9" s="97">
        <v>0.0</v>
      </c>
      <c r="M9" s="97">
        <v>0.0</v>
      </c>
      <c r="N9" s="97">
        <v>0.0</v>
      </c>
      <c r="O9" s="97">
        <v>0.0</v>
      </c>
      <c r="P9" s="97">
        <v>0.0</v>
      </c>
      <c r="Q9" s="97">
        <v>0.0</v>
      </c>
      <c r="R9" s="97">
        <v>0.0</v>
      </c>
      <c r="S9" s="97">
        <v>0.0</v>
      </c>
      <c r="T9" s="97">
        <v>0.0</v>
      </c>
      <c r="U9" s="97">
        <v>0.0</v>
      </c>
      <c r="V9" s="97">
        <v>2040228.0</v>
      </c>
      <c r="W9" s="10"/>
      <c r="X9" s="10"/>
      <c r="Y9" s="10"/>
      <c r="Z9" s="10"/>
      <c r="AA9" s="10"/>
      <c r="AB9" s="10"/>
      <c r="AC9" s="10"/>
    </row>
    <row r="10" ht="15.75" customHeight="1">
      <c r="A10" s="59" t="str">
        <f t="array" ref="A10">XLOOKUP(C10, 'マスタ'!$C$2:$C$312, 'マスタ'!$D$2:$D$312, "マスタ未登録")</f>
        <v>当期商品仕入高</v>
      </c>
      <c r="B10" s="53" t="str">
        <f>IF(AND(C10&lt;&gt;"", COUNTIF('マスタ'!$C:$C, C10)=0), "マスタ未登録", "")</f>
        <v/>
      </c>
      <c r="C10" s="53" t="str">
        <f t="shared" si="1"/>
        <v>業務委託費(原・製)</v>
      </c>
      <c r="D10" s="10"/>
      <c r="E10" s="10"/>
      <c r="F10" s="10"/>
      <c r="G10" s="10"/>
      <c r="H10" s="10" t="s">
        <v>364</v>
      </c>
      <c r="I10" s="10"/>
      <c r="J10" s="97">
        <v>232240.0</v>
      </c>
      <c r="K10" s="97">
        <v>0.0</v>
      </c>
      <c r="L10" s="97">
        <v>0.0</v>
      </c>
      <c r="M10" s="97">
        <v>0.0</v>
      </c>
      <c r="N10" s="97">
        <v>0.0</v>
      </c>
      <c r="O10" s="97">
        <v>0.0</v>
      </c>
      <c r="P10" s="97">
        <v>0.0</v>
      </c>
      <c r="Q10" s="97">
        <v>0.0</v>
      </c>
      <c r="R10" s="97">
        <v>0.0</v>
      </c>
      <c r="S10" s="97">
        <v>0.0</v>
      </c>
      <c r="T10" s="97">
        <v>0.0</v>
      </c>
      <c r="U10" s="97">
        <v>0.0</v>
      </c>
      <c r="V10" s="97">
        <v>232240.0</v>
      </c>
      <c r="W10" s="10"/>
      <c r="X10" s="10"/>
      <c r="Y10" s="10"/>
      <c r="Z10" s="10"/>
      <c r="AA10" s="10"/>
      <c r="AB10" s="10"/>
      <c r="AC10" s="10"/>
    </row>
    <row r="11" ht="15.75" customHeight="1">
      <c r="A11" s="59" t="str">
        <f t="array" ref="A11">XLOOKUP(C11, 'マスタ'!$C$2:$C$312, 'マスタ'!$D$2:$D$312, "マスタ未登録")</f>
        <v>他勘定振替高</v>
      </c>
      <c r="B11" s="53" t="str">
        <f>IF(AND(C11&lt;&gt;"", COUNTIF('マスタ'!$C:$C, C11)=0), "マスタ未登録", "")</f>
        <v/>
      </c>
      <c r="C11" s="53" t="str">
        <f t="shared" si="1"/>
        <v>他勘定振替高(商)</v>
      </c>
      <c r="D11" s="10"/>
      <c r="E11" s="10"/>
      <c r="F11" s="10"/>
      <c r="G11" s="10" t="s">
        <v>235</v>
      </c>
      <c r="H11" s="10"/>
      <c r="I11" s="10"/>
      <c r="J11" s="97">
        <v>0.0</v>
      </c>
      <c r="K11" s="97">
        <v>0.0</v>
      </c>
      <c r="L11" s="97">
        <v>0.0</v>
      </c>
      <c r="M11" s="97">
        <v>0.0</v>
      </c>
      <c r="N11" s="97">
        <v>0.0</v>
      </c>
      <c r="O11" s="97">
        <v>0.0</v>
      </c>
      <c r="P11" s="97">
        <v>0.0</v>
      </c>
      <c r="Q11" s="97">
        <v>0.0</v>
      </c>
      <c r="R11" s="97">
        <v>0.0</v>
      </c>
      <c r="S11" s="97">
        <v>0.0</v>
      </c>
      <c r="T11" s="97">
        <v>0.0</v>
      </c>
      <c r="U11" s="97">
        <v>0.0</v>
      </c>
      <c r="V11" s="97">
        <v>0.0</v>
      </c>
      <c r="W11" s="10"/>
      <c r="X11" s="10"/>
      <c r="Y11" s="10"/>
      <c r="Z11" s="10"/>
      <c r="AA11" s="10"/>
      <c r="AB11" s="10"/>
      <c r="AC11" s="10"/>
    </row>
    <row r="12" ht="15.75" customHeight="1">
      <c r="A12" s="59" t="str">
        <f t="array" ref="A12">XLOOKUP(C12, 'マスタ'!$C$2:$C$312, 'マスタ'!$D$2:$D$312, "マスタ未登録")</f>
        <v>期末商品棚卸高</v>
      </c>
      <c r="B12" s="53" t="str">
        <f>IF(AND(C12&lt;&gt;"", COUNTIF('マスタ'!$C:$C, C12)=0), "マスタ未登録", "")</f>
        <v/>
      </c>
      <c r="C12" s="53" t="str">
        <f t="shared" si="1"/>
        <v>期末商品棚卸</v>
      </c>
      <c r="D12" s="10"/>
      <c r="E12" s="10"/>
      <c r="F12" s="10"/>
      <c r="G12" s="10" t="s">
        <v>236</v>
      </c>
      <c r="H12" s="10"/>
      <c r="I12" s="10"/>
      <c r="J12" s="97">
        <v>0.0</v>
      </c>
      <c r="K12" s="97">
        <v>0.0</v>
      </c>
      <c r="L12" s="97">
        <v>0.0</v>
      </c>
      <c r="M12" s="97">
        <v>0.0</v>
      </c>
      <c r="N12" s="97">
        <v>0.0</v>
      </c>
      <c r="O12" s="97">
        <v>0.0</v>
      </c>
      <c r="P12" s="97">
        <v>0.0</v>
      </c>
      <c r="Q12" s="97">
        <v>0.0</v>
      </c>
      <c r="R12" s="97">
        <v>0.0</v>
      </c>
      <c r="S12" s="97">
        <v>0.0</v>
      </c>
      <c r="T12" s="97">
        <v>0.0</v>
      </c>
      <c r="U12" s="97">
        <v>0.0</v>
      </c>
      <c r="V12" s="97">
        <v>0.0</v>
      </c>
      <c r="W12" s="10"/>
      <c r="X12" s="10"/>
      <c r="Y12" s="10"/>
      <c r="Z12" s="10"/>
      <c r="AA12" s="10"/>
      <c r="AB12" s="10"/>
      <c r="AC12" s="10"/>
    </row>
    <row r="13" ht="15.75" customHeight="1">
      <c r="A13" s="59" t="str">
        <f t="array" ref="A13">XLOOKUP(C13, 'マスタ'!$C$2:$C$312, 'マスタ'!$D$2:$D$312, "マスタ未登録")</f>
        <v>マスタ未登録</v>
      </c>
      <c r="B13" s="53" t="str">
        <f>IF(AND(C13&lt;&gt;"", COUNTIF('マスタ'!$C:$C, C13)=0), "マスタ未登録", "")</f>
        <v>マスタ未登録</v>
      </c>
      <c r="C13" s="53" t="str">
        <f t="shared" si="1"/>
        <v>商品売上原価</v>
      </c>
      <c r="D13" s="10"/>
      <c r="E13" s="10"/>
      <c r="F13" s="10" t="s">
        <v>3</v>
      </c>
      <c r="G13" s="10"/>
      <c r="H13" s="10"/>
      <c r="I13" s="10"/>
      <c r="J13" s="97">
        <v>2272468.0</v>
      </c>
      <c r="K13" s="97">
        <v>0.0</v>
      </c>
      <c r="L13" s="97">
        <v>0.0</v>
      </c>
      <c r="M13" s="97">
        <v>0.0</v>
      </c>
      <c r="N13" s="97">
        <v>0.0</v>
      </c>
      <c r="O13" s="97">
        <v>0.0</v>
      </c>
      <c r="P13" s="97">
        <v>0.0</v>
      </c>
      <c r="Q13" s="97">
        <v>0.0</v>
      </c>
      <c r="R13" s="97">
        <v>0.0</v>
      </c>
      <c r="S13" s="97">
        <v>0.0</v>
      </c>
      <c r="T13" s="97">
        <v>0.0</v>
      </c>
      <c r="U13" s="97">
        <v>0.0</v>
      </c>
      <c r="V13" s="97">
        <v>2272468.0</v>
      </c>
      <c r="W13" s="10"/>
      <c r="X13" s="10"/>
      <c r="Y13" s="10"/>
      <c r="Z13" s="10"/>
      <c r="AA13" s="10"/>
      <c r="AB13" s="10"/>
      <c r="AC13" s="10"/>
    </row>
    <row r="14" ht="15.75" customHeight="1">
      <c r="A14" s="59" t="str">
        <f t="array" ref="A14">XLOOKUP(C14, 'マスタ'!$C$2:$C$312, 'マスタ'!$D$2:$D$312, "マスタ未登録")</f>
        <v>マスタ未登録</v>
      </c>
      <c r="B14" s="53" t="str">
        <f>IF(AND(C14&lt;&gt;"", COUNTIF('マスタ'!$C:$C, C14)=0), "マスタ未登録", "")</f>
        <v>マスタ未登録</v>
      </c>
      <c r="C14" s="53" t="str">
        <f t="shared" si="1"/>
        <v>売上総損益金額</v>
      </c>
      <c r="D14" s="10" t="s">
        <v>237</v>
      </c>
      <c r="E14" s="10"/>
      <c r="F14" s="10"/>
      <c r="G14" s="10"/>
      <c r="H14" s="10"/>
      <c r="I14" s="10"/>
      <c r="J14" s="97">
        <v>-2272468.0</v>
      </c>
      <c r="K14" s="97">
        <v>0.0</v>
      </c>
      <c r="L14" s="97">
        <v>0.0</v>
      </c>
      <c r="M14" s="97">
        <v>0.0</v>
      </c>
      <c r="N14" s="97">
        <v>0.0</v>
      </c>
      <c r="O14" s="97">
        <v>0.0</v>
      </c>
      <c r="P14" s="97">
        <v>0.0</v>
      </c>
      <c r="Q14" s="97">
        <v>0.0</v>
      </c>
      <c r="R14" s="97">
        <v>0.0</v>
      </c>
      <c r="S14" s="97">
        <v>0.0</v>
      </c>
      <c r="T14" s="97">
        <v>0.0</v>
      </c>
      <c r="U14" s="97">
        <v>0.0</v>
      </c>
      <c r="V14" s="97">
        <v>-2272468.0</v>
      </c>
      <c r="W14" s="10"/>
      <c r="X14" s="10"/>
      <c r="Y14" s="10"/>
      <c r="Z14" s="10"/>
      <c r="AA14" s="10"/>
      <c r="AB14" s="10"/>
      <c r="AC14" s="10"/>
    </row>
    <row r="15" ht="15.75" customHeight="1">
      <c r="A15" s="59" t="str">
        <f t="array" ref="A15">XLOOKUP(C15, 'マスタ'!$C$2:$C$312, 'マスタ'!$D$2:$D$312, "マスタ未登録")</f>
        <v>マスタ未登録</v>
      </c>
      <c r="B15" s="53" t="str">
        <f>IF(AND(C15&lt;&gt;"", COUNTIF('マスタ'!$C:$C, C15)=0), "マスタ未登録", "")</f>
        <v>マスタ未登録</v>
      </c>
      <c r="C15" s="53" t="str">
        <f t="shared" si="1"/>
        <v>販売管理費</v>
      </c>
      <c r="D15" s="10"/>
      <c r="E15" s="10" t="s">
        <v>238</v>
      </c>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ht="15.75" customHeight="1">
      <c r="A16" s="59" t="str">
        <f t="array" ref="A16">XLOOKUP(C16, 'マスタ'!$C$2:$C$312, 'マスタ'!$D$2:$D$312, "マスタ未登録")</f>
        <v>マスタ未登録</v>
      </c>
      <c r="B16" s="53" t="str">
        <f>IF(AND(C16&lt;&gt;"", COUNTIF('マスタ'!$C:$C, C16)=0), "マスタ未登録", "")</f>
        <v>マスタ未登録</v>
      </c>
      <c r="C16" s="53" t="str">
        <f t="shared" si="1"/>
        <v>販売管理費 計</v>
      </c>
      <c r="D16" s="10"/>
      <c r="E16" s="10" t="s">
        <v>183</v>
      </c>
      <c r="F16" s="10"/>
      <c r="G16" s="10"/>
      <c r="H16" s="10"/>
      <c r="I16" s="10"/>
      <c r="J16" s="97">
        <v>0.0</v>
      </c>
      <c r="K16" s="97">
        <v>0.0</v>
      </c>
      <c r="L16" s="97">
        <v>0.0</v>
      </c>
      <c r="M16" s="97">
        <v>0.0</v>
      </c>
      <c r="N16" s="97">
        <v>0.0</v>
      </c>
      <c r="O16" s="97">
        <v>0.0</v>
      </c>
      <c r="P16" s="97">
        <v>0.0</v>
      </c>
      <c r="Q16" s="97">
        <v>0.0</v>
      </c>
      <c r="R16" s="97">
        <v>0.0</v>
      </c>
      <c r="S16" s="97">
        <v>0.0</v>
      </c>
      <c r="T16" s="97">
        <v>0.0</v>
      </c>
      <c r="U16" s="97">
        <v>0.0</v>
      </c>
      <c r="V16" s="97">
        <v>0.0</v>
      </c>
      <c r="W16" s="10"/>
      <c r="X16" s="10"/>
      <c r="Y16" s="10"/>
      <c r="Z16" s="10"/>
      <c r="AA16" s="10"/>
      <c r="AB16" s="10"/>
      <c r="AC16" s="10"/>
    </row>
    <row r="17" ht="15.75" customHeight="1">
      <c r="A17" s="59" t="str">
        <f t="array" ref="A17">XLOOKUP(C17, 'マスタ'!$C$2:$C$312, 'マスタ'!$D$2:$D$312, "マスタ未登録")</f>
        <v>マスタ未登録</v>
      </c>
      <c r="B17" s="53" t="str">
        <f>IF(AND(C17&lt;&gt;"", COUNTIF('マスタ'!$C:$C, C17)=0), "マスタ未登録", "")</f>
        <v>マスタ未登録</v>
      </c>
      <c r="C17" s="53" t="str">
        <f t="shared" si="1"/>
        <v>営業損益金額</v>
      </c>
      <c r="D17" s="10" t="s">
        <v>184</v>
      </c>
      <c r="E17" s="10"/>
      <c r="F17" s="10"/>
      <c r="G17" s="10"/>
      <c r="H17" s="10"/>
      <c r="I17" s="10"/>
      <c r="J17" s="97">
        <v>-2272468.0</v>
      </c>
      <c r="K17" s="97">
        <v>0.0</v>
      </c>
      <c r="L17" s="97">
        <v>0.0</v>
      </c>
      <c r="M17" s="97">
        <v>0.0</v>
      </c>
      <c r="N17" s="97">
        <v>0.0</v>
      </c>
      <c r="O17" s="97">
        <v>0.0</v>
      </c>
      <c r="P17" s="97">
        <v>0.0</v>
      </c>
      <c r="Q17" s="97">
        <v>0.0</v>
      </c>
      <c r="R17" s="97">
        <v>0.0</v>
      </c>
      <c r="S17" s="97">
        <v>0.0</v>
      </c>
      <c r="T17" s="97">
        <v>0.0</v>
      </c>
      <c r="U17" s="97">
        <v>0.0</v>
      </c>
      <c r="V17" s="97">
        <v>-2272468.0</v>
      </c>
      <c r="W17" s="10"/>
      <c r="X17" s="10"/>
      <c r="Y17" s="10"/>
      <c r="Z17" s="10"/>
      <c r="AA17" s="10"/>
      <c r="AB17" s="10"/>
      <c r="AC17" s="10"/>
    </row>
    <row r="18" ht="15.75" customHeight="1">
      <c r="A18" s="59" t="str">
        <f t="array" ref="A18">XLOOKUP(C18, 'マスタ'!$C$2:$C$312, 'マスタ'!$D$2:$D$312, "マスタ未登録")</f>
        <v>マスタ未登録</v>
      </c>
      <c r="B18" s="53" t="str">
        <f>IF(AND(C18&lt;&gt;"", COUNTIF('マスタ'!$C:$C, C18)=0), "マスタ未登録", "")</f>
        <v>マスタ未登録</v>
      </c>
      <c r="C18" s="53" t="str">
        <f t="shared" si="1"/>
        <v>営業外収益</v>
      </c>
      <c r="D18" s="10"/>
      <c r="E18" s="10" t="s">
        <v>32</v>
      </c>
      <c r="F18" s="10"/>
      <c r="G18" s="10"/>
      <c r="H18" s="10"/>
      <c r="I18" s="10"/>
      <c r="J18" s="97">
        <v>0.0</v>
      </c>
      <c r="K18" s="97">
        <v>0.0</v>
      </c>
      <c r="L18" s="97">
        <v>0.0</v>
      </c>
      <c r="M18" s="97">
        <v>0.0</v>
      </c>
      <c r="N18" s="97">
        <v>0.0</v>
      </c>
      <c r="O18" s="97">
        <v>0.0</v>
      </c>
      <c r="P18" s="97">
        <v>0.0</v>
      </c>
      <c r="Q18" s="97">
        <v>0.0</v>
      </c>
      <c r="R18" s="97">
        <v>0.0</v>
      </c>
      <c r="S18" s="97">
        <v>0.0</v>
      </c>
      <c r="T18" s="97">
        <v>0.0</v>
      </c>
      <c r="U18" s="97">
        <v>0.0</v>
      </c>
      <c r="V18" s="97">
        <v>0.0</v>
      </c>
      <c r="W18" s="10"/>
      <c r="X18" s="10"/>
      <c r="Y18" s="10"/>
      <c r="Z18" s="10"/>
      <c r="AA18" s="10"/>
      <c r="AB18" s="10"/>
      <c r="AC18" s="10"/>
    </row>
    <row r="19" ht="15.75" customHeight="1">
      <c r="A19" s="59" t="str">
        <f t="array" ref="A19">XLOOKUP(C19, 'マスタ'!$C$2:$C$312, 'マスタ'!$D$2:$D$312, "マスタ未登録")</f>
        <v>マスタ未登録</v>
      </c>
      <c r="B19" s="53" t="str">
        <f>IF(AND(C19&lt;&gt;"", COUNTIF('マスタ'!$C:$C, C19)=0), "マスタ未登録", "")</f>
        <v>マスタ未登録</v>
      </c>
      <c r="C19" s="53" t="str">
        <f t="shared" si="1"/>
        <v>営業外費用</v>
      </c>
      <c r="D19" s="10"/>
      <c r="E19" s="10" t="s">
        <v>34</v>
      </c>
      <c r="F19" s="10"/>
      <c r="G19" s="10"/>
      <c r="H19" s="10"/>
      <c r="I19" s="10"/>
      <c r="J19" s="97">
        <v>0.0</v>
      </c>
      <c r="K19" s="97">
        <v>0.0</v>
      </c>
      <c r="L19" s="97">
        <v>0.0</v>
      </c>
      <c r="M19" s="97">
        <v>0.0</v>
      </c>
      <c r="N19" s="97">
        <v>0.0</v>
      </c>
      <c r="O19" s="97">
        <v>0.0</v>
      </c>
      <c r="P19" s="97">
        <v>0.0</v>
      </c>
      <c r="Q19" s="97">
        <v>0.0</v>
      </c>
      <c r="R19" s="97">
        <v>0.0</v>
      </c>
      <c r="S19" s="97">
        <v>0.0</v>
      </c>
      <c r="T19" s="97">
        <v>0.0</v>
      </c>
      <c r="U19" s="97">
        <v>0.0</v>
      </c>
      <c r="V19" s="97">
        <v>0.0</v>
      </c>
      <c r="W19" s="10"/>
      <c r="X19" s="10"/>
      <c r="Y19" s="10"/>
      <c r="Z19" s="10"/>
      <c r="AA19" s="10"/>
      <c r="AB19" s="10"/>
      <c r="AC19" s="10"/>
    </row>
    <row r="20" ht="15.75" customHeight="1">
      <c r="A20" s="59" t="str">
        <f t="array" ref="A20">XLOOKUP(C20, 'マスタ'!$C$2:$C$312, 'マスタ'!$D$2:$D$312, "マスタ未登録")</f>
        <v>マスタ未登録</v>
      </c>
      <c r="B20" s="53" t="str">
        <f>IF(AND(C20&lt;&gt;"", COUNTIF('マスタ'!$C:$C, C20)=0), "マスタ未登録", "")</f>
        <v>マスタ未登録</v>
      </c>
      <c r="C20" s="53" t="str">
        <f t="shared" si="1"/>
        <v>経常損益金額</v>
      </c>
      <c r="D20" s="10" t="s">
        <v>112</v>
      </c>
      <c r="E20" s="10"/>
      <c r="F20" s="10"/>
      <c r="G20" s="10"/>
      <c r="H20" s="10"/>
      <c r="I20" s="10"/>
      <c r="J20" s="97">
        <v>-2272468.0</v>
      </c>
      <c r="K20" s="97">
        <v>0.0</v>
      </c>
      <c r="L20" s="97">
        <v>0.0</v>
      </c>
      <c r="M20" s="97">
        <v>0.0</v>
      </c>
      <c r="N20" s="97">
        <v>0.0</v>
      </c>
      <c r="O20" s="97">
        <v>0.0</v>
      </c>
      <c r="P20" s="97">
        <v>0.0</v>
      </c>
      <c r="Q20" s="97">
        <v>0.0</v>
      </c>
      <c r="R20" s="97">
        <v>0.0</v>
      </c>
      <c r="S20" s="97">
        <v>0.0</v>
      </c>
      <c r="T20" s="97">
        <v>0.0</v>
      </c>
      <c r="U20" s="97">
        <v>0.0</v>
      </c>
      <c r="V20" s="97">
        <v>-2272468.0</v>
      </c>
      <c r="W20" s="10"/>
      <c r="X20" s="10"/>
      <c r="Y20" s="10"/>
      <c r="Z20" s="10"/>
      <c r="AA20" s="10"/>
      <c r="AB20" s="10"/>
      <c r="AC20" s="10"/>
    </row>
    <row r="21" ht="15.75" customHeight="1">
      <c r="A21" s="59" t="str">
        <f t="array" ref="A21">XLOOKUP(C21, 'マスタ'!$C$2:$C$312, 'マスタ'!$D$2:$D$312, "マスタ未登録")</f>
        <v>マスタ未登録</v>
      </c>
      <c r="B21" s="53" t="str">
        <f>IF(AND(C21&lt;&gt;"", COUNTIF('マスタ'!$C:$C, C21)=0), "マスタ未登録", "")</f>
        <v>マスタ未登録</v>
      </c>
      <c r="C21" s="53" t="str">
        <f t="shared" si="1"/>
        <v>特別利益</v>
      </c>
      <c r="D21" s="10"/>
      <c r="E21" s="10" t="s">
        <v>37</v>
      </c>
      <c r="F21" s="10"/>
      <c r="G21" s="10"/>
      <c r="H21" s="10"/>
      <c r="I21" s="10"/>
      <c r="J21" s="97">
        <v>0.0</v>
      </c>
      <c r="K21" s="97">
        <v>0.0</v>
      </c>
      <c r="L21" s="97">
        <v>0.0</v>
      </c>
      <c r="M21" s="97">
        <v>0.0</v>
      </c>
      <c r="N21" s="97">
        <v>0.0</v>
      </c>
      <c r="O21" s="97">
        <v>0.0</v>
      </c>
      <c r="P21" s="97">
        <v>0.0</v>
      </c>
      <c r="Q21" s="97">
        <v>0.0</v>
      </c>
      <c r="R21" s="97">
        <v>0.0</v>
      </c>
      <c r="S21" s="97">
        <v>0.0</v>
      </c>
      <c r="T21" s="97">
        <v>0.0</v>
      </c>
      <c r="U21" s="97">
        <v>0.0</v>
      </c>
      <c r="V21" s="97">
        <v>0.0</v>
      </c>
      <c r="W21" s="10"/>
      <c r="X21" s="10"/>
      <c r="Y21" s="10"/>
      <c r="Z21" s="10"/>
      <c r="AA21" s="10"/>
      <c r="AB21" s="10"/>
      <c r="AC21" s="10"/>
    </row>
    <row r="22" ht="15.75" customHeight="1">
      <c r="A22" s="59" t="str">
        <f t="array" ref="A22">XLOOKUP(C22, 'マスタ'!$C$2:$C$312, 'マスタ'!$D$2:$D$312, "マスタ未登録")</f>
        <v>マスタ未登録</v>
      </c>
      <c r="B22" s="53" t="str">
        <f>IF(AND(C22&lt;&gt;"", COUNTIF('マスタ'!$C:$C, C22)=0), "マスタ未登録", "")</f>
        <v>マスタ未登録</v>
      </c>
      <c r="C22" s="53" t="str">
        <f t="shared" si="1"/>
        <v>特別損失</v>
      </c>
      <c r="D22" s="10"/>
      <c r="E22" s="10" t="s">
        <v>39</v>
      </c>
      <c r="F22" s="10"/>
      <c r="G22" s="10"/>
      <c r="H22" s="10"/>
      <c r="I22" s="10"/>
      <c r="J22" s="97">
        <v>0.0</v>
      </c>
      <c r="K22" s="97">
        <v>0.0</v>
      </c>
      <c r="L22" s="97">
        <v>0.0</v>
      </c>
      <c r="M22" s="97">
        <v>0.0</v>
      </c>
      <c r="N22" s="97">
        <v>0.0</v>
      </c>
      <c r="O22" s="97">
        <v>0.0</v>
      </c>
      <c r="P22" s="97">
        <v>0.0</v>
      </c>
      <c r="Q22" s="97">
        <v>0.0</v>
      </c>
      <c r="R22" s="97">
        <v>0.0</v>
      </c>
      <c r="S22" s="97">
        <v>0.0</v>
      </c>
      <c r="T22" s="97">
        <v>0.0</v>
      </c>
      <c r="U22" s="97">
        <v>0.0</v>
      </c>
      <c r="V22" s="97">
        <v>0.0</v>
      </c>
      <c r="W22" s="10"/>
      <c r="X22" s="10"/>
      <c r="Y22" s="10"/>
      <c r="Z22" s="10"/>
      <c r="AA22" s="10"/>
      <c r="AB22" s="10"/>
      <c r="AC22" s="10"/>
    </row>
    <row r="23" ht="15.75" customHeight="1">
      <c r="A23" s="59" t="str">
        <f t="array" ref="A23">XLOOKUP(C23, 'マスタ'!$C$2:$C$312, 'マスタ'!$D$2:$D$312, "マスタ未登録")</f>
        <v>マスタ未登録</v>
      </c>
      <c r="B23" s="53" t="str">
        <f>IF(AND(C23&lt;&gt;"", COUNTIF('マスタ'!$C:$C, C23)=0), "マスタ未登録", "")</f>
        <v>マスタ未登録</v>
      </c>
      <c r="C23" s="53" t="str">
        <f t="shared" si="1"/>
        <v>税引前当期純損益金額</v>
      </c>
      <c r="D23" s="10" t="s">
        <v>117</v>
      </c>
      <c r="E23" s="10"/>
      <c r="F23" s="10"/>
      <c r="G23" s="10"/>
      <c r="H23" s="10"/>
      <c r="I23" s="10"/>
      <c r="J23" s="97">
        <v>-2272468.0</v>
      </c>
      <c r="K23" s="97">
        <v>0.0</v>
      </c>
      <c r="L23" s="97">
        <v>0.0</v>
      </c>
      <c r="M23" s="97">
        <v>0.0</v>
      </c>
      <c r="N23" s="97">
        <v>0.0</v>
      </c>
      <c r="O23" s="97">
        <v>0.0</v>
      </c>
      <c r="P23" s="97">
        <v>0.0</v>
      </c>
      <c r="Q23" s="97">
        <v>0.0</v>
      </c>
      <c r="R23" s="97">
        <v>0.0</v>
      </c>
      <c r="S23" s="97">
        <v>0.0</v>
      </c>
      <c r="T23" s="97">
        <v>0.0</v>
      </c>
      <c r="U23" s="97">
        <v>0.0</v>
      </c>
      <c r="V23" s="97">
        <v>-2272468.0</v>
      </c>
      <c r="W23" s="10"/>
      <c r="X23" s="10"/>
      <c r="Y23" s="10"/>
      <c r="Z23" s="10"/>
      <c r="AA23" s="10"/>
      <c r="AB23" s="10"/>
      <c r="AC23" s="10"/>
    </row>
    <row r="24" ht="15.75" customHeight="1">
      <c r="A24" s="59" t="str">
        <f t="array" ref="A24">XLOOKUP(C24, 'マスタ'!$C$2:$C$312, 'マスタ'!$D$2:$D$312, "マスタ未登録")</f>
        <v>法人税等</v>
      </c>
      <c r="B24" s="53" t="str">
        <f>IF(AND(C24&lt;&gt;"", COUNTIF('マスタ'!$C:$C, C24)=0), "マスタ未登録", "")</f>
        <v/>
      </c>
      <c r="C24" s="53" t="str">
        <f t="shared" si="1"/>
        <v>法人税等</v>
      </c>
      <c r="D24" s="10"/>
      <c r="E24" s="10" t="s">
        <v>43</v>
      </c>
      <c r="F24" s="10"/>
      <c r="G24" s="10"/>
      <c r="H24" s="10"/>
      <c r="I24" s="10"/>
      <c r="J24" s="97">
        <v>0.0</v>
      </c>
      <c r="K24" s="97">
        <v>0.0</v>
      </c>
      <c r="L24" s="97">
        <v>0.0</v>
      </c>
      <c r="M24" s="97">
        <v>0.0</v>
      </c>
      <c r="N24" s="97">
        <v>0.0</v>
      </c>
      <c r="O24" s="97">
        <v>0.0</v>
      </c>
      <c r="P24" s="97">
        <v>0.0</v>
      </c>
      <c r="Q24" s="97">
        <v>0.0</v>
      </c>
      <c r="R24" s="97">
        <v>0.0</v>
      </c>
      <c r="S24" s="97">
        <v>0.0</v>
      </c>
      <c r="T24" s="97">
        <v>0.0</v>
      </c>
      <c r="U24" s="97">
        <v>0.0</v>
      </c>
      <c r="V24" s="97">
        <v>0.0</v>
      </c>
      <c r="W24" s="10"/>
      <c r="X24" s="10"/>
      <c r="Y24" s="10"/>
      <c r="Z24" s="10"/>
      <c r="AA24" s="10"/>
      <c r="AB24" s="10"/>
      <c r="AC24" s="10"/>
    </row>
    <row r="25" ht="15.75" customHeight="1">
      <c r="A25" s="59" t="str">
        <f t="array" ref="A25">XLOOKUP(C25, 'マスタ'!$C$2:$C$312, 'マスタ'!$D$2:$D$312, "マスタ未登録")</f>
        <v>法人税等調整額</v>
      </c>
      <c r="B25" s="53" t="str">
        <f>IF(AND(C25&lt;&gt;"", COUNTIF('マスタ'!$C:$C, C25)=0), "マスタ未登録", "")</f>
        <v/>
      </c>
      <c r="C25" s="53" t="str">
        <f t="shared" si="1"/>
        <v>法人税等調整額</v>
      </c>
      <c r="D25" s="10"/>
      <c r="E25" s="10" t="s">
        <v>118</v>
      </c>
      <c r="F25" s="10"/>
      <c r="G25" s="10"/>
      <c r="H25" s="10"/>
      <c r="I25" s="10"/>
      <c r="J25" s="97">
        <v>0.0</v>
      </c>
      <c r="K25" s="97">
        <v>0.0</v>
      </c>
      <c r="L25" s="97">
        <v>0.0</v>
      </c>
      <c r="M25" s="97">
        <v>0.0</v>
      </c>
      <c r="N25" s="97">
        <v>0.0</v>
      </c>
      <c r="O25" s="97">
        <v>0.0</v>
      </c>
      <c r="P25" s="97">
        <v>0.0</v>
      </c>
      <c r="Q25" s="97">
        <v>0.0</v>
      </c>
      <c r="R25" s="97">
        <v>0.0</v>
      </c>
      <c r="S25" s="97">
        <v>0.0</v>
      </c>
      <c r="T25" s="97">
        <v>0.0</v>
      </c>
      <c r="U25" s="97">
        <v>0.0</v>
      </c>
      <c r="V25" s="97">
        <v>0.0</v>
      </c>
      <c r="W25" s="10"/>
      <c r="X25" s="10"/>
      <c r="Y25" s="10"/>
      <c r="Z25" s="10"/>
      <c r="AA25" s="10"/>
      <c r="AB25" s="10"/>
      <c r="AC25" s="10"/>
    </row>
    <row r="26" ht="15.75" customHeight="1">
      <c r="A26" s="59" t="str">
        <f t="array" ref="A26">XLOOKUP(C26, 'マスタ'!$C$2:$C$312, 'マスタ'!$D$2:$D$312, "マスタ未登録")</f>
        <v>マスタ未登録</v>
      </c>
      <c r="B26" s="53" t="str">
        <f>IF(AND(C26&lt;&gt;"", COUNTIF('マスタ'!$C:$C, C26)=0), "マスタ未登録", "")</f>
        <v>マスタ未登録</v>
      </c>
      <c r="C26" s="53" t="str">
        <f t="shared" si="1"/>
        <v>当期純損益金額</v>
      </c>
      <c r="D26" s="10" t="s">
        <v>119</v>
      </c>
      <c r="E26" s="10"/>
      <c r="F26" s="10"/>
      <c r="G26" s="10"/>
      <c r="H26" s="10"/>
      <c r="I26" s="10"/>
      <c r="J26" s="97">
        <v>-2272468.0</v>
      </c>
      <c r="K26" s="97">
        <v>0.0</v>
      </c>
      <c r="L26" s="97">
        <v>0.0</v>
      </c>
      <c r="M26" s="97">
        <v>0.0</v>
      </c>
      <c r="N26" s="97">
        <v>0.0</v>
      </c>
      <c r="O26" s="97">
        <v>0.0</v>
      </c>
      <c r="P26" s="97">
        <v>0.0</v>
      </c>
      <c r="Q26" s="97">
        <v>0.0</v>
      </c>
      <c r="R26" s="97">
        <v>0.0</v>
      </c>
      <c r="S26" s="97">
        <v>0.0</v>
      </c>
      <c r="T26" s="97">
        <v>0.0</v>
      </c>
      <c r="U26" s="97">
        <v>0.0</v>
      </c>
      <c r="V26" s="97">
        <v>-2272468.0</v>
      </c>
      <c r="W26" s="10"/>
      <c r="X26" s="10"/>
      <c r="Y26" s="10"/>
      <c r="Z26" s="10"/>
      <c r="AA26" s="10"/>
      <c r="AB26" s="10"/>
      <c r="AC26" s="10"/>
    </row>
    <row r="27" ht="15.75" customHeight="1">
      <c r="A27" s="59"/>
      <c r="B27" s="53" t="str">
        <f>IF(AND(C27&lt;&gt;"", COUNTIF('マスタ'!$C:$C, C27)=0), "マスタ未登録", "")</f>
        <v/>
      </c>
      <c r="C27" s="53" t="str">
        <f t="shared" si="1"/>
        <v/>
      </c>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ht="15.75" customHeight="1">
      <c r="A28" s="59"/>
      <c r="B28" s="53" t="str">
        <f>IF(AND(C28&lt;&gt;"", COUNTIF('マスタ'!$C:$C, C28)=0), "マスタ未登録", "")</f>
        <v/>
      </c>
      <c r="C28" s="53" t="str">
        <f t="shared" si="1"/>
        <v/>
      </c>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ht="15.75" customHeight="1">
      <c r="A29" s="59"/>
      <c r="B29" s="53" t="str">
        <f>IF(AND(C29&lt;&gt;"", COUNTIF('マスタ'!$C:$C, C29)=0), "マスタ未登録", "")</f>
        <v/>
      </c>
      <c r="C29" s="53" t="str">
        <f t="shared" si="1"/>
        <v/>
      </c>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ht="15.75" customHeight="1">
      <c r="A30" s="59"/>
      <c r="B30" s="53" t="str">
        <f>IF(AND(C30&lt;&gt;"", COUNTIF('マスタ'!$C:$C, C30)=0), "マスタ未登録", "")</f>
        <v/>
      </c>
      <c r="C30" s="53" t="str">
        <f t="shared" si="1"/>
        <v/>
      </c>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ht="15.75" customHeight="1">
      <c r="A31" s="59"/>
      <c r="B31" s="53" t="str">
        <f>IF(AND(C31&lt;&gt;"", COUNTIF('マスタ'!$C:$C, C31)=0), "マスタ未登録", "")</f>
        <v/>
      </c>
      <c r="C31" s="53" t="str">
        <f t="shared" si="1"/>
        <v/>
      </c>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ht="15.75" customHeight="1">
      <c r="A32" s="59"/>
      <c r="B32" s="53" t="str">
        <f>IF(AND(C32&lt;&gt;"", COUNTIF('マスタ'!$C:$C, C32)=0), "マスタ未登録", "")</f>
        <v/>
      </c>
      <c r="C32" s="53" t="str">
        <f t="shared" si="1"/>
        <v/>
      </c>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ht="15.75" customHeight="1">
      <c r="A33" s="59"/>
      <c r="B33" s="53" t="str">
        <f>IF(AND(C33&lt;&gt;"", COUNTIF('マスタ'!$C:$C, C33)=0), "マスタ未登録", "")</f>
        <v/>
      </c>
      <c r="C33" s="53" t="str">
        <f t="shared" si="1"/>
        <v/>
      </c>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ht="15.75" customHeight="1">
      <c r="A34" s="59"/>
      <c r="B34" s="53" t="str">
        <f>IF(AND(C34&lt;&gt;"", COUNTIF('マスタ'!$C:$C, C34)=0), "マスタ未登録", "")</f>
        <v/>
      </c>
      <c r="C34" s="53" t="str">
        <f t="shared" si="1"/>
        <v/>
      </c>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ht="15.75" customHeight="1">
      <c r="A35" s="59"/>
      <c r="B35" s="53" t="str">
        <f>IF(AND(C35&lt;&gt;"", COUNTIF('マスタ'!$C:$C, C35)=0), "マスタ未登録", "")</f>
        <v/>
      </c>
      <c r="C35" s="53" t="str">
        <f t="shared" si="1"/>
        <v/>
      </c>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ht="15.75" customHeight="1">
      <c r="A36" s="59"/>
      <c r="B36" s="53" t="str">
        <f>IF(AND(C36&lt;&gt;"", COUNTIF('マスタ'!$C:$C, C36)=0), "マスタ未登録", "")</f>
        <v/>
      </c>
      <c r="C36" s="53" t="str">
        <f t="shared" si="1"/>
        <v/>
      </c>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ht="15.75" customHeight="1">
      <c r="A37" s="59"/>
      <c r="B37" s="53" t="str">
        <f>IF(AND(C37&lt;&gt;"", COUNTIF('マスタ'!$C:$C, C37)=0), "マスタ未登録", "")</f>
        <v/>
      </c>
      <c r="C37" s="53" t="str">
        <f t="shared" si="1"/>
        <v/>
      </c>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ht="15.75" customHeight="1">
      <c r="A38" s="59"/>
      <c r="B38" s="53" t="str">
        <f>IF(AND(C38&lt;&gt;"", COUNTIF('マスタ'!$C:$C, C38)=0), "マスタ未登録", "")</f>
        <v/>
      </c>
      <c r="C38" s="53" t="str">
        <f t="shared" si="1"/>
        <v/>
      </c>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ht="15.75" customHeight="1">
      <c r="A39" s="59"/>
      <c r="B39" s="53" t="str">
        <f>IF(AND(C39&lt;&gt;"", COUNTIF('マスタ'!$C:$C, C39)=0), "マスタ未登録", "")</f>
        <v/>
      </c>
      <c r="C39" s="53" t="str">
        <f t="shared" si="1"/>
        <v/>
      </c>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ht="15.75" customHeight="1">
      <c r="A40" s="59"/>
      <c r="B40" s="53" t="str">
        <f>IF(AND(C40&lt;&gt;"", COUNTIF('マスタ'!$C:$C, C40)=0), "マスタ未登録", "")</f>
        <v/>
      </c>
      <c r="C40" s="53" t="str">
        <f t="shared" si="1"/>
        <v/>
      </c>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ht="15.75" customHeight="1">
      <c r="A41" s="59"/>
      <c r="B41" s="53" t="str">
        <f>IF(AND(C41&lt;&gt;"", COUNTIF('マスタ'!$C:$C, C41)=0), "マスタ未登録", "")</f>
        <v/>
      </c>
      <c r="C41" s="53" t="str">
        <f t="shared" si="1"/>
        <v/>
      </c>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ht="15.75" customHeight="1">
      <c r="A42" s="59"/>
      <c r="B42" s="53" t="str">
        <f>IF(AND(C42&lt;&gt;"", COUNTIF('マスタ'!$C:$C, C42)=0), "マスタ未登録", "")</f>
        <v/>
      </c>
      <c r="C42" s="53" t="str">
        <f t="shared" si="1"/>
        <v/>
      </c>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ht="15.75" customHeight="1">
      <c r="A43" s="59"/>
      <c r="B43" s="53" t="str">
        <f>IF(AND(C43&lt;&gt;"", COUNTIF('マスタ'!$C:$C, C43)=0), "マスタ未登録", "")</f>
        <v/>
      </c>
      <c r="C43" s="53" t="str">
        <f t="shared" si="1"/>
        <v/>
      </c>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ht="15.75" customHeight="1">
      <c r="A44" s="59"/>
      <c r="B44" s="53" t="str">
        <f>IF(AND(C44&lt;&gt;"", COUNTIF('マスタ'!$C:$C, C44)=0), "マスタ未登録", "")</f>
        <v/>
      </c>
      <c r="C44" s="53" t="str">
        <f t="shared" si="1"/>
        <v/>
      </c>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ht="15.75" customHeight="1">
      <c r="A45" s="59"/>
      <c r="B45" s="53" t="str">
        <f>IF(AND(C45&lt;&gt;"", COUNTIF('マスタ'!$C:$C, C45)=0), "マスタ未登録", "")</f>
        <v/>
      </c>
      <c r="C45" s="53" t="str">
        <f t="shared" si="1"/>
        <v/>
      </c>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ht="15.75" customHeight="1">
      <c r="A46" s="59"/>
      <c r="B46" s="53" t="str">
        <f>IF(AND(C46&lt;&gt;"", COUNTIF('マスタ'!$C:$C, C46)=0), "マスタ未登録", "")</f>
        <v/>
      </c>
      <c r="C46" s="53" t="str">
        <f t="shared" si="1"/>
        <v/>
      </c>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ht="15.75" customHeight="1">
      <c r="A47" s="59"/>
      <c r="B47" s="53" t="str">
        <f>IF(AND(C47&lt;&gt;"", COUNTIF('マスタ'!$C:$C, C47)=0), "マスタ未登録", "")</f>
        <v/>
      </c>
      <c r="C47" s="53" t="str">
        <f t="shared" si="1"/>
        <v/>
      </c>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ht="15.75" customHeight="1">
      <c r="A48" s="59"/>
      <c r="B48" s="53" t="str">
        <f>IF(AND(C48&lt;&gt;"", COUNTIF('マスタ'!$C:$C, C48)=0), "マスタ未登録", "")</f>
        <v/>
      </c>
      <c r="C48" s="53" t="str">
        <f t="shared" si="1"/>
        <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ht="15.75" customHeight="1">
      <c r="A49" s="59"/>
      <c r="B49" s="53" t="str">
        <f>IF(AND(C49&lt;&gt;"", COUNTIF('マスタ'!$C:$C, C49)=0), "マスタ未登録", "")</f>
        <v/>
      </c>
      <c r="C49" s="53" t="str">
        <f t="shared" si="1"/>
        <v/>
      </c>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ht="15.75" customHeight="1">
      <c r="A50" s="59"/>
      <c r="B50" s="53" t="str">
        <f>IF(AND(C50&lt;&gt;"", COUNTIF('マスタ'!$C:$C, C50)=0), "マスタ未登録", "")</f>
        <v/>
      </c>
      <c r="C50" s="53" t="str">
        <f t="shared" si="1"/>
        <v/>
      </c>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ht="15.75" customHeight="1">
      <c r="A51" s="59"/>
      <c r="B51" s="53" t="str">
        <f>IF(AND(C51&lt;&gt;"", COUNTIF('マスタ'!$C:$C, C51)=0), "マスタ未登録", "")</f>
        <v/>
      </c>
      <c r="C51" s="53" t="str">
        <f t="shared" si="1"/>
        <v/>
      </c>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ht="15.75" customHeight="1">
      <c r="A52" s="59"/>
      <c r="B52" s="53" t="str">
        <f>IF(AND(C52&lt;&gt;"", COUNTIF('マスタ'!$C:$C, C52)=0), "マスタ未登録", "")</f>
        <v/>
      </c>
      <c r="C52" s="53" t="str">
        <f t="shared" si="1"/>
        <v/>
      </c>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ht="15.75" customHeight="1">
      <c r="A53" s="59"/>
      <c r="B53" s="53" t="str">
        <f>IF(AND(C53&lt;&gt;"", COUNTIF('マスタ'!$C:$C, C53)=0), "マスタ未登録", "")</f>
        <v/>
      </c>
      <c r="C53" s="53" t="str">
        <f t="shared" si="1"/>
        <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ht="15.75" customHeight="1">
      <c r="A54" s="59"/>
      <c r="B54" s="53" t="str">
        <f>IF(AND(C54&lt;&gt;"", COUNTIF('マスタ'!$C:$C, C54)=0), "マスタ未登録", "")</f>
        <v/>
      </c>
      <c r="C54" s="53" t="str">
        <f t="shared" si="1"/>
        <v/>
      </c>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ht="15.75" customHeight="1">
      <c r="A55" s="59"/>
      <c r="B55" s="53" t="str">
        <f>IF(AND(C55&lt;&gt;"", COUNTIF('マスタ'!$C:$C, C55)=0), "マスタ未登録", "")</f>
        <v/>
      </c>
      <c r="C55" s="53" t="str">
        <f t="shared" si="1"/>
        <v/>
      </c>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ht="15.75" customHeight="1">
      <c r="A56" s="59"/>
      <c r="B56" s="53" t="str">
        <f>IF(AND(C56&lt;&gt;"", COUNTIF('マスタ'!$C:$C, C56)=0), "マスタ未登録", "")</f>
        <v/>
      </c>
      <c r="C56" s="53" t="str">
        <f t="shared" si="1"/>
        <v/>
      </c>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ht="15.75" customHeight="1">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ht="15.75" customHeight="1">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ht="15.75" customHeight="1">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ht="15.75" customHeight="1">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15.75" customHeight="1">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15.75" customHeight="1">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15.75" customHeight="1">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15.75" customHeight="1">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15.75" customHeight="1">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15.75" customHeight="1">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15.75" customHeight="1">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15.75" customHeight="1">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15.75" customHeight="1">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15.75" customHeight="1">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15.75" customHeight="1">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15.75" customHeight="1">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15.75" customHeight="1">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15.75" customHeight="1">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15.75" customHeight="1">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15.75" customHeight="1">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15.75" customHeight="1">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15.75" customHeight="1">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15.75" customHeight="1">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15.75" customHeight="1">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15.75" customHeight="1">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15.75" customHeight="1">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15.75" customHeight="1">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15.75" customHeight="1">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B1" s="53" t="s">
        <v>222</v>
      </c>
      <c r="C1" s="53" t="s">
        <v>223</v>
      </c>
      <c r="D1" s="10" t="s">
        <v>357</v>
      </c>
      <c r="E1" s="10"/>
      <c r="F1" s="10"/>
      <c r="G1" s="10"/>
      <c r="H1" s="10"/>
      <c r="I1" s="10"/>
      <c r="J1" s="10"/>
      <c r="K1" s="10"/>
      <c r="L1" s="10"/>
      <c r="M1" s="10"/>
      <c r="N1" s="10"/>
      <c r="O1" s="10"/>
      <c r="P1" s="10"/>
      <c r="Q1" s="10"/>
      <c r="R1" s="10"/>
      <c r="S1" s="10"/>
      <c r="T1" s="10"/>
      <c r="U1" s="10"/>
      <c r="V1" s="10"/>
      <c r="W1" s="10"/>
      <c r="X1" s="10"/>
      <c r="Y1" s="10"/>
      <c r="Z1" s="10"/>
      <c r="AA1" s="10"/>
      <c r="AB1" s="10"/>
      <c r="AC1" s="10"/>
    </row>
    <row r="2" ht="15.75" customHeight="1">
      <c r="B2" s="53"/>
      <c r="C2" s="53"/>
      <c r="D2" s="10"/>
      <c r="E2" s="10"/>
      <c r="F2" s="10"/>
      <c r="G2" s="10"/>
      <c r="H2" s="10"/>
      <c r="I2" s="10"/>
      <c r="J2" s="95">
        <v>46113.0</v>
      </c>
      <c r="K2" s="95">
        <v>46143.0</v>
      </c>
      <c r="L2" s="95">
        <v>46174.0</v>
      </c>
      <c r="M2" s="95">
        <v>46204.0</v>
      </c>
      <c r="N2" s="95">
        <v>46235.0</v>
      </c>
      <c r="O2" s="95">
        <v>46266.0</v>
      </c>
      <c r="P2" s="96">
        <v>46296.0</v>
      </c>
      <c r="Q2" s="96">
        <v>46327.0</v>
      </c>
      <c r="R2" s="96">
        <v>46357.0</v>
      </c>
      <c r="S2" s="95">
        <v>46388.0</v>
      </c>
      <c r="T2" s="95">
        <v>46419.0</v>
      </c>
      <c r="U2" s="95">
        <v>46447.0</v>
      </c>
      <c r="V2" s="10" t="s">
        <v>225</v>
      </c>
      <c r="W2" s="10"/>
      <c r="X2" s="10"/>
      <c r="Y2" s="10"/>
      <c r="Z2" s="10"/>
      <c r="AA2" s="10"/>
      <c r="AB2" s="10"/>
      <c r="AC2" s="10"/>
    </row>
    <row r="3" ht="15.75" customHeight="1">
      <c r="B3" s="53"/>
      <c r="C3" s="53"/>
      <c r="D3" s="10" t="s">
        <v>1</v>
      </c>
      <c r="E3" s="10"/>
      <c r="F3" s="10"/>
      <c r="G3" s="10"/>
      <c r="H3" s="10"/>
      <c r="I3" s="10"/>
      <c r="J3" s="10"/>
      <c r="K3" s="10"/>
      <c r="L3" s="10"/>
      <c r="M3" s="10"/>
      <c r="N3" s="10"/>
      <c r="O3" s="10"/>
      <c r="P3" s="10"/>
      <c r="Q3" s="10"/>
      <c r="R3" s="10"/>
      <c r="S3" s="10"/>
      <c r="T3" s="10"/>
      <c r="U3" s="10"/>
      <c r="V3" s="10"/>
      <c r="W3" s="10"/>
      <c r="X3" s="10"/>
      <c r="Y3" s="10"/>
      <c r="Z3" s="10"/>
      <c r="AA3" s="10"/>
      <c r="AB3" s="10"/>
      <c r="AC3" s="10"/>
    </row>
    <row r="4" ht="15.75" customHeight="1">
      <c r="A4" s="59" t="str">
        <f t="array" ref="A4">XLOOKUP(C4, 'マスタ'!$C$2:$C$312, 'マスタ'!$D$2:$D$312, "マスタ未登録")</f>
        <v>売上高</v>
      </c>
      <c r="B4" s="53" t="str">
        <f>IF(AND(C4&lt;&gt;"", COUNTIF('マスタ'!$C:$C, C4)=0), "マスタ未登録", "")</f>
        <v/>
      </c>
      <c r="C4" s="53" t="str">
        <f t="shared" ref="C4:C56" si="1">D4&amp;D109&amp;E4&amp;F4&amp;G4&amp;H4</f>
        <v>売上高</v>
      </c>
      <c r="D4" s="10"/>
      <c r="E4" s="10" t="s">
        <v>1</v>
      </c>
      <c r="F4" s="10"/>
      <c r="G4" s="10"/>
      <c r="H4" s="10"/>
      <c r="I4" s="10"/>
      <c r="J4" s="97">
        <v>51653.0</v>
      </c>
      <c r="K4" s="97">
        <v>0.0</v>
      </c>
      <c r="L4" s="97">
        <v>0.0</v>
      </c>
      <c r="M4" s="97">
        <v>0.0</v>
      </c>
      <c r="N4" s="97">
        <v>0.0</v>
      </c>
      <c r="O4" s="97">
        <v>0.0</v>
      </c>
      <c r="P4" s="97">
        <v>0.0</v>
      </c>
      <c r="Q4" s="97">
        <v>0.0</v>
      </c>
      <c r="R4" s="97">
        <v>0.0</v>
      </c>
      <c r="S4" s="97">
        <v>0.0</v>
      </c>
      <c r="T4" s="97">
        <v>0.0</v>
      </c>
      <c r="U4" s="97">
        <v>0.0</v>
      </c>
      <c r="V4" s="97">
        <v>51653.0</v>
      </c>
      <c r="W4" s="10"/>
      <c r="X4" s="10"/>
      <c r="Y4" s="10"/>
      <c r="Z4" s="10"/>
      <c r="AA4" s="10"/>
      <c r="AB4" s="10"/>
      <c r="AC4" s="10"/>
    </row>
    <row r="5" ht="15.75" customHeight="1">
      <c r="A5" s="59" t="str">
        <f t="array" ref="A5">XLOOKUP(C5, 'マスタ'!$C$2:$C$312, 'マスタ'!$D$2:$D$312, "マスタ未登録")</f>
        <v>売上高</v>
      </c>
      <c r="B5" s="53" t="str">
        <f>IF(AND(C5&lt;&gt;"", COUNTIF('マスタ'!$C:$C, C5)=0), "マスタ未登録", "")</f>
        <v/>
      </c>
      <c r="C5" s="53" t="str">
        <f t="shared" si="1"/>
        <v>委託販売売上高</v>
      </c>
      <c r="D5" s="10"/>
      <c r="E5" s="10" t="s">
        <v>358</v>
      </c>
      <c r="F5" s="10"/>
      <c r="G5" s="10"/>
      <c r="H5" s="10"/>
      <c r="I5" s="10"/>
      <c r="J5" s="97">
        <v>143843.0</v>
      </c>
      <c r="K5" s="97">
        <v>0.0</v>
      </c>
      <c r="L5" s="97">
        <v>0.0</v>
      </c>
      <c r="M5" s="97">
        <v>0.0</v>
      </c>
      <c r="N5" s="97">
        <v>0.0</v>
      </c>
      <c r="O5" s="97">
        <v>0.0</v>
      </c>
      <c r="P5" s="97">
        <v>0.0</v>
      </c>
      <c r="Q5" s="97">
        <v>0.0</v>
      </c>
      <c r="R5" s="97">
        <v>0.0</v>
      </c>
      <c r="S5" s="97">
        <v>0.0</v>
      </c>
      <c r="T5" s="97">
        <v>0.0</v>
      </c>
      <c r="U5" s="97">
        <v>0.0</v>
      </c>
      <c r="V5" s="97">
        <v>143843.0</v>
      </c>
      <c r="W5" s="10"/>
      <c r="X5" s="10"/>
      <c r="Y5" s="10"/>
      <c r="Z5" s="10"/>
      <c r="AA5" s="10"/>
      <c r="AB5" s="10"/>
      <c r="AC5" s="10"/>
    </row>
    <row r="6" ht="15.75" customHeight="1">
      <c r="A6" s="59" t="str">
        <f t="array" ref="A6">XLOOKUP(C6, 'マスタ'!$C$2:$C$312, 'マスタ'!$D$2:$D$312, "マスタ未登録")</f>
        <v>マスタ未登録</v>
      </c>
      <c r="B6" s="53" t="str">
        <f>IF(AND(C6&lt;&gt;"", COUNTIF('マスタ'!$C:$C, C6)=0), "マスタ未登録", "")</f>
        <v>マスタ未登録</v>
      </c>
      <c r="C6" s="53" t="str">
        <f t="shared" si="1"/>
        <v>売上高 計</v>
      </c>
      <c r="D6" s="10" t="s">
        <v>226</v>
      </c>
      <c r="E6" s="10"/>
      <c r="F6" s="10"/>
      <c r="G6" s="10"/>
      <c r="H6" s="10"/>
      <c r="I6" s="10"/>
      <c r="J6" s="97">
        <v>195496.0</v>
      </c>
      <c r="K6" s="97">
        <v>0.0</v>
      </c>
      <c r="L6" s="97">
        <v>0.0</v>
      </c>
      <c r="M6" s="97">
        <v>0.0</v>
      </c>
      <c r="N6" s="97">
        <v>0.0</v>
      </c>
      <c r="O6" s="97">
        <v>0.0</v>
      </c>
      <c r="P6" s="97">
        <v>0.0</v>
      </c>
      <c r="Q6" s="97">
        <v>0.0</v>
      </c>
      <c r="R6" s="97">
        <v>0.0</v>
      </c>
      <c r="S6" s="97">
        <v>0.0</v>
      </c>
      <c r="T6" s="97">
        <v>0.0</v>
      </c>
      <c r="U6" s="97">
        <v>0.0</v>
      </c>
      <c r="V6" s="97">
        <v>195496.0</v>
      </c>
      <c r="W6" s="10"/>
      <c r="X6" s="10"/>
      <c r="Y6" s="10"/>
      <c r="Z6" s="10"/>
      <c r="AA6" s="10"/>
      <c r="AB6" s="10"/>
      <c r="AC6" s="10"/>
    </row>
    <row r="7" ht="15.75" customHeight="1">
      <c r="A7" s="59" t="str">
        <f t="array" ref="A7">XLOOKUP(C7, 'マスタ'!$C$2:$C$312, 'マスタ'!$D$2:$D$312, "マスタ未登録")</f>
        <v>マスタ未登録</v>
      </c>
      <c r="B7" s="53" t="str">
        <f>IF(AND(C7&lt;&gt;"", COUNTIF('マスタ'!$C:$C, C7)=0), "マスタ未登録", "")</f>
        <v>マスタ未登録</v>
      </c>
      <c r="C7" s="53" t="str">
        <f t="shared" si="1"/>
        <v>売上原価</v>
      </c>
      <c r="D7" s="10"/>
      <c r="E7" s="10" t="s">
        <v>28</v>
      </c>
      <c r="F7" s="10"/>
      <c r="G7" s="10"/>
      <c r="H7" s="10"/>
      <c r="I7" s="10"/>
      <c r="J7" s="10"/>
      <c r="K7" s="10"/>
      <c r="L7" s="10"/>
      <c r="M7" s="10"/>
      <c r="N7" s="10"/>
      <c r="O7" s="10"/>
      <c r="P7" s="10"/>
      <c r="Q7" s="10"/>
      <c r="R7" s="10"/>
      <c r="S7" s="10"/>
      <c r="T7" s="10"/>
      <c r="U7" s="10"/>
      <c r="V7" s="10"/>
      <c r="W7" s="10"/>
      <c r="X7" s="10"/>
      <c r="Y7" s="10"/>
      <c r="Z7" s="10"/>
      <c r="AA7" s="10"/>
      <c r="AB7" s="10"/>
      <c r="AC7" s="10"/>
    </row>
    <row r="8" ht="15.75" customHeight="1">
      <c r="A8" s="59" t="str">
        <f t="array" ref="A8">XLOOKUP(C8, 'マスタ'!$C$2:$C$312, 'マスタ'!$D$2:$D$312, "マスタ未登録")</f>
        <v>マスタ未登録</v>
      </c>
      <c r="B8" s="53" t="str">
        <f>IF(AND(C8&lt;&gt;"", COUNTIF('マスタ'!$C:$C, C8)=0), "マスタ未登録", "")</f>
        <v>マスタ未登録</v>
      </c>
      <c r="C8" s="53" t="str">
        <f t="shared" si="1"/>
        <v>売上原価</v>
      </c>
      <c r="D8" s="10"/>
      <c r="E8" s="10" t="s">
        <v>28</v>
      </c>
      <c r="F8" s="10"/>
      <c r="G8" s="10"/>
      <c r="H8" s="10"/>
      <c r="I8" s="10"/>
      <c r="J8" s="97">
        <v>5.6777489E7</v>
      </c>
      <c r="K8" s="97">
        <v>903439.0</v>
      </c>
      <c r="L8" s="97">
        <v>0.0</v>
      </c>
      <c r="M8" s="97">
        <v>0.0</v>
      </c>
      <c r="N8" s="97">
        <v>0.0</v>
      </c>
      <c r="O8" s="97">
        <v>0.0</v>
      </c>
      <c r="P8" s="97">
        <v>0.0</v>
      </c>
      <c r="Q8" s="97">
        <v>0.0</v>
      </c>
      <c r="R8" s="97">
        <v>0.0</v>
      </c>
      <c r="S8" s="97">
        <v>0.0</v>
      </c>
      <c r="T8" s="97">
        <v>0.0</v>
      </c>
      <c r="U8" s="97">
        <v>0.0</v>
      </c>
      <c r="V8" s="97">
        <v>5.7680928E7</v>
      </c>
      <c r="W8" s="10"/>
      <c r="X8" s="10"/>
      <c r="Y8" s="10"/>
      <c r="Z8" s="10"/>
      <c r="AA8" s="10"/>
      <c r="AB8" s="10"/>
      <c r="AC8" s="10"/>
    </row>
    <row r="9" ht="15.75" customHeight="1">
      <c r="A9" s="59" t="str">
        <f t="array" ref="A9">XLOOKUP(C9, 'マスタ'!$C$2:$C$312, 'マスタ'!$D$2:$D$312, "マスタ未登録")</f>
        <v>期首商品棚卸高</v>
      </c>
      <c r="B9" s="53" t="str">
        <f>IF(AND(C9&lt;&gt;"", COUNTIF('マスタ'!$C:$C, C9)=0), "マスタ未登録", "")</f>
        <v/>
      </c>
      <c r="C9" s="53" t="str">
        <f t="shared" si="1"/>
        <v>期首商品棚卸</v>
      </c>
      <c r="D9" s="10"/>
      <c r="E9" s="10"/>
      <c r="F9" s="10"/>
      <c r="G9" s="10" t="s">
        <v>227</v>
      </c>
      <c r="H9" s="10"/>
      <c r="I9" s="10"/>
      <c r="J9" s="97">
        <v>0.0</v>
      </c>
      <c r="K9" s="97">
        <v>0.0</v>
      </c>
      <c r="L9" s="97">
        <v>0.0</v>
      </c>
      <c r="M9" s="97">
        <v>0.0</v>
      </c>
      <c r="N9" s="97">
        <v>0.0</v>
      </c>
      <c r="O9" s="97">
        <v>0.0</v>
      </c>
      <c r="P9" s="97">
        <v>0.0</v>
      </c>
      <c r="Q9" s="97">
        <v>0.0</v>
      </c>
      <c r="R9" s="97">
        <v>0.0</v>
      </c>
      <c r="S9" s="97">
        <v>0.0</v>
      </c>
      <c r="T9" s="97">
        <v>0.0</v>
      </c>
      <c r="U9" s="97">
        <v>0.0</v>
      </c>
      <c r="V9" s="97">
        <v>0.0</v>
      </c>
      <c r="W9" s="10"/>
      <c r="X9" s="10"/>
      <c r="Y9" s="10"/>
      <c r="Z9" s="10"/>
      <c r="AA9" s="10"/>
      <c r="AB9" s="10"/>
      <c r="AC9" s="10"/>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当期商品仕入合計額</v>
      </c>
      <c r="D10" s="10"/>
      <c r="E10" s="10"/>
      <c r="F10" s="10"/>
      <c r="G10" s="10" t="s">
        <v>374</v>
      </c>
      <c r="H10" s="10"/>
      <c r="I10" s="10"/>
      <c r="J10" s="97">
        <v>5.6777489E7</v>
      </c>
      <c r="K10" s="97">
        <v>903439.0</v>
      </c>
      <c r="L10" s="97">
        <v>0.0</v>
      </c>
      <c r="M10" s="97">
        <v>0.0</v>
      </c>
      <c r="N10" s="97">
        <v>0.0</v>
      </c>
      <c r="O10" s="97">
        <v>0.0</v>
      </c>
      <c r="P10" s="97">
        <v>0.0</v>
      </c>
      <c r="Q10" s="97">
        <v>0.0</v>
      </c>
      <c r="R10" s="97">
        <v>0.0</v>
      </c>
      <c r="S10" s="97">
        <v>0.0</v>
      </c>
      <c r="T10" s="97">
        <v>0.0</v>
      </c>
      <c r="U10" s="97">
        <v>0.0</v>
      </c>
      <c r="V10" s="97">
        <v>5.7680928E7</v>
      </c>
      <c r="W10" s="10"/>
      <c r="X10" s="10"/>
      <c r="Y10" s="10"/>
      <c r="Z10" s="10"/>
      <c r="AA10" s="10"/>
      <c r="AB10" s="10"/>
      <c r="AC10" s="10"/>
    </row>
    <row r="11" ht="15.75" customHeight="1">
      <c r="A11" s="59" t="str">
        <f t="array" ref="A11">XLOOKUP(C11, 'マスタ'!$C$2:$C$312, 'マスタ'!$D$2:$D$312, "マスタ未登録")</f>
        <v>当期商品仕入高</v>
      </c>
      <c r="B11" s="53" t="str">
        <f>IF(AND(C11&lt;&gt;"", COUNTIF('マスタ'!$C:$C, C11)=0), "マスタ未登録", "")</f>
        <v/>
      </c>
      <c r="C11" s="53" t="str">
        <f t="shared" si="1"/>
        <v>給料手当(原・ビ)</v>
      </c>
      <c r="D11" s="10"/>
      <c r="E11" s="10"/>
      <c r="F11" s="10"/>
      <c r="G11" s="10"/>
      <c r="H11" s="10" t="s">
        <v>359</v>
      </c>
      <c r="I11" s="10"/>
      <c r="J11" s="97">
        <v>8052485.0</v>
      </c>
      <c r="K11" s="97">
        <v>0.0</v>
      </c>
      <c r="L11" s="97">
        <v>0.0</v>
      </c>
      <c r="M11" s="97">
        <v>0.0</v>
      </c>
      <c r="N11" s="97">
        <v>0.0</v>
      </c>
      <c r="O11" s="97">
        <v>0.0</v>
      </c>
      <c r="P11" s="97">
        <v>0.0</v>
      </c>
      <c r="Q11" s="97">
        <v>0.0</v>
      </c>
      <c r="R11" s="97">
        <v>0.0</v>
      </c>
      <c r="S11" s="97">
        <v>0.0</v>
      </c>
      <c r="T11" s="97">
        <v>0.0</v>
      </c>
      <c r="U11" s="97">
        <v>0.0</v>
      </c>
      <c r="V11" s="97">
        <v>8052485.0</v>
      </c>
      <c r="W11" s="10"/>
      <c r="X11" s="10"/>
      <c r="Y11" s="10"/>
      <c r="Z11" s="10"/>
      <c r="AA11" s="10"/>
      <c r="AB11" s="10"/>
      <c r="AC11" s="10"/>
    </row>
    <row r="12" ht="15.75" customHeight="1">
      <c r="A12" s="59" t="str">
        <f t="array" ref="A12">XLOOKUP(C12, 'マスタ'!$C$2:$C$312, 'マスタ'!$D$2:$D$312, "マスタ未登録")</f>
        <v>当期商品仕入高</v>
      </c>
      <c r="B12" s="53" t="str">
        <f>IF(AND(C12&lt;&gt;"", COUNTIF('マスタ'!$C:$C, C12)=0), "マスタ未登録", "")</f>
        <v/>
      </c>
      <c r="C12" s="53" t="str">
        <f t="shared" si="1"/>
        <v>給料手当(原・製)</v>
      </c>
      <c r="D12" s="10"/>
      <c r="E12" s="10"/>
      <c r="F12" s="10"/>
      <c r="G12" s="10"/>
      <c r="H12" s="10" t="s">
        <v>360</v>
      </c>
      <c r="I12" s="10"/>
      <c r="J12" s="97">
        <v>2.7763461E7</v>
      </c>
      <c r="K12" s="97">
        <v>0.0</v>
      </c>
      <c r="L12" s="97">
        <v>0.0</v>
      </c>
      <c r="M12" s="97">
        <v>0.0</v>
      </c>
      <c r="N12" s="97">
        <v>0.0</v>
      </c>
      <c r="O12" s="97">
        <v>0.0</v>
      </c>
      <c r="P12" s="97">
        <v>0.0</v>
      </c>
      <c r="Q12" s="97">
        <v>0.0</v>
      </c>
      <c r="R12" s="97">
        <v>0.0</v>
      </c>
      <c r="S12" s="97">
        <v>0.0</v>
      </c>
      <c r="T12" s="97">
        <v>0.0</v>
      </c>
      <c r="U12" s="97">
        <v>0.0</v>
      </c>
      <c r="V12" s="97">
        <v>2.7763461E7</v>
      </c>
      <c r="W12" s="10"/>
      <c r="X12" s="10"/>
      <c r="Y12" s="10"/>
      <c r="Z12" s="10"/>
      <c r="AA12" s="10"/>
      <c r="AB12" s="10"/>
      <c r="AC12" s="10"/>
    </row>
    <row r="13" ht="15.75" customHeight="1">
      <c r="A13" s="59" t="str">
        <f t="array" ref="A13">XLOOKUP(C13, 'マスタ'!$C$2:$C$312, 'マスタ'!$D$2:$D$312, "マスタ未登録")</f>
        <v>当期商品仕入高</v>
      </c>
      <c r="B13" s="53" t="str">
        <f>IF(AND(C13&lt;&gt;"", COUNTIF('マスタ'!$C:$C, C13)=0), "マスタ未登録", "")</f>
        <v/>
      </c>
      <c r="C13" s="53" t="str">
        <f t="shared" si="1"/>
        <v>法定福利費(原・ビ)</v>
      </c>
      <c r="D13" s="10"/>
      <c r="E13" s="10"/>
      <c r="F13" s="10"/>
      <c r="G13" s="10"/>
      <c r="H13" s="10" t="s">
        <v>361</v>
      </c>
      <c r="I13" s="10"/>
      <c r="J13" s="97">
        <v>1179172.0</v>
      </c>
      <c r="K13" s="97">
        <v>0.0</v>
      </c>
      <c r="L13" s="97">
        <v>0.0</v>
      </c>
      <c r="M13" s="97">
        <v>0.0</v>
      </c>
      <c r="N13" s="97">
        <v>0.0</v>
      </c>
      <c r="O13" s="97">
        <v>0.0</v>
      </c>
      <c r="P13" s="97">
        <v>0.0</v>
      </c>
      <c r="Q13" s="97">
        <v>0.0</v>
      </c>
      <c r="R13" s="97">
        <v>0.0</v>
      </c>
      <c r="S13" s="97">
        <v>0.0</v>
      </c>
      <c r="T13" s="97">
        <v>0.0</v>
      </c>
      <c r="U13" s="97">
        <v>0.0</v>
      </c>
      <c r="V13" s="97">
        <v>1179172.0</v>
      </c>
      <c r="W13" s="10"/>
      <c r="X13" s="10"/>
      <c r="Y13" s="10"/>
      <c r="Z13" s="10"/>
      <c r="AA13" s="10"/>
      <c r="AB13" s="10"/>
      <c r="AC13" s="10"/>
    </row>
    <row r="14" ht="15.75" customHeight="1">
      <c r="A14" s="59" t="str">
        <f t="array" ref="A14">XLOOKUP(C14, 'マスタ'!$C$2:$C$312, 'マスタ'!$D$2:$D$312, "マスタ未登録")</f>
        <v>当期商品仕入高</v>
      </c>
      <c r="B14" s="53" t="str">
        <f>IF(AND(C14&lt;&gt;"", COUNTIF('マスタ'!$C:$C, C14)=0), "マスタ未登録", "")</f>
        <v/>
      </c>
      <c r="C14" s="53" t="str">
        <f t="shared" si="1"/>
        <v>法定福利費(原・製)</v>
      </c>
      <c r="D14" s="10"/>
      <c r="E14" s="10"/>
      <c r="F14" s="10"/>
      <c r="G14" s="10"/>
      <c r="H14" s="10" t="s">
        <v>362</v>
      </c>
      <c r="I14" s="10"/>
      <c r="J14" s="97">
        <v>4588449.0</v>
      </c>
      <c r="K14" s="97">
        <v>0.0</v>
      </c>
      <c r="L14" s="97">
        <v>0.0</v>
      </c>
      <c r="M14" s="97">
        <v>0.0</v>
      </c>
      <c r="N14" s="97">
        <v>0.0</v>
      </c>
      <c r="O14" s="97">
        <v>0.0</v>
      </c>
      <c r="P14" s="97">
        <v>0.0</v>
      </c>
      <c r="Q14" s="97">
        <v>0.0</v>
      </c>
      <c r="R14" s="97">
        <v>0.0</v>
      </c>
      <c r="S14" s="97">
        <v>0.0</v>
      </c>
      <c r="T14" s="97">
        <v>0.0</v>
      </c>
      <c r="U14" s="97">
        <v>0.0</v>
      </c>
      <c r="V14" s="97">
        <v>4588449.0</v>
      </c>
      <c r="W14" s="10"/>
      <c r="X14" s="10"/>
      <c r="Y14" s="10"/>
      <c r="Z14" s="10"/>
      <c r="AA14" s="10"/>
      <c r="AB14" s="10"/>
      <c r="AC14" s="10"/>
    </row>
    <row r="15" ht="15.75" customHeight="1">
      <c r="A15" s="59" t="str">
        <f t="array" ref="A15">XLOOKUP(C15, 'マスタ'!$C$2:$C$312, 'マスタ'!$D$2:$D$312, "マスタ未登録")</f>
        <v>当期商品仕入高</v>
      </c>
      <c r="B15" s="53" t="str">
        <f>IF(AND(C15&lt;&gt;"", COUNTIF('マスタ'!$C:$C, C15)=0), "マスタ未登録", "")</f>
        <v/>
      </c>
      <c r="C15" s="53" t="str">
        <f t="shared" si="1"/>
        <v>外注費(原)</v>
      </c>
      <c r="D15" s="10"/>
      <c r="E15" s="10"/>
      <c r="F15" s="10"/>
      <c r="G15" s="10"/>
      <c r="H15" s="10" t="s">
        <v>231</v>
      </c>
      <c r="I15" s="10"/>
      <c r="J15" s="97">
        <v>1331768.0</v>
      </c>
      <c r="K15" s="97">
        <v>0.0</v>
      </c>
      <c r="L15" s="97">
        <v>0.0</v>
      </c>
      <c r="M15" s="97">
        <v>0.0</v>
      </c>
      <c r="N15" s="97">
        <v>0.0</v>
      </c>
      <c r="O15" s="97">
        <v>0.0</v>
      </c>
      <c r="P15" s="97">
        <v>0.0</v>
      </c>
      <c r="Q15" s="97">
        <v>0.0</v>
      </c>
      <c r="R15" s="97">
        <v>0.0</v>
      </c>
      <c r="S15" s="97">
        <v>0.0</v>
      </c>
      <c r="T15" s="97">
        <v>0.0</v>
      </c>
      <c r="U15" s="97">
        <v>0.0</v>
      </c>
      <c r="V15" s="97">
        <v>1331768.0</v>
      </c>
      <c r="W15" s="10"/>
      <c r="X15" s="10"/>
      <c r="Y15" s="10"/>
      <c r="Z15" s="10"/>
      <c r="AA15" s="10"/>
      <c r="AB15" s="10"/>
      <c r="AC15" s="10"/>
    </row>
    <row r="16" ht="15.75" customHeight="1">
      <c r="A16" s="59" t="str">
        <f t="array" ref="A16">XLOOKUP(C16, 'マスタ'!$C$2:$C$312, 'マスタ'!$D$2:$D$312, "マスタ未登録")</f>
        <v>当期商品仕入高</v>
      </c>
      <c r="B16" s="53" t="str">
        <f>IF(AND(C16&lt;&gt;"", COUNTIF('マスタ'!$C:$C, C16)=0), "マスタ未登録", "")</f>
        <v/>
      </c>
      <c r="C16" s="53" t="str">
        <f t="shared" si="1"/>
        <v>業務委託費(原・タレント)</v>
      </c>
      <c r="D16" s="10"/>
      <c r="E16" s="10"/>
      <c r="F16" s="10"/>
      <c r="G16" s="10"/>
      <c r="H16" s="10" t="s">
        <v>363</v>
      </c>
      <c r="I16" s="10"/>
      <c r="J16" s="97">
        <v>545238.0</v>
      </c>
      <c r="K16" s="97">
        <v>0.0</v>
      </c>
      <c r="L16" s="97">
        <v>0.0</v>
      </c>
      <c r="M16" s="97">
        <v>0.0</v>
      </c>
      <c r="N16" s="97">
        <v>0.0</v>
      </c>
      <c r="O16" s="97">
        <v>0.0</v>
      </c>
      <c r="P16" s="97">
        <v>0.0</v>
      </c>
      <c r="Q16" s="97">
        <v>0.0</v>
      </c>
      <c r="R16" s="97">
        <v>0.0</v>
      </c>
      <c r="S16" s="97">
        <v>0.0</v>
      </c>
      <c r="T16" s="97">
        <v>0.0</v>
      </c>
      <c r="U16" s="97">
        <v>0.0</v>
      </c>
      <c r="V16" s="97">
        <v>545238.0</v>
      </c>
      <c r="W16" s="10"/>
      <c r="X16" s="10"/>
      <c r="Y16" s="10"/>
      <c r="Z16" s="10"/>
      <c r="AA16" s="10"/>
      <c r="AB16" s="10"/>
      <c r="AC16" s="10"/>
    </row>
    <row r="17" ht="15.75" customHeight="1">
      <c r="A17" s="59" t="str">
        <f t="array" ref="A17">XLOOKUP(C17, 'マスタ'!$C$2:$C$312, 'マスタ'!$D$2:$D$312, "マスタ未登録")</f>
        <v>当期商品仕入高</v>
      </c>
      <c r="B17" s="53" t="str">
        <f>IF(AND(C17&lt;&gt;"", COUNTIF('マスタ'!$C:$C, C17)=0), "マスタ未登録", "")</f>
        <v/>
      </c>
      <c r="C17" s="53" t="str">
        <f t="shared" si="1"/>
        <v>業務委託費(原・製)</v>
      </c>
      <c r="D17" s="10"/>
      <c r="E17" s="10"/>
      <c r="F17" s="10"/>
      <c r="G17" s="10"/>
      <c r="H17" s="10" t="s">
        <v>364</v>
      </c>
      <c r="I17" s="10"/>
      <c r="J17" s="97">
        <v>9781170.0</v>
      </c>
      <c r="K17" s="97">
        <v>0.0</v>
      </c>
      <c r="L17" s="97">
        <v>0.0</v>
      </c>
      <c r="M17" s="97">
        <v>0.0</v>
      </c>
      <c r="N17" s="97">
        <v>0.0</v>
      </c>
      <c r="O17" s="97">
        <v>0.0</v>
      </c>
      <c r="P17" s="97">
        <v>0.0</v>
      </c>
      <c r="Q17" s="97">
        <v>0.0</v>
      </c>
      <c r="R17" s="97">
        <v>0.0</v>
      </c>
      <c r="S17" s="97">
        <v>0.0</v>
      </c>
      <c r="T17" s="97">
        <v>0.0</v>
      </c>
      <c r="U17" s="97">
        <v>0.0</v>
      </c>
      <c r="V17" s="97">
        <v>9781170.0</v>
      </c>
      <c r="W17" s="10"/>
      <c r="X17" s="10"/>
      <c r="Y17" s="10"/>
      <c r="Z17" s="10"/>
      <c r="AA17" s="10"/>
      <c r="AB17" s="10"/>
      <c r="AC17" s="10"/>
    </row>
    <row r="18" ht="15.75" customHeight="1">
      <c r="A18" s="59" t="str">
        <f t="array" ref="A18">XLOOKUP(C18, 'マスタ'!$C$2:$C$312, 'マスタ'!$D$2:$D$312, "マスタ未登録")</f>
        <v>当期商品仕入高</v>
      </c>
      <c r="B18" s="53" t="str">
        <f>IF(AND(C18&lt;&gt;"", COUNTIF('マスタ'!$C:$C, C18)=0), "マスタ未登録", "")</f>
        <v/>
      </c>
      <c r="C18" s="53" t="str">
        <f t="shared" si="1"/>
        <v>業務委託費(原・ビ)</v>
      </c>
      <c r="D18" s="10"/>
      <c r="E18" s="10"/>
      <c r="F18" s="10"/>
      <c r="G18" s="10"/>
      <c r="H18" s="10" t="s">
        <v>365</v>
      </c>
      <c r="I18" s="10"/>
      <c r="J18" s="97">
        <v>1138039.0</v>
      </c>
      <c r="K18" s="97">
        <v>0.0</v>
      </c>
      <c r="L18" s="97">
        <v>0.0</v>
      </c>
      <c r="M18" s="97">
        <v>0.0</v>
      </c>
      <c r="N18" s="97">
        <v>0.0</v>
      </c>
      <c r="O18" s="97">
        <v>0.0</v>
      </c>
      <c r="P18" s="97">
        <v>0.0</v>
      </c>
      <c r="Q18" s="97">
        <v>0.0</v>
      </c>
      <c r="R18" s="97">
        <v>0.0</v>
      </c>
      <c r="S18" s="97">
        <v>0.0</v>
      </c>
      <c r="T18" s="97">
        <v>0.0</v>
      </c>
      <c r="U18" s="97">
        <v>0.0</v>
      </c>
      <c r="V18" s="97">
        <v>1138039.0</v>
      </c>
      <c r="W18" s="10"/>
      <c r="X18" s="10"/>
      <c r="Y18" s="10"/>
      <c r="Z18" s="10"/>
      <c r="AA18" s="10"/>
      <c r="AB18" s="10"/>
      <c r="AC18" s="10"/>
    </row>
    <row r="19" ht="15.75" customHeight="1">
      <c r="A19" s="59" t="str">
        <f t="array" ref="A19">XLOOKUP(C19, 'マスタ'!$C$2:$C$312, 'マスタ'!$D$2:$D$312, "マスタ未登録")</f>
        <v>当期商品仕入高</v>
      </c>
      <c r="B19" s="53" t="str">
        <f>IF(AND(C19&lt;&gt;"", COUNTIF('マスタ'!$C:$C, C19)=0), "マスタ未登録", "")</f>
        <v/>
      </c>
      <c r="C19" s="53" t="str">
        <f t="shared" si="1"/>
        <v>旅費交通費(原)</v>
      </c>
      <c r="D19" s="10"/>
      <c r="E19" s="10"/>
      <c r="F19" s="10"/>
      <c r="G19" s="10"/>
      <c r="H19" s="10" t="s">
        <v>233</v>
      </c>
      <c r="I19" s="10"/>
      <c r="J19" s="97">
        <v>980607.0</v>
      </c>
      <c r="K19" s="97">
        <v>0.0</v>
      </c>
      <c r="L19" s="97">
        <v>0.0</v>
      </c>
      <c r="M19" s="97">
        <v>0.0</v>
      </c>
      <c r="N19" s="97">
        <v>0.0</v>
      </c>
      <c r="O19" s="97">
        <v>0.0</v>
      </c>
      <c r="P19" s="97">
        <v>0.0</v>
      </c>
      <c r="Q19" s="97">
        <v>0.0</v>
      </c>
      <c r="R19" s="97">
        <v>0.0</v>
      </c>
      <c r="S19" s="97">
        <v>0.0</v>
      </c>
      <c r="T19" s="97">
        <v>0.0</v>
      </c>
      <c r="U19" s="97">
        <v>0.0</v>
      </c>
      <c r="V19" s="97">
        <v>980607.0</v>
      </c>
      <c r="W19" s="10"/>
      <c r="X19" s="10"/>
      <c r="Y19" s="10"/>
      <c r="Z19" s="10"/>
      <c r="AA19" s="10"/>
      <c r="AB19" s="10"/>
      <c r="AC19" s="10"/>
    </row>
    <row r="20" ht="15.75" customHeight="1">
      <c r="A20" s="59" t="str">
        <f t="array" ref="A20">XLOOKUP(C20, 'マスタ'!$C$2:$C$312, 'マスタ'!$D$2:$D$312, "マスタ未登録")</f>
        <v>当期商品仕入高</v>
      </c>
      <c r="B20" s="53" t="str">
        <f>IF(AND(C20&lt;&gt;"", COUNTIF('マスタ'!$C:$C, C20)=0), "マスタ未登録", "")</f>
        <v/>
      </c>
      <c r="C20" s="53" t="str">
        <f t="shared" si="1"/>
        <v>通信費(原)</v>
      </c>
      <c r="D20" s="10"/>
      <c r="E20" s="10"/>
      <c r="F20" s="10"/>
      <c r="G20" s="10"/>
      <c r="H20" s="10" t="s">
        <v>351</v>
      </c>
      <c r="I20" s="10"/>
      <c r="J20" s="97">
        <v>1415281.0</v>
      </c>
      <c r="K20" s="97">
        <v>903439.0</v>
      </c>
      <c r="L20" s="97">
        <v>0.0</v>
      </c>
      <c r="M20" s="97">
        <v>0.0</v>
      </c>
      <c r="N20" s="97">
        <v>0.0</v>
      </c>
      <c r="O20" s="97">
        <v>0.0</v>
      </c>
      <c r="P20" s="97">
        <v>0.0</v>
      </c>
      <c r="Q20" s="97">
        <v>0.0</v>
      </c>
      <c r="R20" s="97">
        <v>0.0</v>
      </c>
      <c r="S20" s="97">
        <v>0.0</v>
      </c>
      <c r="T20" s="97">
        <v>0.0</v>
      </c>
      <c r="U20" s="97">
        <v>0.0</v>
      </c>
      <c r="V20" s="97">
        <v>2318720.0</v>
      </c>
      <c r="W20" s="10"/>
      <c r="X20" s="10"/>
      <c r="Y20" s="10"/>
      <c r="Z20" s="10"/>
      <c r="AA20" s="10"/>
      <c r="AB20" s="10"/>
      <c r="AC20" s="10"/>
    </row>
    <row r="21" ht="15.75" customHeight="1">
      <c r="A21" s="59" t="str">
        <f t="array" ref="A21">XLOOKUP(C21, 'マスタ'!$C$2:$C$312, 'マスタ'!$D$2:$D$312, "マスタ未登録")</f>
        <v>当期商品仕入高</v>
      </c>
      <c r="B21" s="53" t="str">
        <f>IF(AND(C21&lt;&gt;"", COUNTIF('マスタ'!$C:$C, C21)=0), "マスタ未登録", "")</f>
        <v/>
      </c>
      <c r="C21" s="53" t="str">
        <f t="shared" si="1"/>
        <v>消耗品費(原)</v>
      </c>
      <c r="D21" s="10"/>
      <c r="E21" s="10"/>
      <c r="F21" s="10"/>
      <c r="G21" s="10"/>
      <c r="H21" s="10" t="s">
        <v>234</v>
      </c>
      <c r="I21" s="10"/>
      <c r="J21" s="97">
        <v>1819.0</v>
      </c>
      <c r="K21" s="97">
        <v>0.0</v>
      </c>
      <c r="L21" s="97">
        <v>0.0</v>
      </c>
      <c r="M21" s="97">
        <v>0.0</v>
      </c>
      <c r="N21" s="97">
        <v>0.0</v>
      </c>
      <c r="O21" s="97">
        <v>0.0</v>
      </c>
      <c r="P21" s="97">
        <v>0.0</v>
      </c>
      <c r="Q21" s="97">
        <v>0.0</v>
      </c>
      <c r="R21" s="97">
        <v>0.0</v>
      </c>
      <c r="S21" s="97">
        <v>0.0</v>
      </c>
      <c r="T21" s="97">
        <v>0.0</v>
      </c>
      <c r="U21" s="97">
        <v>0.0</v>
      </c>
      <c r="V21" s="97">
        <v>1819.0</v>
      </c>
      <c r="W21" s="10"/>
      <c r="X21" s="10"/>
      <c r="Y21" s="10"/>
      <c r="Z21" s="10"/>
      <c r="AA21" s="10"/>
      <c r="AB21" s="10"/>
      <c r="AC21" s="10"/>
    </row>
    <row r="22" ht="15.75" customHeight="1">
      <c r="A22" s="59" t="str">
        <f t="array" ref="A22">XLOOKUP(C22, 'マスタ'!$C$2:$C$312, 'マスタ'!$D$2:$D$312, "マスタ未登録")</f>
        <v>他勘定振替高</v>
      </c>
      <c r="B22" s="53" t="str">
        <f>IF(AND(C22&lt;&gt;"", COUNTIF('マスタ'!$C:$C, C22)=0), "マスタ未登録", "")</f>
        <v/>
      </c>
      <c r="C22" s="53" t="str">
        <f t="shared" si="1"/>
        <v>他勘定振替高(商)</v>
      </c>
      <c r="D22" s="10"/>
      <c r="E22" s="10"/>
      <c r="F22" s="10"/>
      <c r="G22" s="10" t="s">
        <v>235</v>
      </c>
      <c r="H22" s="10"/>
      <c r="I22" s="10"/>
      <c r="J22" s="97">
        <v>0.0</v>
      </c>
      <c r="K22" s="97">
        <v>0.0</v>
      </c>
      <c r="L22" s="97">
        <v>0.0</v>
      </c>
      <c r="M22" s="97">
        <v>0.0</v>
      </c>
      <c r="N22" s="97">
        <v>0.0</v>
      </c>
      <c r="O22" s="97">
        <v>0.0</v>
      </c>
      <c r="P22" s="97">
        <v>0.0</v>
      </c>
      <c r="Q22" s="97">
        <v>0.0</v>
      </c>
      <c r="R22" s="97">
        <v>0.0</v>
      </c>
      <c r="S22" s="97">
        <v>0.0</v>
      </c>
      <c r="T22" s="97">
        <v>0.0</v>
      </c>
      <c r="U22" s="97">
        <v>0.0</v>
      </c>
      <c r="V22" s="97">
        <v>0.0</v>
      </c>
      <c r="W22" s="10"/>
      <c r="X22" s="10"/>
      <c r="Y22" s="10"/>
      <c r="Z22" s="10"/>
      <c r="AA22" s="10"/>
      <c r="AB22" s="10"/>
      <c r="AC22" s="10"/>
    </row>
    <row r="23" ht="15.75" customHeight="1">
      <c r="A23" s="59" t="str">
        <f t="array" ref="A23">XLOOKUP(C23, 'マスタ'!$C$2:$C$312, 'マスタ'!$D$2:$D$312, "マスタ未登録")</f>
        <v>期末商品棚卸高</v>
      </c>
      <c r="B23" s="53" t="str">
        <f>IF(AND(C23&lt;&gt;"", COUNTIF('マスタ'!$C:$C, C23)=0), "マスタ未登録", "")</f>
        <v/>
      </c>
      <c r="C23" s="53" t="str">
        <f t="shared" si="1"/>
        <v>期末商品棚卸</v>
      </c>
      <c r="D23" s="10"/>
      <c r="E23" s="10"/>
      <c r="F23" s="10"/>
      <c r="G23" s="10" t="s">
        <v>236</v>
      </c>
      <c r="H23" s="10"/>
      <c r="I23" s="10"/>
      <c r="J23" s="97">
        <v>0.0</v>
      </c>
      <c r="K23" s="97">
        <v>0.0</v>
      </c>
      <c r="L23" s="97">
        <v>0.0</v>
      </c>
      <c r="M23" s="97">
        <v>0.0</v>
      </c>
      <c r="N23" s="97">
        <v>0.0</v>
      </c>
      <c r="O23" s="97">
        <v>0.0</v>
      </c>
      <c r="P23" s="97">
        <v>0.0</v>
      </c>
      <c r="Q23" s="97">
        <v>0.0</v>
      </c>
      <c r="R23" s="97">
        <v>0.0</v>
      </c>
      <c r="S23" s="97">
        <v>0.0</v>
      </c>
      <c r="T23" s="97">
        <v>0.0</v>
      </c>
      <c r="U23" s="97">
        <v>0.0</v>
      </c>
      <c r="V23" s="97">
        <v>0.0</v>
      </c>
      <c r="W23" s="10"/>
      <c r="X23" s="10"/>
      <c r="Y23" s="10"/>
      <c r="Z23" s="10"/>
      <c r="AA23" s="10"/>
      <c r="AB23" s="10"/>
      <c r="AC23" s="10"/>
    </row>
    <row r="24" ht="15.75" customHeight="1">
      <c r="A24" s="59" t="str">
        <f t="array" ref="A24">XLOOKUP(C24, 'マスタ'!$C$2:$C$312, 'マスタ'!$D$2:$D$312, "マスタ未登録")</f>
        <v>マスタ未登録</v>
      </c>
      <c r="B24" s="53" t="str">
        <f>IF(AND(C24&lt;&gt;"", COUNTIF('マスタ'!$C:$C, C24)=0), "マスタ未登録", "")</f>
        <v>マスタ未登録</v>
      </c>
      <c r="C24" s="53" t="str">
        <f t="shared" si="1"/>
        <v>商品売上原価</v>
      </c>
      <c r="D24" s="10"/>
      <c r="E24" s="10"/>
      <c r="F24" s="10" t="s">
        <v>3</v>
      </c>
      <c r="G24" s="10"/>
      <c r="H24" s="10"/>
      <c r="I24" s="10"/>
      <c r="J24" s="97">
        <v>5.6777489E7</v>
      </c>
      <c r="K24" s="97">
        <v>903439.0</v>
      </c>
      <c r="L24" s="97">
        <v>0.0</v>
      </c>
      <c r="M24" s="97">
        <v>0.0</v>
      </c>
      <c r="N24" s="97">
        <v>0.0</v>
      </c>
      <c r="O24" s="97">
        <v>0.0</v>
      </c>
      <c r="P24" s="97">
        <v>0.0</v>
      </c>
      <c r="Q24" s="97">
        <v>0.0</v>
      </c>
      <c r="R24" s="97">
        <v>0.0</v>
      </c>
      <c r="S24" s="97">
        <v>0.0</v>
      </c>
      <c r="T24" s="97">
        <v>0.0</v>
      </c>
      <c r="U24" s="97">
        <v>0.0</v>
      </c>
      <c r="V24" s="97">
        <v>5.7680928E7</v>
      </c>
      <c r="W24" s="10"/>
      <c r="X24" s="10"/>
      <c r="Y24" s="10"/>
      <c r="Z24" s="10"/>
      <c r="AA24" s="10"/>
      <c r="AB24" s="10"/>
      <c r="AC24" s="10"/>
    </row>
    <row r="25" ht="15.75" customHeight="1">
      <c r="A25" s="59" t="str">
        <f t="array" ref="A25">XLOOKUP(C25, 'マスタ'!$C$2:$C$312, 'マスタ'!$D$2:$D$312, "マスタ未登録")</f>
        <v>マスタ未登録</v>
      </c>
      <c r="B25" s="53" t="str">
        <f>IF(AND(C25&lt;&gt;"", COUNTIF('マスタ'!$C:$C, C25)=0), "マスタ未登録", "")</f>
        <v>マスタ未登録</v>
      </c>
      <c r="C25" s="53" t="str">
        <f t="shared" si="1"/>
        <v>売上総損益金額</v>
      </c>
      <c r="D25" s="10" t="s">
        <v>237</v>
      </c>
      <c r="E25" s="10"/>
      <c r="F25" s="10"/>
      <c r="G25" s="10"/>
      <c r="H25" s="10"/>
      <c r="I25" s="10"/>
      <c r="J25" s="97">
        <v>-5.6581993E7</v>
      </c>
      <c r="K25" s="97">
        <v>-903439.0</v>
      </c>
      <c r="L25" s="97">
        <v>0.0</v>
      </c>
      <c r="M25" s="97">
        <v>0.0</v>
      </c>
      <c r="N25" s="97">
        <v>0.0</v>
      </c>
      <c r="O25" s="97">
        <v>0.0</v>
      </c>
      <c r="P25" s="97">
        <v>0.0</v>
      </c>
      <c r="Q25" s="97">
        <v>0.0</v>
      </c>
      <c r="R25" s="97">
        <v>0.0</v>
      </c>
      <c r="S25" s="97">
        <v>0.0</v>
      </c>
      <c r="T25" s="97">
        <v>0.0</v>
      </c>
      <c r="U25" s="97">
        <v>0.0</v>
      </c>
      <c r="V25" s="97">
        <v>-5.7485432E7</v>
      </c>
      <c r="W25" s="10"/>
      <c r="X25" s="10"/>
      <c r="Y25" s="10"/>
      <c r="Z25" s="10"/>
      <c r="AA25" s="10"/>
      <c r="AB25" s="10"/>
      <c r="AC25" s="10"/>
    </row>
    <row r="26" ht="15.75" customHeight="1">
      <c r="A26" s="59" t="str">
        <f t="array" ref="A26">XLOOKUP(C26, 'マスタ'!$C$2:$C$312, 'マスタ'!$D$2:$D$312, "マスタ未登録")</f>
        <v>マスタ未登録</v>
      </c>
      <c r="B26" s="53" t="str">
        <f>IF(AND(C26&lt;&gt;"", COUNTIF('マスタ'!$C:$C, C26)=0), "マスタ未登録", "")</f>
        <v>マスタ未登録</v>
      </c>
      <c r="C26" s="53" t="str">
        <f t="shared" si="1"/>
        <v>販売管理費</v>
      </c>
      <c r="D26" s="10"/>
      <c r="E26" s="10" t="s">
        <v>238</v>
      </c>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ht="15.75" customHeight="1">
      <c r="A27" s="59" t="str">
        <f t="array" ref="A27">XLOOKUP(C27, 'マスタ'!$C$2:$C$312, 'マスタ'!$D$2:$D$312, "マスタ未登録")</f>
        <v>給料手当</v>
      </c>
      <c r="B27" s="53" t="str">
        <f>IF(AND(C27&lt;&gt;"", COUNTIF('マスタ'!$C:$C, C27)=0), "マスタ未登録", "")</f>
        <v/>
      </c>
      <c r="C27" s="53" t="str">
        <f t="shared" si="1"/>
        <v>給料手当</v>
      </c>
      <c r="D27" s="10"/>
      <c r="E27" s="10"/>
      <c r="F27" s="10" t="s">
        <v>73</v>
      </c>
      <c r="G27" s="10"/>
      <c r="H27" s="10"/>
      <c r="I27" s="10"/>
      <c r="J27" s="97">
        <v>9286900.0</v>
      </c>
      <c r="K27" s="97">
        <v>0.0</v>
      </c>
      <c r="L27" s="97">
        <v>0.0</v>
      </c>
      <c r="M27" s="97">
        <v>0.0</v>
      </c>
      <c r="N27" s="97">
        <v>0.0</v>
      </c>
      <c r="O27" s="97">
        <v>0.0</v>
      </c>
      <c r="P27" s="97">
        <v>0.0</v>
      </c>
      <c r="Q27" s="97">
        <v>0.0</v>
      </c>
      <c r="R27" s="97">
        <v>0.0</v>
      </c>
      <c r="S27" s="97">
        <v>0.0</v>
      </c>
      <c r="T27" s="97">
        <v>0.0</v>
      </c>
      <c r="U27" s="97">
        <v>0.0</v>
      </c>
      <c r="V27" s="97">
        <v>9286900.0</v>
      </c>
      <c r="W27" s="10"/>
      <c r="X27" s="10"/>
      <c r="Y27" s="10"/>
      <c r="Z27" s="10"/>
      <c r="AA27" s="10"/>
      <c r="AB27" s="10"/>
      <c r="AC27" s="10"/>
    </row>
    <row r="28" ht="15.75" customHeight="1">
      <c r="A28" s="59" t="str">
        <f t="array" ref="A28">XLOOKUP(C28, 'マスタ'!$C$2:$C$312, 'マスタ'!$D$2:$D$312, "マスタ未登録")</f>
        <v>法定福利費</v>
      </c>
      <c r="B28" s="53" t="str">
        <f>IF(AND(C28&lt;&gt;"", COUNTIF('マスタ'!$C:$C, C28)=0), "マスタ未登録", "")</f>
        <v/>
      </c>
      <c r="C28" s="53" t="str">
        <f t="shared" si="1"/>
        <v>法定福利費</v>
      </c>
      <c r="D28" s="10"/>
      <c r="E28" s="10"/>
      <c r="F28" s="10" t="s">
        <v>74</v>
      </c>
      <c r="G28" s="10"/>
      <c r="H28" s="10"/>
      <c r="I28" s="10"/>
      <c r="J28" s="97">
        <v>966320.0</v>
      </c>
      <c r="K28" s="97">
        <v>0.0</v>
      </c>
      <c r="L28" s="97">
        <v>0.0</v>
      </c>
      <c r="M28" s="97">
        <v>0.0</v>
      </c>
      <c r="N28" s="97">
        <v>0.0</v>
      </c>
      <c r="O28" s="97">
        <v>0.0</v>
      </c>
      <c r="P28" s="97">
        <v>0.0</v>
      </c>
      <c r="Q28" s="97">
        <v>0.0</v>
      </c>
      <c r="R28" s="97">
        <v>0.0</v>
      </c>
      <c r="S28" s="97">
        <v>0.0</v>
      </c>
      <c r="T28" s="97">
        <v>0.0</v>
      </c>
      <c r="U28" s="97">
        <v>0.0</v>
      </c>
      <c r="V28" s="97">
        <v>966320.0</v>
      </c>
      <c r="W28" s="10"/>
      <c r="X28" s="10"/>
      <c r="Y28" s="10"/>
      <c r="Z28" s="10"/>
      <c r="AA28" s="10"/>
      <c r="AB28" s="10"/>
      <c r="AC28" s="10"/>
    </row>
    <row r="29" ht="15.75" customHeight="1">
      <c r="A29" s="59" t="str">
        <f t="array" ref="A29">XLOOKUP(C29, 'マスタ'!$C$2:$C$312, 'マスタ'!$D$2:$D$312, "マスタ未登録")</f>
        <v>福利厚生費</v>
      </c>
      <c r="B29" s="53" t="str">
        <f>IF(AND(C29&lt;&gt;"", COUNTIF('マスタ'!$C:$C, C29)=0), "マスタ未登録", "")</f>
        <v/>
      </c>
      <c r="C29" s="53" t="str">
        <f t="shared" si="1"/>
        <v>福利厚生費</v>
      </c>
      <c r="D29" s="10"/>
      <c r="E29" s="10"/>
      <c r="F29" s="10" t="s">
        <v>75</v>
      </c>
      <c r="G29" s="10"/>
      <c r="H29" s="10"/>
      <c r="I29" s="10"/>
      <c r="J29" s="97">
        <v>432775.0</v>
      </c>
      <c r="K29" s="97">
        <v>35630.0</v>
      </c>
      <c r="L29" s="97">
        <v>0.0</v>
      </c>
      <c r="M29" s="97">
        <v>0.0</v>
      </c>
      <c r="N29" s="97">
        <v>0.0</v>
      </c>
      <c r="O29" s="97">
        <v>0.0</v>
      </c>
      <c r="P29" s="97">
        <v>0.0</v>
      </c>
      <c r="Q29" s="97">
        <v>0.0</v>
      </c>
      <c r="R29" s="97">
        <v>0.0</v>
      </c>
      <c r="S29" s="97">
        <v>0.0</v>
      </c>
      <c r="T29" s="97">
        <v>0.0</v>
      </c>
      <c r="U29" s="97">
        <v>0.0</v>
      </c>
      <c r="V29" s="97">
        <v>468405.0</v>
      </c>
      <c r="W29" s="10"/>
      <c r="X29" s="10"/>
      <c r="Y29" s="10"/>
      <c r="Z29" s="10"/>
      <c r="AA29" s="10"/>
      <c r="AB29" s="10"/>
      <c r="AC29" s="10"/>
    </row>
    <row r="30" ht="15.75" customHeight="1">
      <c r="A30" s="59" t="str">
        <f t="array" ref="A30">XLOOKUP(C30, 'マスタ'!$C$2:$C$312, 'マスタ'!$D$2:$D$312, "マスタ未登録")</f>
        <v>旅費交通費</v>
      </c>
      <c r="B30" s="53" t="str">
        <f>IF(AND(C30&lt;&gt;"", COUNTIF('マスタ'!$C:$C, C30)=0), "マスタ未登録", "")</f>
        <v/>
      </c>
      <c r="C30" s="53" t="str">
        <f t="shared" si="1"/>
        <v>旅費交通費</v>
      </c>
      <c r="D30" s="10"/>
      <c r="E30" s="10"/>
      <c r="F30" s="10" t="s">
        <v>83</v>
      </c>
      <c r="G30" s="10"/>
      <c r="H30" s="10"/>
      <c r="I30" s="10"/>
      <c r="J30" s="97">
        <v>136176.0</v>
      </c>
      <c r="K30" s="97">
        <v>0.0</v>
      </c>
      <c r="L30" s="97">
        <v>0.0</v>
      </c>
      <c r="M30" s="97">
        <v>0.0</v>
      </c>
      <c r="N30" s="97">
        <v>0.0</v>
      </c>
      <c r="O30" s="97">
        <v>0.0</v>
      </c>
      <c r="P30" s="97">
        <v>0.0</v>
      </c>
      <c r="Q30" s="97">
        <v>0.0</v>
      </c>
      <c r="R30" s="97">
        <v>0.0</v>
      </c>
      <c r="S30" s="97">
        <v>0.0</v>
      </c>
      <c r="T30" s="97">
        <v>0.0</v>
      </c>
      <c r="U30" s="97">
        <v>0.0</v>
      </c>
      <c r="V30" s="97">
        <v>136176.0</v>
      </c>
      <c r="W30" s="10"/>
      <c r="X30" s="10"/>
      <c r="Y30" s="10"/>
      <c r="Z30" s="10"/>
      <c r="AA30" s="10"/>
      <c r="AB30" s="10"/>
      <c r="AC30" s="10"/>
    </row>
    <row r="31" ht="15.75" customHeight="1">
      <c r="A31" s="59" t="str">
        <f t="array" ref="A31">XLOOKUP(C31, 'マスタ'!$C$2:$C$312, 'マスタ'!$D$2:$D$312, "マスタ未登録")</f>
        <v>通信費</v>
      </c>
      <c r="B31" s="53" t="str">
        <f>IF(AND(C31&lt;&gt;"", COUNTIF('マスタ'!$C:$C, C31)=0), "マスタ未登録", "")</f>
        <v/>
      </c>
      <c r="C31" s="53" t="str">
        <f t="shared" si="1"/>
        <v>通信費</v>
      </c>
      <c r="D31" s="10"/>
      <c r="E31" s="10"/>
      <c r="F31" s="10" t="s">
        <v>84</v>
      </c>
      <c r="G31" s="10"/>
      <c r="H31" s="10"/>
      <c r="I31" s="10"/>
      <c r="J31" s="97">
        <v>2881969.0</v>
      </c>
      <c r="K31" s="97">
        <v>1908278.0</v>
      </c>
      <c r="L31" s="97">
        <v>0.0</v>
      </c>
      <c r="M31" s="97">
        <v>0.0</v>
      </c>
      <c r="N31" s="97">
        <v>0.0</v>
      </c>
      <c r="O31" s="97">
        <v>0.0</v>
      </c>
      <c r="P31" s="97">
        <v>0.0</v>
      </c>
      <c r="Q31" s="97">
        <v>0.0</v>
      </c>
      <c r="R31" s="97">
        <v>0.0</v>
      </c>
      <c r="S31" s="97">
        <v>0.0</v>
      </c>
      <c r="T31" s="97">
        <v>0.0</v>
      </c>
      <c r="U31" s="97">
        <v>0.0</v>
      </c>
      <c r="V31" s="97">
        <v>4790247.0</v>
      </c>
      <c r="W31" s="10"/>
      <c r="X31" s="10"/>
      <c r="Y31" s="10"/>
      <c r="Z31" s="10"/>
      <c r="AA31" s="10"/>
      <c r="AB31" s="10"/>
      <c r="AC31" s="10"/>
    </row>
    <row r="32" ht="15.75" customHeight="1">
      <c r="A32" s="59" t="str">
        <f t="array" ref="A32">XLOOKUP(C32, 'マスタ'!$C$2:$C$312, 'マスタ'!$D$2:$D$312, "マスタ未登録")</f>
        <v>採用教育費</v>
      </c>
      <c r="B32" s="53" t="str">
        <f>IF(AND(C32&lt;&gt;"", COUNTIF('マスタ'!$C:$C, C32)=0), "マスタ未登録", "")</f>
        <v/>
      </c>
      <c r="C32" s="53" t="str">
        <f t="shared" si="1"/>
        <v>採用教育費</v>
      </c>
      <c r="D32" s="10"/>
      <c r="E32" s="10"/>
      <c r="F32" s="10" t="s">
        <v>77</v>
      </c>
      <c r="G32" s="10"/>
      <c r="H32" s="10"/>
      <c r="I32" s="10"/>
      <c r="J32" s="97">
        <v>72000.0</v>
      </c>
      <c r="K32" s="97">
        <v>45000.0</v>
      </c>
      <c r="L32" s="97">
        <v>0.0</v>
      </c>
      <c r="M32" s="97">
        <v>0.0</v>
      </c>
      <c r="N32" s="97">
        <v>0.0</v>
      </c>
      <c r="O32" s="97">
        <v>0.0</v>
      </c>
      <c r="P32" s="97">
        <v>0.0</v>
      </c>
      <c r="Q32" s="97">
        <v>0.0</v>
      </c>
      <c r="R32" s="97">
        <v>0.0</v>
      </c>
      <c r="S32" s="97">
        <v>0.0</v>
      </c>
      <c r="T32" s="97">
        <v>0.0</v>
      </c>
      <c r="U32" s="97">
        <v>0.0</v>
      </c>
      <c r="V32" s="97">
        <v>117000.0</v>
      </c>
      <c r="W32" s="10"/>
      <c r="X32" s="10"/>
      <c r="Y32" s="10"/>
      <c r="Z32" s="10"/>
      <c r="AA32" s="10"/>
      <c r="AB32" s="10"/>
      <c r="AC32" s="10"/>
    </row>
    <row r="33" ht="15.75" customHeight="1">
      <c r="A33" s="59" t="str">
        <f t="array" ref="A33">XLOOKUP(C33, 'マスタ'!$C$2:$C$312, 'マスタ'!$D$2:$D$312, "マスタ未登録")</f>
        <v>業務委託費</v>
      </c>
      <c r="B33" s="53" t="str">
        <f>IF(AND(C33&lt;&gt;"", COUNTIF('マスタ'!$C:$C, C33)=0), "マスタ未登録", "")</f>
        <v/>
      </c>
      <c r="C33" s="53" t="str">
        <f t="shared" si="1"/>
        <v>業務委託費</v>
      </c>
      <c r="D33" s="10"/>
      <c r="E33" s="10"/>
      <c r="F33" s="10" t="s">
        <v>78</v>
      </c>
      <c r="G33" s="10"/>
      <c r="H33" s="10"/>
      <c r="I33" s="10"/>
      <c r="J33" s="97">
        <v>1.0327403E7</v>
      </c>
      <c r="K33" s="97">
        <v>0.0</v>
      </c>
      <c r="L33" s="97">
        <v>0.0</v>
      </c>
      <c r="M33" s="97">
        <v>0.0</v>
      </c>
      <c r="N33" s="97">
        <v>0.0</v>
      </c>
      <c r="O33" s="97">
        <v>0.0</v>
      </c>
      <c r="P33" s="97">
        <v>0.0</v>
      </c>
      <c r="Q33" s="97">
        <v>0.0</v>
      </c>
      <c r="R33" s="97">
        <v>0.0</v>
      </c>
      <c r="S33" s="97">
        <v>0.0</v>
      </c>
      <c r="T33" s="97">
        <v>0.0</v>
      </c>
      <c r="U33" s="97">
        <v>0.0</v>
      </c>
      <c r="V33" s="97">
        <v>1.0327403E7</v>
      </c>
      <c r="W33" s="10"/>
      <c r="X33" s="10"/>
      <c r="Y33" s="10"/>
      <c r="Z33" s="10"/>
      <c r="AA33" s="10"/>
      <c r="AB33" s="10"/>
      <c r="AC33" s="10"/>
    </row>
    <row r="34" ht="15.75" customHeight="1">
      <c r="A34" s="59" t="str">
        <f t="array" ref="A34">XLOOKUP(C34, 'マスタ'!$C$2:$C$312, 'マスタ'!$D$2:$D$312, "マスタ未登録")</f>
        <v>支払報酬</v>
      </c>
      <c r="B34" s="53" t="str">
        <f>IF(AND(C34&lt;&gt;"", COUNTIF('マスタ'!$C:$C, C34)=0), "マスタ未登録", "")</f>
        <v/>
      </c>
      <c r="C34" s="53" t="str">
        <f t="shared" si="1"/>
        <v>支払報酬料</v>
      </c>
      <c r="D34" s="10"/>
      <c r="E34" s="10"/>
      <c r="F34" s="10" t="s">
        <v>239</v>
      </c>
      <c r="G34" s="10"/>
      <c r="H34" s="10"/>
      <c r="I34" s="10"/>
      <c r="J34" s="97">
        <v>580000.0</v>
      </c>
      <c r="K34" s="97">
        <v>360000.0</v>
      </c>
      <c r="L34" s="97">
        <v>0.0</v>
      </c>
      <c r="M34" s="97">
        <v>0.0</v>
      </c>
      <c r="N34" s="97">
        <v>0.0</v>
      </c>
      <c r="O34" s="97">
        <v>0.0</v>
      </c>
      <c r="P34" s="97">
        <v>0.0</v>
      </c>
      <c r="Q34" s="97">
        <v>0.0</v>
      </c>
      <c r="R34" s="97">
        <v>0.0</v>
      </c>
      <c r="S34" s="97">
        <v>0.0</v>
      </c>
      <c r="T34" s="97">
        <v>0.0</v>
      </c>
      <c r="U34" s="97">
        <v>0.0</v>
      </c>
      <c r="V34" s="97">
        <v>940000.0</v>
      </c>
      <c r="W34" s="10"/>
      <c r="X34" s="10"/>
      <c r="Y34" s="10"/>
      <c r="Z34" s="10"/>
      <c r="AA34" s="10"/>
      <c r="AB34" s="10"/>
      <c r="AC34" s="10"/>
    </row>
    <row r="35" ht="15.75" customHeight="1">
      <c r="A35" s="59" t="str">
        <f t="array" ref="A35">XLOOKUP(C35, 'マスタ'!$C$2:$C$312, 'マスタ'!$D$2:$D$312, "マスタ未登録")</f>
        <v>広告宣伝費</v>
      </c>
      <c r="B35" s="53" t="str">
        <f>IF(AND(C35&lt;&gt;"", COUNTIF('マスタ'!$C:$C, C35)=0), "マスタ未登録", "")</f>
        <v/>
      </c>
      <c r="C35" s="53" t="str">
        <f t="shared" si="1"/>
        <v>広告宣伝費</v>
      </c>
      <c r="D35" s="10"/>
      <c r="E35" s="10"/>
      <c r="F35" s="10" t="s">
        <v>81</v>
      </c>
      <c r="G35" s="10"/>
      <c r="H35" s="10"/>
      <c r="I35" s="10"/>
      <c r="J35" s="97">
        <v>213775.0</v>
      </c>
      <c r="K35" s="97">
        <v>0.0</v>
      </c>
      <c r="L35" s="97">
        <v>0.0</v>
      </c>
      <c r="M35" s="97">
        <v>0.0</v>
      </c>
      <c r="N35" s="97">
        <v>0.0</v>
      </c>
      <c r="O35" s="97">
        <v>0.0</v>
      </c>
      <c r="P35" s="97">
        <v>0.0</v>
      </c>
      <c r="Q35" s="97">
        <v>0.0</v>
      </c>
      <c r="R35" s="97">
        <v>0.0</v>
      </c>
      <c r="S35" s="97">
        <v>0.0</v>
      </c>
      <c r="T35" s="97">
        <v>0.0</v>
      </c>
      <c r="U35" s="97">
        <v>0.0</v>
      </c>
      <c r="V35" s="97">
        <v>213775.0</v>
      </c>
      <c r="W35" s="10"/>
      <c r="X35" s="10"/>
      <c r="Y35" s="10"/>
      <c r="Z35" s="10"/>
      <c r="AA35" s="10"/>
      <c r="AB35" s="10"/>
      <c r="AC35" s="10"/>
    </row>
    <row r="36" ht="15.75" customHeight="1">
      <c r="A36" s="59" t="str">
        <f t="array" ref="A36">XLOOKUP(C36, 'マスタ'!$C$2:$C$312, 'マスタ'!$D$2:$D$312, "マスタ未登録")</f>
        <v>荷造運賃</v>
      </c>
      <c r="B36" s="53" t="str">
        <f>IF(AND(C36&lt;&gt;"", COUNTIF('マスタ'!$C:$C, C36)=0), "マスタ未登録", "")</f>
        <v/>
      </c>
      <c r="C36" s="53" t="str">
        <f t="shared" si="1"/>
        <v>荷造運賃</v>
      </c>
      <c r="D36" s="10"/>
      <c r="E36" s="10"/>
      <c r="F36" s="10" t="s">
        <v>80</v>
      </c>
      <c r="G36" s="10"/>
      <c r="H36" s="10"/>
      <c r="I36" s="10"/>
      <c r="J36" s="97">
        <v>7070.0</v>
      </c>
      <c r="K36" s="97">
        <v>0.0</v>
      </c>
      <c r="L36" s="97">
        <v>0.0</v>
      </c>
      <c r="M36" s="97">
        <v>0.0</v>
      </c>
      <c r="N36" s="97">
        <v>0.0</v>
      </c>
      <c r="O36" s="97">
        <v>0.0</v>
      </c>
      <c r="P36" s="97">
        <v>0.0</v>
      </c>
      <c r="Q36" s="97">
        <v>0.0</v>
      </c>
      <c r="R36" s="97">
        <v>0.0</v>
      </c>
      <c r="S36" s="97">
        <v>0.0</v>
      </c>
      <c r="T36" s="97">
        <v>0.0</v>
      </c>
      <c r="U36" s="97">
        <v>0.0</v>
      </c>
      <c r="V36" s="97">
        <v>7070.0</v>
      </c>
      <c r="W36" s="10"/>
      <c r="X36" s="10"/>
      <c r="Y36" s="10"/>
      <c r="Z36" s="10"/>
      <c r="AA36" s="10"/>
      <c r="AB36" s="10"/>
      <c r="AC36" s="10"/>
    </row>
    <row r="37" ht="15.75" customHeight="1">
      <c r="A37" s="59" t="str">
        <f t="array" ref="A37">XLOOKUP(C37, 'マスタ'!$C$2:$C$312, 'マスタ'!$D$2:$D$312, "マスタ未登録")</f>
        <v>水道光熱費</v>
      </c>
      <c r="B37" s="53" t="str">
        <f>IF(AND(C37&lt;&gt;"", COUNTIF('マスタ'!$C:$C, C37)=0), "マスタ未登録", "")</f>
        <v/>
      </c>
      <c r="C37" s="53" t="str">
        <f t="shared" si="1"/>
        <v>水道光熱費</v>
      </c>
      <c r="D37" s="10"/>
      <c r="E37" s="10"/>
      <c r="F37" s="10" t="s">
        <v>178</v>
      </c>
      <c r="G37" s="10"/>
      <c r="H37" s="10"/>
      <c r="I37" s="10"/>
      <c r="J37" s="97">
        <v>367893.0</v>
      </c>
      <c r="K37" s="97">
        <v>0.0</v>
      </c>
      <c r="L37" s="97">
        <v>0.0</v>
      </c>
      <c r="M37" s="97">
        <v>0.0</v>
      </c>
      <c r="N37" s="97">
        <v>0.0</v>
      </c>
      <c r="O37" s="97">
        <v>0.0</v>
      </c>
      <c r="P37" s="97">
        <v>0.0</v>
      </c>
      <c r="Q37" s="97">
        <v>0.0</v>
      </c>
      <c r="R37" s="97">
        <v>0.0</v>
      </c>
      <c r="S37" s="97">
        <v>0.0</v>
      </c>
      <c r="T37" s="97">
        <v>0.0</v>
      </c>
      <c r="U37" s="97">
        <v>0.0</v>
      </c>
      <c r="V37" s="97">
        <v>367893.0</v>
      </c>
      <c r="W37" s="10"/>
      <c r="X37" s="10"/>
      <c r="Y37" s="10"/>
      <c r="Z37" s="10"/>
      <c r="AA37" s="10"/>
      <c r="AB37" s="10"/>
      <c r="AC37" s="10"/>
    </row>
    <row r="38" ht="15.75" customHeight="1">
      <c r="A38" s="59" t="str">
        <f t="array" ref="A38">XLOOKUP(C38, 'マスタ'!$C$2:$C$312, 'マスタ'!$D$2:$D$312, "マスタ未登録")</f>
        <v>支払手数料</v>
      </c>
      <c r="B38" s="53" t="str">
        <f>IF(AND(C38&lt;&gt;"", COUNTIF('マスタ'!$C:$C, C38)=0), "マスタ未登録", "")</f>
        <v/>
      </c>
      <c r="C38" s="53" t="str">
        <f t="shared" si="1"/>
        <v>支払手数料</v>
      </c>
      <c r="D38" s="10"/>
      <c r="E38" s="10"/>
      <c r="F38" s="10" t="s">
        <v>92</v>
      </c>
      <c r="G38" s="10"/>
      <c r="H38" s="10"/>
      <c r="I38" s="10"/>
      <c r="J38" s="97">
        <v>2527153.0</v>
      </c>
      <c r="K38" s="97">
        <v>0.0</v>
      </c>
      <c r="L38" s="97">
        <v>0.0</v>
      </c>
      <c r="M38" s="97">
        <v>0.0</v>
      </c>
      <c r="N38" s="97">
        <v>0.0</v>
      </c>
      <c r="O38" s="97">
        <v>0.0</v>
      </c>
      <c r="P38" s="97">
        <v>0.0</v>
      </c>
      <c r="Q38" s="97">
        <v>0.0</v>
      </c>
      <c r="R38" s="97">
        <v>0.0</v>
      </c>
      <c r="S38" s="97">
        <v>0.0</v>
      </c>
      <c r="T38" s="97">
        <v>0.0</v>
      </c>
      <c r="U38" s="97">
        <v>0.0</v>
      </c>
      <c r="V38" s="97">
        <v>2527153.0</v>
      </c>
      <c r="W38" s="10"/>
      <c r="X38" s="10"/>
      <c r="Y38" s="10"/>
      <c r="Z38" s="10"/>
      <c r="AA38" s="10"/>
      <c r="AB38" s="10"/>
      <c r="AC38" s="10"/>
    </row>
    <row r="39" ht="15.75" customHeight="1">
      <c r="A39" s="59" t="str">
        <f t="array" ref="A39">XLOOKUP(C39, 'マスタ'!$C$2:$C$312, 'マスタ'!$D$2:$D$312, "マスタ未登録")</f>
        <v>地代家賃</v>
      </c>
      <c r="B39" s="53" t="str">
        <f>IF(AND(C39&lt;&gt;"", COUNTIF('マスタ'!$C:$C, C39)=0), "マスタ未登録", "")</f>
        <v/>
      </c>
      <c r="C39" s="53" t="str">
        <f t="shared" si="1"/>
        <v>地代家賃</v>
      </c>
      <c r="D39" s="10"/>
      <c r="E39" s="10"/>
      <c r="F39" s="10" t="s">
        <v>87</v>
      </c>
      <c r="G39" s="10"/>
      <c r="H39" s="10"/>
      <c r="I39" s="10"/>
      <c r="J39" s="97">
        <v>9547760.0</v>
      </c>
      <c r="K39" s="97">
        <v>8683760.0</v>
      </c>
      <c r="L39" s="97">
        <v>0.0</v>
      </c>
      <c r="M39" s="97">
        <v>0.0</v>
      </c>
      <c r="N39" s="97">
        <v>0.0</v>
      </c>
      <c r="O39" s="97">
        <v>0.0</v>
      </c>
      <c r="P39" s="97">
        <v>0.0</v>
      </c>
      <c r="Q39" s="97">
        <v>0.0</v>
      </c>
      <c r="R39" s="97">
        <v>0.0</v>
      </c>
      <c r="S39" s="97">
        <v>0.0</v>
      </c>
      <c r="T39" s="97">
        <v>0.0</v>
      </c>
      <c r="U39" s="97">
        <v>0.0</v>
      </c>
      <c r="V39" s="97">
        <v>1.823152E7</v>
      </c>
      <c r="W39" s="10"/>
      <c r="X39" s="10"/>
      <c r="Y39" s="10"/>
      <c r="Z39" s="10"/>
      <c r="AA39" s="10"/>
      <c r="AB39" s="10"/>
      <c r="AC39" s="10"/>
    </row>
    <row r="40" ht="15.75" customHeight="1">
      <c r="A40" s="59" t="str">
        <f t="array" ref="A40">XLOOKUP(C40, 'マスタ'!$C$2:$C$312, 'マスタ'!$D$2:$D$312, "マスタ未登録")</f>
        <v>消耗品費</v>
      </c>
      <c r="B40" s="53" t="str">
        <f>IF(AND(C40&lt;&gt;"", COUNTIF('マスタ'!$C:$C, C40)=0), "マスタ未登録", "")</f>
        <v/>
      </c>
      <c r="C40" s="53" t="str">
        <f t="shared" si="1"/>
        <v>消耗品費</v>
      </c>
      <c r="D40" s="10"/>
      <c r="E40" s="10"/>
      <c r="F40" s="10" t="s">
        <v>86</v>
      </c>
      <c r="G40" s="10"/>
      <c r="H40" s="10"/>
      <c r="I40" s="10"/>
      <c r="J40" s="97">
        <v>353434.0</v>
      </c>
      <c r="K40" s="97">
        <v>0.0</v>
      </c>
      <c r="L40" s="97">
        <v>0.0</v>
      </c>
      <c r="M40" s="97">
        <v>0.0</v>
      </c>
      <c r="N40" s="97">
        <v>0.0</v>
      </c>
      <c r="O40" s="97">
        <v>0.0</v>
      </c>
      <c r="P40" s="97">
        <v>0.0</v>
      </c>
      <c r="Q40" s="97">
        <v>0.0</v>
      </c>
      <c r="R40" s="97">
        <v>0.0</v>
      </c>
      <c r="S40" s="97">
        <v>0.0</v>
      </c>
      <c r="T40" s="97">
        <v>0.0</v>
      </c>
      <c r="U40" s="97">
        <v>0.0</v>
      </c>
      <c r="V40" s="97">
        <v>353434.0</v>
      </c>
      <c r="W40" s="10"/>
      <c r="X40" s="10"/>
      <c r="Y40" s="10"/>
      <c r="Z40" s="10"/>
      <c r="AA40" s="10"/>
      <c r="AB40" s="10"/>
      <c r="AC40" s="10"/>
    </row>
    <row r="41" ht="15.75" customHeight="1">
      <c r="A41" s="59" t="str">
        <f t="array" ref="A41">XLOOKUP(C41, 'マスタ'!$C$2:$C$312, 'マスタ'!$D$2:$D$312, "マスタ未登録")</f>
        <v>接待交際費</v>
      </c>
      <c r="B41" s="53" t="str">
        <f>IF(AND(C41&lt;&gt;"", COUNTIF('マスタ'!$C:$C, C41)=0), "マスタ未登録", "")</f>
        <v/>
      </c>
      <c r="C41" s="53" t="str">
        <f t="shared" si="1"/>
        <v>交際費（11,000円以下/人）</v>
      </c>
      <c r="D41" s="10"/>
      <c r="E41" s="10"/>
      <c r="F41" s="10" t="s">
        <v>240</v>
      </c>
      <c r="G41" s="10"/>
      <c r="H41" s="10"/>
      <c r="I41" s="10"/>
      <c r="J41" s="97">
        <v>57273.0</v>
      </c>
      <c r="K41" s="97">
        <v>0.0</v>
      </c>
      <c r="L41" s="97">
        <v>0.0</v>
      </c>
      <c r="M41" s="97">
        <v>0.0</v>
      </c>
      <c r="N41" s="97">
        <v>0.0</v>
      </c>
      <c r="O41" s="97">
        <v>0.0</v>
      </c>
      <c r="P41" s="97">
        <v>0.0</v>
      </c>
      <c r="Q41" s="97">
        <v>0.0</v>
      </c>
      <c r="R41" s="97">
        <v>0.0</v>
      </c>
      <c r="S41" s="97">
        <v>0.0</v>
      </c>
      <c r="T41" s="97">
        <v>0.0</v>
      </c>
      <c r="U41" s="97">
        <v>0.0</v>
      </c>
      <c r="V41" s="97">
        <v>57273.0</v>
      </c>
      <c r="W41" s="10"/>
      <c r="X41" s="10"/>
      <c r="Y41" s="10"/>
      <c r="Z41" s="10"/>
      <c r="AA41" s="10"/>
      <c r="AB41" s="10"/>
      <c r="AC41" s="10"/>
    </row>
    <row r="42" ht="15.75" customHeight="1">
      <c r="A42" s="59" t="str">
        <f t="array" ref="A42">XLOOKUP(C42, 'マスタ'!$C$2:$C$312, 'マスタ'!$D$2:$D$312, "マスタ未登録")</f>
        <v>接待交際費</v>
      </c>
      <c r="B42" s="53" t="str">
        <f>IF(AND(C42&lt;&gt;"", COUNTIF('マスタ'!$C:$C, C42)=0), "マスタ未登録", "")</f>
        <v/>
      </c>
      <c r="C42" s="53" t="str">
        <f t="shared" si="1"/>
        <v>交際費（その他）</v>
      </c>
      <c r="D42" s="10"/>
      <c r="E42" s="10"/>
      <c r="F42" s="10" t="s">
        <v>242</v>
      </c>
      <c r="G42" s="10"/>
      <c r="H42" s="10"/>
      <c r="I42" s="10"/>
      <c r="J42" s="97">
        <v>4567.0</v>
      </c>
      <c r="K42" s="97">
        <v>0.0</v>
      </c>
      <c r="L42" s="97">
        <v>0.0</v>
      </c>
      <c r="M42" s="97">
        <v>0.0</v>
      </c>
      <c r="N42" s="97">
        <v>0.0</v>
      </c>
      <c r="O42" s="97">
        <v>0.0</v>
      </c>
      <c r="P42" s="97">
        <v>0.0</v>
      </c>
      <c r="Q42" s="97">
        <v>0.0</v>
      </c>
      <c r="R42" s="97">
        <v>0.0</v>
      </c>
      <c r="S42" s="97">
        <v>0.0</v>
      </c>
      <c r="T42" s="97">
        <v>0.0</v>
      </c>
      <c r="U42" s="97">
        <v>0.0</v>
      </c>
      <c r="V42" s="97">
        <v>4567.0</v>
      </c>
      <c r="W42" s="10"/>
      <c r="X42" s="10"/>
      <c r="Y42" s="10"/>
      <c r="Z42" s="10"/>
      <c r="AA42" s="10"/>
      <c r="AB42" s="10"/>
      <c r="AC42" s="10"/>
    </row>
    <row r="43" ht="15.75" customHeight="1">
      <c r="A43" s="59" t="str">
        <f t="array" ref="A43">XLOOKUP(C43, 'マスタ'!$C$2:$C$312, 'マスタ'!$D$2:$D$312, "マスタ未登録")</f>
        <v>租税公課</v>
      </c>
      <c r="B43" s="53" t="str">
        <f>IF(AND(C43&lt;&gt;"", COUNTIF('マスタ'!$C:$C, C43)=0), "マスタ未登録", "")</f>
        <v/>
      </c>
      <c r="C43" s="53" t="str">
        <f t="shared" si="1"/>
        <v>租税公課</v>
      </c>
      <c r="D43" s="10"/>
      <c r="E43" s="10"/>
      <c r="F43" s="10" t="s">
        <v>91</v>
      </c>
      <c r="G43" s="10"/>
      <c r="H43" s="10"/>
      <c r="I43" s="10"/>
      <c r="J43" s="97">
        <v>7793.0</v>
      </c>
      <c r="K43" s="97">
        <v>1040.0</v>
      </c>
      <c r="L43" s="97">
        <v>0.0</v>
      </c>
      <c r="M43" s="97">
        <v>0.0</v>
      </c>
      <c r="N43" s="97">
        <v>0.0</v>
      </c>
      <c r="O43" s="97">
        <v>0.0</v>
      </c>
      <c r="P43" s="97">
        <v>0.0</v>
      </c>
      <c r="Q43" s="97">
        <v>0.0</v>
      </c>
      <c r="R43" s="97">
        <v>0.0</v>
      </c>
      <c r="S43" s="97">
        <v>0.0</v>
      </c>
      <c r="T43" s="97">
        <v>0.0</v>
      </c>
      <c r="U43" s="97">
        <v>0.0</v>
      </c>
      <c r="V43" s="97">
        <v>8833.0</v>
      </c>
      <c r="W43" s="10"/>
      <c r="X43" s="10"/>
      <c r="Y43" s="10"/>
      <c r="Z43" s="10"/>
      <c r="AA43" s="10"/>
      <c r="AB43" s="10"/>
      <c r="AC43" s="10"/>
    </row>
    <row r="44" ht="15.75" customHeight="1">
      <c r="A44" s="59" t="str">
        <f t="array" ref="A44">XLOOKUP(C44, 'マスタ'!$C$2:$C$312, 'マスタ'!$D$2:$D$312, "マスタ未登録")</f>
        <v>保険料</v>
      </c>
      <c r="B44" s="53" t="str">
        <f>IF(AND(C44&lt;&gt;"", COUNTIF('マスタ'!$C:$C, C44)=0), "マスタ未登録", "")</f>
        <v/>
      </c>
      <c r="C44" s="53" t="str">
        <f t="shared" si="1"/>
        <v>保険料</v>
      </c>
      <c r="D44" s="10"/>
      <c r="E44" s="10"/>
      <c r="F44" s="10" t="s">
        <v>90</v>
      </c>
      <c r="G44" s="10"/>
      <c r="H44" s="10"/>
      <c r="I44" s="10"/>
      <c r="J44" s="97">
        <v>10719.0</v>
      </c>
      <c r="K44" s="97">
        <v>10719.0</v>
      </c>
      <c r="L44" s="97">
        <v>0.0</v>
      </c>
      <c r="M44" s="97">
        <v>0.0</v>
      </c>
      <c r="N44" s="97">
        <v>0.0</v>
      </c>
      <c r="O44" s="97">
        <v>0.0</v>
      </c>
      <c r="P44" s="97">
        <v>0.0</v>
      </c>
      <c r="Q44" s="97">
        <v>0.0</v>
      </c>
      <c r="R44" s="97">
        <v>0.0</v>
      </c>
      <c r="S44" s="97">
        <v>0.0</v>
      </c>
      <c r="T44" s="97">
        <v>0.0</v>
      </c>
      <c r="U44" s="97">
        <v>0.0</v>
      </c>
      <c r="V44" s="97">
        <v>21438.0</v>
      </c>
      <c r="W44" s="10"/>
      <c r="X44" s="10"/>
      <c r="Y44" s="10"/>
      <c r="Z44" s="10"/>
      <c r="AA44" s="10"/>
      <c r="AB44" s="10"/>
      <c r="AC44" s="10"/>
    </row>
    <row r="45" ht="15.75" customHeight="1">
      <c r="A45" s="59" t="str">
        <f t="array" ref="A45">XLOOKUP(C45, 'マスタ'!$C$2:$C$312, 'マスタ'!$D$2:$D$312, "マスタ未登録")</f>
        <v>減価償却費</v>
      </c>
      <c r="B45" s="53" t="str">
        <f>IF(AND(C45&lt;&gt;"", COUNTIF('マスタ'!$C:$C, C45)=0), "マスタ未登録", "")</f>
        <v/>
      </c>
      <c r="C45" s="53" t="str">
        <f t="shared" si="1"/>
        <v>減価償却費</v>
      </c>
      <c r="D45" s="10"/>
      <c r="E45" s="10"/>
      <c r="F45" s="10" t="s">
        <v>95</v>
      </c>
      <c r="G45" s="10"/>
      <c r="H45" s="10"/>
      <c r="I45" s="10"/>
      <c r="J45" s="97">
        <v>1604637.0</v>
      </c>
      <c r="K45" s="97">
        <v>0.0</v>
      </c>
      <c r="L45" s="97">
        <v>0.0</v>
      </c>
      <c r="M45" s="97">
        <v>0.0</v>
      </c>
      <c r="N45" s="97">
        <v>0.0</v>
      </c>
      <c r="O45" s="97">
        <v>0.0</v>
      </c>
      <c r="P45" s="97">
        <v>0.0</v>
      </c>
      <c r="Q45" s="97">
        <v>0.0</v>
      </c>
      <c r="R45" s="97">
        <v>0.0</v>
      </c>
      <c r="S45" s="97">
        <v>0.0</v>
      </c>
      <c r="T45" s="97">
        <v>0.0</v>
      </c>
      <c r="U45" s="97">
        <v>0.0</v>
      </c>
      <c r="V45" s="97">
        <v>1604637.0</v>
      </c>
      <c r="W45" s="10"/>
      <c r="X45" s="10"/>
      <c r="Y45" s="10"/>
      <c r="Z45" s="10"/>
      <c r="AA45" s="10"/>
      <c r="AB45" s="10"/>
      <c r="AC45" s="10"/>
    </row>
    <row r="46" ht="15.75" customHeight="1">
      <c r="A46" s="59" t="str">
        <f t="array" ref="A46">XLOOKUP(C46, 'マスタ'!$C$2:$C$312, 'マスタ'!$D$2:$D$312, "マスタ未登録")</f>
        <v>マスタ未登録</v>
      </c>
      <c r="B46" s="53" t="str">
        <f>IF(AND(C46&lt;&gt;"", COUNTIF('マスタ'!$C:$C, C46)=0), "マスタ未登録", "")</f>
        <v>マスタ未登録</v>
      </c>
      <c r="C46" s="53" t="str">
        <f t="shared" si="1"/>
        <v>販売管理費 計</v>
      </c>
      <c r="D46" s="10"/>
      <c r="E46" s="10" t="s">
        <v>183</v>
      </c>
      <c r="F46" s="10"/>
      <c r="G46" s="10"/>
      <c r="H46" s="10"/>
      <c r="I46" s="10"/>
      <c r="J46" s="97">
        <v>3.9385617E7</v>
      </c>
      <c r="K46" s="97">
        <v>1.1044427E7</v>
      </c>
      <c r="L46" s="97">
        <v>0.0</v>
      </c>
      <c r="M46" s="97">
        <v>0.0</v>
      </c>
      <c r="N46" s="97">
        <v>0.0</v>
      </c>
      <c r="O46" s="97">
        <v>0.0</v>
      </c>
      <c r="P46" s="97">
        <v>0.0</v>
      </c>
      <c r="Q46" s="97">
        <v>0.0</v>
      </c>
      <c r="R46" s="97">
        <v>0.0</v>
      </c>
      <c r="S46" s="97">
        <v>0.0</v>
      </c>
      <c r="T46" s="97">
        <v>0.0</v>
      </c>
      <c r="U46" s="97">
        <v>0.0</v>
      </c>
      <c r="V46" s="97">
        <v>5.0430044E7</v>
      </c>
      <c r="W46" s="10"/>
      <c r="X46" s="10"/>
      <c r="Y46" s="10"/>
      <c r="Z46" s="10"/>
      <c r="AA46" s="10"/>
      <c r="AB46" s="10"/>
      <c r="AC46" s="10"/>
    </row>
    <row r="47" ht="15.75" customHeight="1">
      <c r="A47" s="59" t="str">
        <f t="array" ref="A47">XLOOKUP(C47, 'マスタ'!$C$2:$C$312, 'マスタ'!$D$2:$D$312, "マスタ未登録")</f>
        <v>マスタ未登録</v>
      </c>
      <c r="B47" s="53" t="str">
        <f>IF(AND(C47&lt;&gt;"", COUNTIF('マスタ'!$C:$C, C47)=0), "マスタ未登録", "")</f>
        <v>マスタ未登録</v>
      </c>
      <c r="C47" s="53" t="str">
        <f t="shared" si="1"/>
        <v>営業損益金額</v>
      </c>
      <c r="D47" s="10" t="s">
        <v>184</v>
      </c>
      <c r="E47" s="10"/>
      <c r="F47" s="10"/>
      <c r="G47" s="10"/>
      <c r="H47" s="10"/>
      <c r="I47" s="10"/>
      <c r="J47" s="97">
        <v>-9.596761E7</v>
      </c>
      <c r="K47" s="97">
        <v>-1.1947866E7</v>
      </c>
      <c r="L47" s="97">
        <v>0.0</v>
      </c>
      <c r="M47" s="97">
        <v>0.0</v>
      </c>
      <c r="N47" s="97">
        <v>0.0</v>
      </c>
      <c r="O47" s="97">
        <v>0.0</v>
      </c>
      <c r="P47" s="97">
        <v>0.0</v>
      </c>
      <c r="Q47" s="97">
        <v>0.0</v>
      </c>
      <c r="R47" s="97">
        <v>0.0</v>
      </c>
      <c r="S47" s="97">
        <v>0.0</v>
      </c>
      <c r="T47" s="97">
        <v>0.0</v>
      </c>
      <c r="U47" s="97">
        <v>0.0</v>
      </c>
      <c r="V47" s="97">
        <v>-1.07915476E8</v>
      </c>
      <c r="W47" s="10"/>
      <c r="X47" s="10"/>
      <c r="Y47" s="10"/>
      <c r="Z47" s="10"/>
      <c r="AA47" s="10"/>
      <c r="AB47" s="10"/>
      <c r="AC47" s="10"/>
    </row>
    <row r="48" ht="15.75" customHeight="1">
      <c r="A48" s="59" t="str">
        <f t="array" ref="A48">XLOOKUP(C48, 'マスタ'!$C$2:$C$312, 'マスタ'!$D$2:$D$312, "マスタ未登録")</f>
        <v>マスタ未登録</v>
      </c>
      <c r="B48" s="53" t="str">
        <f>IF(AND(C48&lt;&gt;"", COUNTIF('マスタ'!$C:$C, C48)=0), "マスタ未登録", "")</f>
        <v>マスタ未登録</v>
      </c>
      <c r="C48" s="53" t="str">
        <f t="shared" si="1"/>
        <v>営業外収益</v>
      </c>
      <c r="D48" s="10"/>
      <c r="E48" s="10" t="s">
        <v>32</v>
      </c>
      <c r="F48" s="10"/>
      <c r="G48" s="10"/>
      <c r="H48" s="10"/>
      <c r="I48" s="10"/>
      <c r="J48" s="97">
        <v>94903.0</v>
      </c>
      <c r="K48" s="97">
        <v>30147.0</v>
      </c>
      <c r="L48" s="97">
        <v>0.0</v>
      </c>
      <c r="M48" s="97">
        <v>0.0</v>
      </c>
      <c r="N48" s="97">
        <v>0.0</v>
      </c>
      <c r="O48" s="97">
        <v>0.0</v>
      </c>
      <c r="P48" s="97">
        <v>0.0</v>
      </c>
      <c r="Q48" s="97">
        <v>0.0</v>
      </c>
      <c r="R48" s="97">
        <v>0.0</v>
      </c>
      <c r="S48" s="97">
        <v>0.0</v>
      </c>
      <c r="T48" s="97">
        <v>0.0</v>
      </c>
      <c r="U48" s="97">
        <v>0.0</v>
      </c>
      <c r="V48" s="97">
        <v>125050.0</v>
      </c>
      <c r="W48" s="10"/>
      <c r="X48" s="10"/>
      <c r="Y48" s="10"/>
      <c r="Z48" s="10"/>
      <c r="AA48" s="10"/>
      <c r="AB48" s="10"/>
      <c r="AC48" s="10"/>
    </row>
    <row r="49" ht="15.75" customHeight="1">
      <c r="A49" s="59" t="str">
        <f t="array" ref="A49">XLOOKUP(C49, 'マスタ'!$C$2:$C$312, 'マスタ'!$D$2:$D$312, "マスタ未登録")</f>
        <v>受取利息</v>
      </c>
      <c r="B49" s="53" t="str">
        <f>IF(AND(C49&lt;&gt;"", COUNTIF('マスタ'!$C:$C, C49)=0), "マスタ未登録", "")</f>
        <v/>
      </c>
      <c r="C49" s="53" t="str">
        <f t="shared" si="1"/>
        <v>受取利息</v>
      </c>
      <c r="D49" s="10"/>
      <c r="E49" s="10"/>
      <c r="F49" s="10" t="s">
        <v>103</v>
      </c>
      <c r="G49" s="10"/>
      <c r="H49" s="10"/>
      <c r="I49" s="10"/>
      <c r="J49" s="97">
        <v>24774.0</v>
      </c>
      <c r="K49" s="97">
        <v>0.0</v>
      </c>
      <c r="L49" s="97">
        <v>0.0</v>
      </c>
      <c r="M49" s="97">
        <v>0.0</v>
      </c>
      <c r="N49" s="97">
        <v>0.0</v>
      </c>
      <c r="O49" s="97">
        <v>0.0</v>
      </c>
      <c r="P49" s="97">
        <v>0.0</v>
      </c>
      <c r="Q49" s="97">
        <v>0.0</v>
      </c>
      <c r="R49" s="97">
        <v>0.0</v>
      </c>
      <c r="S49" s="97">
        <v>0.0</v>
      </c>
      <c r="T49" s="97">
        <v>0.0</v>
      </c>
      <c r="U49" s="97">
        <v>0.0</v>
      </c>
      <c r="V49" s="97">
        <v>24774.0</v>
      </c>
      <c r="W49" s="10"/>
      <c r="X49" s="10"/>
      <c r="Y49" s="10"/>
      <c r="Z49" s="10"/>
      <c r="AA49" s="10"/>
      <c r="AB49" s="10"/>
      <c r="AC49" s="10"/>
    </row>
    <row r="50" ht="15.75" customHeight="1">
      <c r="A50" s="59" t="str">
        <f t="array" ref="A50">XLOOKUP(C50, 'マスタ'!$C$2:$C$312, 'マスタ'!$D$2:$D$312, "マスタ未登録")</f>
        <v>雑収入</v>
      </c>
      <c r="B50" s="53" t="str">
        <f>IF(AND(C50&lt;&gt;"", COUNTIF('マスタ'!$C:$C, C50)=0), "マスタ未登録", "")</f>
        <v/>
      </c>
      <c r="C50" s="53" t="str">
        <f t="shared" si="1"/>
        <v>雑収入</v>
      </c>
      <c r="D50" s="10"/>
      <c r="E50" s="10"/>
      <c r="F50" s="10" t="s">
        <v>108</v>
      </c>
      <c r="G50" s="10"/>
      <c r="H50" s="10"/>
      <c r="I50" s="10"/>
      <c r="J50" s="97">
        <v>70129.0</v>
      </c>
      <c r="K50" s="97">
        <v>30147.0</v>
      </c>
      <c r="L50" s="97">
        <v>0.0</v>
      </c>
      <c r="M50" s="97">
        <v>0.0</v>
      </c>
      <c r="N50" s="97">
        <v>0.0</v>
      </c>
      <c r="O50" s="97">
        <v>0.0</v>
      </c>
      <c r="P50" s="97">
        <v>0.0</v>
      </c>
      <c r="Q50" s="97">
        <v>0.0</v>
      </c>
      <c r="R50" s="97">
        <v>0.0</v>
      </c>
      <c r="S50" s="97">
        <v>0.0</v>
      </c>
      <c r="T50" s="97">
        <v>0.0</v>
      </c>
      <c r="U50" s="97">
        <v>0.0</v>
      </c>
      <c r="V50" s="97">
        <v>100276.0</v>
      </c>
      <c r="W50" s="10"/>
      <c r="X50" s="10"/>
      <c r="Y50" s="10"/>
      <c r="Z50" s="10"/>
      <c r="AA50" s="10"/>
      <c r="AB50" s="10"/>
      <c r="AC50" s="10"/>
    </row>
    <row r="51" ht="15.75" customHeight="1">
      <c r="A51" s="59" t="str">
        <f t="array" ref="A51">XLOOKUP(C51, 'マスタ'!$C$2:$C$312, 'マスタ'!$D$2:$D$312, "マスタ未登録")</f>
        <v>マスタ未登録</v>
      </c>
      <c r="B51" s="53" t="str">
        <f>IF(AND(C51&lt;&gt;"", COUNTIF('マスタ'!$C:$C, C51)=0), "マスタ未登録", "")</f>
        <v>マスタ未登録</v>
      </c>
      <c r="C51" s="53" t="str">
        <f t="shared" si="1"/>
        <v>営業外費用</v>
      </c>
      <c r="D51" s="10"/>
      <c r="E51" s="10" t="s">
        <v>34</v>
      </c>
      <c r="F51" s="10"/>
      <c r="G51" s="10"/>
      <c r="H51" s="10"/>
      <c r="I51" s="10"/>
      <c r="J51" s="97">
        <v>139716.0</v>
      </c>
      <c r="K51" s="97">
        <v>0.0</v>
      </c>
      <c r="L51" s="97">
        <v>0.0</v>
      </c>
      <c r="M51" s="97">
        <v>0.0</v>
      </c>
      <c r="N51" s="97">
        <v>0.0</v>
      </c>
      <c r="O51" s="97">
        <v>0.0</v>
      </c>
      <c r="P51" s="97">
        <v>0.0</v>
      </c>
      <c r="Q51" s="97">
        <v>0.0</v>
      </c>
      <c r="R51" s="97">
        <v>0.0</v>
      </c>
      <c r="S51" s="97">
        <v>0.0</v>
      </c>
      <c r="T51" s="97">
        <v>0.0</v>
      </c>
      <c r="U51" s="97">
        <v>0.0</v>
      </c>
      <c r="V51" s="97">
        <v>139716.0</v>
      </c>
      <c r="W51" s="10"/>
      <c r="X51" s="10"/>
      <c r="Y51" s="10"/>
      <c r="Z51" s="10"/>
      <c r="AA51" s="10"/>
      <c r="AB51" s="10"/>
      <c r="AC51" s="10"/>
    </row>
    <row r="52" ht="15.75" customHeight="1">
      <c r="A52" s="59" t="str">
        <f t="array" ref="A52">XLOOKUP(C52, 'マスタ'!$C$2:$C$312, 'マスタ'!$D$2:$D$312, "マスタ未登録")</f>
        <v>支払利息</v>
      </c>
      <c r="B52" s="53" t="str">
        <f>IF(AND(C52&lt;&gt;"", COUNTIF('マスタ'!$C:$C, C52)=0), "マスタ未登録", "")</f>
        <v/>
      </c>
      <c r="C52" s="53" t="str">
        <f t="shared" si="1"/>
        <v>支払利息</v>
      </c>
      <c r="D52" s="10"/>
      <c r="E52" s="10"/>
      <c r="F52" s="10" t="s">
        <v>109</v>
      </c>
      <c r="G52" s="10"/>
      <c r="H52" s="10"/>
      <c r="I52" s="10"/>
      <c r="J52" s="97">
        <v>139716.0</v>
      </c>
      <c r="K52" s="97">
        <v>0.0</v>
      </c>
      <c r="L52" s="97">
        <v>0.0</v>
      </c>
      <c r="M52" s="97">
        <v>0.0</v>
      </c>
      <c r="N52" s="97">
        <v>0.0</v>
      </c>
      <c r="O52" s="97">
        <v>0.0</v>
      </c>
      <c r="P52" s="97">
        <v>0.0</v>
      </c>
      <c r="Q52" s="97">
        <v>0.0</v>
      </c>
      <c r="R52" s="97">
        <v>0.0</v>
      </c>
      <c r="S52" s="97">
        <v>0.0</v>
      </c>
      <c r="T52" s="97">
        <v>0.0</v>
      </c>
      <c r="U52" s="97">
        <v>0.0</v>
      </c>
      <c r="V52" s="97">
        <v>139716.0</v>
      </c>
      <c r="W52" s="10"/>
      <c r="X52" s="10"/>
      <c r="Y52" s="10"/>
      <c r="Z52" s="10"/>
      <c r="AA52" s="10"/>
      <c r="AB52" s="10"/>
      <c r="AC52" s="10"/>
    </row>
    <row r="53" ht="15.75" customHeight="1">
      <c r="A53" s="59" t="str">
        <f t="array" ref="A53">XLOOKUP(C53, 'マスタ'!$C$2:$C$312, 'マスタ'!$D$2:$D$312, "マスタ未登録")</f>
        <v>マスタ未登録</v>
      </c>
      <c r="B53" s="53" t="str">
        <f>IF(AND(C53&lt;&gt;"", COUNTIF('マスタ'!$C:$C, C53)=0), "マスタ未登録", "")</f>
        <v>マスタ未登録</v>
      </c>
      <c r="C53" s="53" t="str">
        <f t="shared" si="1"/>
        <v>経常損益金額</v>
      </c>
      <c r="D53" s="10" t="s">
        <v>112</v>
      </c>
      <c r="E53" s="10"/>
      <c r="F53" s="10"/>
      <c r="G53" s="10"/>
      <c r="H53" s="10"/>
      <c r="I53" s="10"/>
      <c r="J53" s="97">
        <v>-9.6012423E7</v>
      </c>
      <c r="K53" s="97">
        <v>-1.1917719E7</v>
      </c>
      <c r="L53" s="97">
        <v>0.0</v>
      </c>
      <c r="M53" s="97">
        <v>0.0</v>
      </c>
      <c r="N53" s="97">
        <v>0.0</v>
      </c>
      <c r="O53" s="97">
        <v>0.0</v>
      </c>
      <c r="P53" s="97">
        <v>0.0</v>
      </c>
      <c r="Q53" s="97">
        <v>0.0</v>
      </c>
      <c r="R53" s="97">
        <v>0.0</v>
      </c>
      <c r="S53" s="97">
        <v>0.0</v>
      </c>
      <c r="T53" s="97">
        <v>0.0</v>
      </c>
      <c r="U53" s="97">
        <v>0.0</v>
      </c>
      <c r="V53" s="97">
        <v>-1.07930142E8</v>
      </c>
      <c r="W53" s="10"/>
      <c r="X53" s="10"/>
      <c r="Y53" s="10"/>
      <c r="Z53" s="10"/>
      <c r="AA53" s="10"/>
      <c r="AB53" s="10"/>
      <c r="AC53" s="10"/>
    </row>
    <row r="54" ht="15.75" customHeight="1">
      <c r="A54" s="59" t="str">
        <f t="array" ref="A54">XLOOKUP(C54, 'マスタ'!$C$2:$C$312, 'マスタ'!$D$2:$D$312, "マスタ未登録")</f>
        <v>マスタ未登録</v>
      </c>
      <c r="B54" s="53" t="str">
        <f>IF(AND(C54&lt;&gt;"", COUNTIF('マスタ'!$C:$C, C54)=0), "マスタ未登録", "")</f>
        <v>マスタ未登録</v>
      </c>
      <c r="C54" s="53" t="str">
        <f t="shared" si="1"/>
        <v>特別利益</v>
      </c>
      <c r="D54" s="10"/>
      <c r="E54" s="10" t="s">
        <v>37</v>
      </c>
      <c r="F54" s="10"/>
      <c r="G54" s="10"/>
      <c r="H54" s="10"/>
      <c r="I54" s="10"/>
      <c r="J54" s="97">
        <v>0.0</v>
      </c>
      <c r="K54" s="97">
        <v>0.0</v>
      </c>
      <c r="L54" s="97">
        <v>0.0</v>
      </c>
      <c r="M54" s="97">
        <v>0.0</v>
      </c>
      <c r="N54" s="97">
        <v>0.0</v>
      </c>
      <c r="O54" s="97">
        <v>0.0</v>
      </c>
      <c r="P54" s="97">
        <v>0.0</v>
      </c>
      <c r="Q54" s="97">
        <v>0.0</v>
      </c>
      <c r="R54" s="97">
        <v>0.0</v>
      </c>
      <c r="S54" s="97">
        <v>0.0</v>
      </c>
      <c r="T54" s="97">
        <v>0.0</v>
      </c>
      <c r="U54" s="97">
        <v>0.0</v>
      </c>
      <c r="V54" s="97">
        <v>0.0</v>
      </c>
      <c r="W54" s="10"/>
      <c r="X54" s="10"/>
      <c r="Y54" s="10"/>
      <c r="Z54" s="10"/>
      <c r="AA54" s="10"/>
      <c r="AB54" s="10"/>
      <c r="AC54" s="10"/>
    </row>
    <row r="55" ht="15.75" customHeight="1">
      <c r="A55" s="59" t="str">
        <f t="array" ref="A55">XLOOKUP(C55, 'マスタ'!$C$2:$C$312, 'マスタ'!$D$2:$D$312, "マスタ未登録")</f>
        <v>マスタ未登録</v>
      </c>
      <c r="B55" s="53" t="str">
        <f>IF(AND(C55&lt;&gt;"", COUNTIF('マスタ'!$C:$C, C55)=0), "マスタ未登録", "")</f>
        <v>マスタ未登録</v>
      </c>
      <c r="C55" s="53" t="str">
        <f t="shared" si="1"/>
        <v>特別損失</v>
      </c>
      <c r="D55" s="10"/>
      <c r="E55" s="10" t="s">
        <v>39</v>
      </c>
      <c r="F55" s="10"/>
      <c r="G55" s="10"/>
      <c r="H55" s="10"/>
      <c r="I55" s="10"/>
      <c r="J55" s="97">
        <v>0.0</v>
      </c>
      <c r="K55" s="97">
        <v>0.0</v>
      </c>
      <c r="L55" s="97">
        <v>0.0</v>
      </c>
      <c r="M55" s="97">
        <v>0.0</v>
      </c>
      <c r="N55" s="97">
        <v>0.0</v>
      </c>
      <c r="O55" s="97">
        <v>0.0</v>
      </c>
      <c r="P55" s="97">
        <v>0.0</v>
      </c>
      <c r="Q55" s="97">
        <v>0.0</v>
      </c>
      <c r="R55" s="97">
        <v>0.0</v>
      </c>
      <c r="S55" s="97">
        <v>0.0</v>
      </c>
      <c r="T55" s="97">
        <v>0.0</v>
      </c>
      <c r="U55" s="97">
        <v>0.0</v>
      </c>
      <c r="V55" s="97">
        <v>0.0</v>
      </c>
      <c r="W55" s="10"/>
      <c r="X55" s="10"/>
      <c r="Y55" s="10"/>
      <c r="Z55" s="10"/>
      <c r="AA55" s="10"/>
      <c r="AB55" s="10"/>
      <c r="AC55" s="10"/>
    </row>
    <row r="56" ht="15.75" customHeight="1">
      <c r="A56" s="59" t="str">
        <f t="array" ref="A56">XLOOKUP(C56, 'マスタ'!$C$2:$C$312, 'マスタ'!$D$2:$D$312, "マスタ未登録")</f>
        <v>マスタ未登録</v>
      </c>
      <c r="B56" s="53" t="str">
        <f>IF(AND(C56&lt;&gt;"", COUNTIF('マスタ'!$C:$C, C56)=0), "マスタ未登録", "")</f>
        <v>マスタ未登録</v>
      </c>
      <c r="C56" s="53" t="str">
        <f t="shared" si="1"/>
        <v>税引前当期純損益金額</v>
      </c>
      <c r="D56" s="10" t="s">
        <v>117</v>
      </c>
      <c r="E56" s="10"/>
      <c r="F56" s="10"/>
      <c r="G56" s="10"/>
      <c r="H56" s="10"/>
      <c r="I56" s="10"/>
      <c r="J56" s="97">
        <v>-9.6012423E7</v>
      </c>
      <c r="K56" s="97">
        <v>-1.1917719E7</v>
      </c>
      <c r="L56" s="97">
        <v>0.0</v>
      </c>
      <c r="M56" s="97">
        <v>0.0</v>
      </c>
      <c r="N56" s="97">
        <v>0.0</v>
      </c>
      <c r="O56" s="97">
        <v>0.0</v>
      </c>
      <c r="P56" s="97">
        <v>0.0</v>
      </c>
      <c r="Q56" s="97">
        <v>0.0</v>
      </c>
      <c r="R56" s="97">
        <v>0.0</v>
      </c>
      <c r="S56" s="97">
        <v>0.0</v>
      </c>
      <c r="T56" s="97">
        <v>0.0</v>
      </c>
      <c r="U56" s="97">
        <v>0.0</v>
      </c>
      <c r="V56" s="97">
        <v>-1.07930142E8</v>
      </c>
      <c r="W56" s="10"/>
      <c r="X56" s="10"/>
      <c r="Y56" s="10"/>
      <c r="Z56" s="10"/>
      <c r="AA56" s="10"/>
      <c r="AB56" s="10"/>
      <c r="AC56" s="10"/>
    </row>
    <row r="57" ht="15.75" customHeight="1">
      <c r="D57" s="10"/>
      <c r="E57" s="10" t="s">
        <v>43</v>
      </c>
      <c r="F57" s="10"/>
      <c r="G57" s="10"/>
      <c r="H57" s="10"/>
      <c r="I57" s="10"/>
      <c r="J57" s="97">
        <v>0.0</v>
      </c>
      <c r="K57" s="97">
        <v>0.0</v>
      </c>
      <c r="L57" s="97">
        <v>0.0</v>
      </c>
      <c r="M57" s="97">
        <v>0.0</v>
      </c>
      <c r="N57" s="97">
        <v>0.0</v>
      </c>
      <c r="O57" s="97">
        <v>0.0</v>
      </c>
      <c r="P57" s="97">
        <v>0.0</v>
      </c>
      <c r="Q57" s="97">
        <v>0.0</v>
      </c>
      <c r="R57" s="97">
        <v>0.0</v>
      </c>
      <c r="S57" s="97">
        <v>0.0</v>
      </c>
      <c r="T57" s="97">
        <v>0.0</v>
      </c>
      <c r="U57" s="97">
        <v>0.0</v>
      </c>
      <c r="V57" s="97">
        <v>0.0</v>
      </c>
      <c r="W57" s="10"/>
      <c r="X57" s="10"/>
      <c r="Y57" s="10"/>
      <c r="Z57" s="10"/>
      <c r="AA57" s="10"/>
      <c r="AB57" s="10"/>
      <c r="AC57" s="10"/>
    </row>
    <row r="58" ht="15.75" customHeight="1">
      <c r="D58" s="10"/>
      <c r="E58" s="10" t="s">
        <v>118</v>
      </c>
      <c r="F58" s="10"/>
      <c r="G58" s="10"/>
      <c r="H58" s="10"/>
      <c r="I58" s="10"/>
      <c r="J58" s="97">
        <v>0.0</v>
      </c>
      <c r="K58" s="97">
        <v>0.0</v>
      </c>
      <c r="L58" s="97">
        <v>0.0</v>
      </c>
      <c r="M58" s="97">
        <v>0.0</v>
      </c>
      <c r="N58" s="97">
        <v>0.0</v>
      </c>
      <c r="O58" s="97">
        <v>0.0</v>
      </c>
      <c r="P58" s="97">
        <v>0.0</v>
      </c>
      <c r="Q58" s="97">
        <v>0.0</v>
      </c>
      <c r="R58" s="97">
        <v>0.0</v>
      </c>
      <c r="S58" s="97">
        <v>0.0</v>
      </c>
      <c r="T58" s="97">
        <v>0.0</v>
      </c>
      <c r="U58" s="97">
        <v>0.0</v>
      </c>
      <c r="V58" s="97">
        <v>0.0</v>
      </c>
      <c r="W58" s="10"/>
      <c r="X58" s="10"/>
      <c r="Y58" s="10"/>
      <c r="Z58" s="10"/>
      <c r="AA58" s="10"/>
      <c r="AB58" s="10"/>
      <c r="AC58" s="10"/>
    </row>
    <row r="59" ht="15.75" customHeight="1">
      <c r="D59" s="10" t="s">
        <v>119</v>
      </c>
      <c r="E59" s="10"/>
      <c r="F59" s="10"/>
      <c r="G59" s="10"/>
      <c r="H59" s="10"/>
      <c r="I59" s="10"/>
      <c r="J59" s="97">
        <v>-9.6012423E7</v>
      </c>
      <c r="K59" s="97">
        <v>-1.1917719E7</v>
      </c>
      <c r="L59" s="97">
        <v>0.0</v>
      </c>
      <c r="M59" s="97">
        <v>0.0</v>
      </c>
      <c r="N59" s="97">
        <v>0.0</v>
      </c>
      <c r="O59" s="97">
        <v>0.0</v>
      </c>
      <c r="P59" s="97">
        <v>0.0</v>
      </c>
      <c r="Q59" s="97">
        <v>0.0</v>
      </c>
      <c r="R59" s="97">
        <v>0.0</v>
      </c>
      <c r="S59" s="97">
        <v>0.0</v>
      </c>
      <c r="T59" s="97">
        <v>0.0</v>
      </c>
      <c r="U59" s="97">
        <v>0.0</v>
      </c>
      <c r="V59" s="97">
        <v>-1.07930142E8</v>
      </c>
      <c r="W59" s="10"/>
      <c r="X59" s="10"/>
      <c r="Y59" s="10"/>
      <c r="Z59" s="10"/>
      <c r="AA59" s="10"/>
      <c r="AB59" s="10"/>
      <c r="AC59" s="10"/>
    </row>
    <row r="60" ht="15.75" customHeight="1">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ht="15.75" customHeight="1">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ht="15.75" customHeight="1">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ht="15.75" customHeight="1">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ht="15.75" customHeight="1">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ht="15.75" customHeight="1">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ht="15.75" customHeight="1">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ht="15.75" customHeight="1">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ht="15.75" customHeight="1">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ht="15.75" customHeight="1">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ht="15.75" customHeight="1">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ht="15.75" customHeight="1">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ht="15.75" customHeight="1">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ht="15.75" customHeight="1">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ht="15.75" customHeight="1">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ht="15.75" customHeight="1">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ht="15.75" customHeight="1">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ht="15.75" customHeight="1">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ht="15.75" customHeight="1">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ht="15.75" customHeight="1">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ht="15.75" customHeight="1">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ht="15.75" customHeight="1">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ht="15.75" customHeight="1">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ht="15.75" customHeight="1">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ht="15.75" customHeight="1">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15.75" customHeight="1">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15.75" customHeight="1">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B1" s="53" t="s">
        <v>222</v>
      </c>
      <c r="C1" s="53" t="s">
        <v>223</v>
      </c>
      <c r="D1" s="38" t="s">
        <v>376</v>
      </c>
    </row>
    <row r="2" ht="15.75" customHeight="1">
      <c r="B2" s="53"/>
      <c r="C2" s="53"/>
      <c r="J2" s="3">
        <v>45992.0</v>
      </c>
      <c r="K2" s="2">
        <v>46023.0</v>
      </c>
      <c r="L2" s="2">
        <v>46054.0</v>
      </c>
      <c r="M2" s="2">
        <v>46082.0</v>
      </c>
      <c r="N2" s="2">
        <v>46113.0</v>
      </c>
      <c r="O2" s="2">
        <v>46143.0</v>
      </c>
      <c r="P2" s="2">
        <v>46174.0</v>
      </c>
      <c r="Q2" s="2">
        <v>46204.0</v>
      </c>
      <c r="R2" s="2">
        <v>46235.0</v>
      </c>
      <c r="S2" s="2">
        <v>46266.0</v>
      </c>
      <c r="T2" s="3">
        <v>46296.0</v>
      </c>
      <c r="U2" s="3">
        <v>46327.0</v>
      </c>
      <c r="V2" s="38" t="s">
        <v>225</v>
      </c>
    </row>
    <row r="3" ht="15.75" customHeight="1">
      <c r="A3" s="38"/>
      <c r="B3" s="53"/>
      <c r="C3" s="53"/>
      <c r="D3" s="38" t="s">
        <v>1</v>
      </c>
    </row>
    <row r="4" ht="15.75" customHeight="1">
      <c r="A4" s="59" t="str">
        <f t="array" ref="A4">XLOOKUP(C4, 'マスタ'!$C$2:$C$312, 'マスタ'!$D$2:$D$312, "マスタ未登録")</f>
        <v>売上高</v>
      </c>
      <c r="B4" s="53" t="str">
        <f>IF(AND(C4&lt;&gt;"", COUNTIF('マスタ'!$C:$C, C4)=0), "マスタ未登録", "")</f>
        <v/>
      </c>
      <c r="C4" s="53" t="str">
        <f t="shared" ref="C4:C66" si="1">D4&amp;D109&amp;E4&amp;F4&amp;G4&amp;H4</f>
        <v>売上高</v>
      </c>
      <c r="E4" s="38" t="s">
        <v>1</v>
      </c>
      <c r="J4" s="38">
        <v>693100.0</v>
      </c>
      <c r="K4" s="38">
        <v>766071.0</v>
      </c>
      <c r="L4" s="38">
        <v>765571.0</v>
      </c>
      <c r="M4" s="38">
        <v>-765571.0</v>
      </c>
      <c r="N4" s="38">
        <v>0.0</v>
      </c>
      <c r="O4" s="38">
        <v>0.0</v>
      </c>
      <c r="P4" s="38">
        <v>0.0</v>
      </c>
      <c r="Q4" s="38">
        <v>0.0</v>
      </c>
      <c r="R4" s="38">
        <v>0.0</v>
      </c>
      <c r="S4" s="38">
        <v>0.0</v>
      </c>
      <c r="T4" s="38">
        <v>0.0</v>
      </c>
      <c r="U4" s="38">
        <v>0.0</v>
      </c>
      <c r="V4" s="38">
        <v>1459171.0</v>
      </c>
    </row>
    <row r="5" ht="15.75" customHeight="1">
      <c r="A5" s="59" t="str">
        <f t="array" ref="A5">XLOOKUP(C5, 'マスタ'!$C$2:$C$312, 'マスタ'!$D$2:$D$312, "マスタ未登録")</f>
        <v>売上高</v>
      </c>
      <c r="B5" s="53" t="str">
        <f>IF(AND(C5&lt;&gt;"", COUNTIF('マスタ'!$C:$C, C5)=0), "マスタ未登録", "")</f>
        <v/>
      </c>
      <c r="C5" s="53" t="str">
        <f t="shared" si="1"/>
        <v>興行売上高</v>
      </c>
      <c r="E5" s="38" t="s">
        <v>377</v>
      </c>
      <c r="J5" s="38">
        <v>1.97590018E8</v>
      </c>
      <c r="K5" s="38">
        <v>6320201.0</v>
      </c>
      <c r="L5" s="38">
        <v>3.56185207E8</v>
      </c>
      <c r="M5" s="38">
        <v>6.08444388E8</v>
      </c>
      <c r="N5" s="38">
        <v>3.2870121E7</v>
      </c>
      <c r="O5" s="38">
        <v>51000.0</v>
      </c>
      <c r="P5" s="38">
        <v>0.0</v>
      </c>
      <c r="Q5" s="38">
        <v>0.0</v>
      </c>
      <c r="R5" s="38">
        <v>0.0</v>
      </c>
      <c r="S5" s="38">
        <v>0.0</v>
      </c>
      <c r="T5" s="38">
        <v>0.0</v>
      </c>
      <c r="U5" s="38">
        <v>0.0</v>
      </c>
      <c r="V5" s="38">
        <v>1.201460935E9</v>
      </c>
    </row>
    <row r="6" ht="15.75" customHeight="1">
      <c r="A6" s="59" t="str">
        <f t="array" ref="A6">XLOOKUP(C6, 'マスタ'!$C$2:$C$312, 'マスタ'!$D$2:$D$312, "マスタ未登録")</f>
        <v>売上高</v>
      </c>
      <c r="B6" s="53" t="str">
        <f>IF(AND(C6&lt;&gt;"", COUNTIF('マスタ'!$C:$C, C6)=0), "マスタ未登録", "")</f>
        <v/>
      </c>
      <c r="C6" s="53" t="str">
        <f t="shared" si="1"/>
        <v>グッズ売上高(現地)</v>
      </c>
      <c r="E6" s="38" t="s">
        <v>378</v>
      </c>
      <c r="J6" s="38">
        <v>1.388259E7</v>
      </c>
      <c r="K6" s="38">
        <v>0.0</v>
      </c>
      <c r="L6" s="38">
        <v>2.30325123E8</v>
      </c>
      <c r="M6" s="38">
        <v>7.9047241E7</v>
      </c>
      <c r="N6" s="38">
        <v>0.0</v>
      </c>
      <c r="O6" s="38">
        <v>0.0</v>
      </c>
      <c r="P6" s="38">
        <v>0.0</v>
      </c>
      <c r="Q6" s="38">
        <v>0.0</v>
      </c>
      <c r="R6" s="38">
        <v>0.0</v>
      </c>
      <c r="S6" s="38">
        <v>0.0</v>
      </c>
      <c r="T6" s="38">
        <v>0.0</v>
      </c>
      <c r="U6" s="38">
        <v>0.0</v>
      </c>
      <c r="V6" s="38">
        <v>3.23254954E8</v>
      </c>
    </row>
    <row r="7" ht="15.75" customHeight="1">
      <c r="A7" s="59" t="str">
        <f t="array" ref="A7">XLOOKUP(C7, 'マスタ'!$C$2:$C$312, 'マスタ'!$D$2:$D$312, "マスタ未登録")</f>
        <v>売上高</v>
      </c>
      <c r="B7" s="53" t="str">
        <f>IF(AND(C7&lt;&gt;"", COUNTIF('マスタ'!$C:$C, C7)=0), "マスタ未登録", "")</f>
        <v/>
      </c>
      <c r="C7" s="53" t="str">
        <f t="shared" si="1"/>
        <v>グッズ売上高(事後)</v>
      </c>
      <c r="E7" s="38" t="s">
        <v>379</v>
      </c>
      <c r="J7" s="38">
        <v>54600.0</v>
      </c>
      <c r="K7" s="38">
        <v>169360.0</v>
      </c>
      <c r="L7" s="38">
        <v>1.3919339E7</v>
      </c>
      <c r="M7" s="38">
        <v>9.500004E7</v>
      </c>
      <c r="N7" s="38">
        <v>7580.0</v>
      </c>
      <c r="O7" s="38">
        <v>0.0</v>
      </c>
      <c r="P7" s="38">
        <v>0.0</v>
      </c>
      <c r="Q7" s="38">
        <v>0.0</v>
      </c>
      <c r="R7" s="38">
        <v>0.0</v>
      </c>
      <c r="S7" s="38">
        <v>0.0</v>
      </c>
      <c r="T7" s="38">
        <v>0.0</v>
      </c>
      <c r="U7" s="38">
        <v>0.0</v>
      </c>
      <c r="V7" s="38">
        <v>1.09150919E8</v>
      </c>
    </row>
    <row r="8" ht="15.75" customHeight="1">
      <c r="A8" s="59" t="str">
        <f t="array" ref="A8">XLOOKUP(C8, 'マスタ'!$C$2:$C$312, 'マスタ'!$D$2:$D$312, "マスタ未登録")</f>
        <v>マスタ未登録</v>
      </c>
      <c r="B8" s="53" t="str">
        <f>IF(AND(C8&lt;&gt;"", COUNTIF('マスタ'!$C:$C, C8)=0), "マスタ未登録", "")</f>
        <v>マスタ未登録</v>
      </c>
      <c r="C8" s="53" t="str">
        <f t="shared" si="1"/>
        <v>売上高 計</v>
      </c>
      <c r="D8" s="38" t="s">
        <v>226</v>
      </c>
      <c r="J8" s="38">
        <v>2.12220308E8</v>
      </c>
      <c r="K8" s="38">
        <v>7255632.0</v>
      </c>
      <c r="L8" s="38">
        <v>6.0119524E8</v>
      </c>
      <c r="M8" s="38">
        <v>7.81726098E8</v>
      </c>
      <c r="N8" s="38">
        <v>3.2877701E7</v>
      </c>
      <c r="O8" s="38">
        <v>51000.0</v>
      </c>
      <c r="P8" s="38">
        <v>0.0</v>
      </c>
      <c r="Q8" s="38">
        <v>0.0</v>
      </c>
      <c r="R8" s="38">
        <v>0.0</v>
      </c>
      <c r="S8" s="38">
        <v>0.0</v>
      </c>
      <c r="T8" s="38">
        <v>0.0</v>
      </c>
      <c r="U8" s="38">
        <v>0.0</v>
      </c>
      <c r="V8" s="38">
        <v>1.635325979E9</v>
      </c>
    </row>
    <row r="9" ht="15.75" customHeight="1">
      <c r="A9" s="59" t="str">
        <f t="array" ref="A9">XLOOKUP(C9, 'マスタ'!$C$2:$C$312, 'マスタ'!$D$2:$D$312, "マスタ未登録")</f>
        <v>マスタ未登録</v>
      </c>
      <c r="B9" s="53" t="str">
        <f>IF(AND(C9&lt;&gt;"", COUNTIF('マスタ'!$C:$C, C9)=0), "マスタ未登録", "")</f>
        <v>マスタ未登録</v>
      </c>
      <c r="C9" s="53" t="str">
        <f t="shared" si="1"/>
        <v>売上原価</v>
      </c>
      <c r="E9" s="38" t="s">
        <v>28</v>
      </c>
    </row>
    <row r="10" ht="15.75" customHeight="1">
      <c r="A10" s="59" t="str">
        <f t="array" ref="A10">XLOOKUP(C10, 'マスタ'!$C$2:$C$312, 'マスタ'!$D$2:$D$312, "マスタ未登録")</f>
        <v>マスタ未登録</v>
      </c>
      <c r="B10" s="53" t="str">
        <f>IF(AND(C10&lt;&gt;"", COUNTIF('マスタ'!$C:$C, C10)=0), "マスタ未登録", "")</f>
        <v>マスタ未登録</v>
      </c>
      <c r="C10" s="53" t="str">
        <f t="shared" si="1"/>
        <v>売上原価</v>
      </c>
      <c r="E10" s="38" t="s">
        <v>28</v>
      </c>
      <c r="J10" s="38">
        <v>1.45929131E8</v>
      </c>
      <c r="K10" s="38">
        <v>3860336.0</v>
      </c>
      <c r="L10" s="38">
        <v>5.57340388E8</v>
      </c>
      <c r="M10" s="38">
        <v>7.48318986E8</v>
      </c>
      <c r="N10" s="38">
        <v>2.6441388E7</v>
      </c>
      <c r="O10" s="38">
        <v>7.7789995E7</v>
      </c>
      <c r="P10" s="38">
        <v>0.0</v>
      </c>
      <c r="Q10" s="38">
        <v>2970000.0</v>
      </c>
      <c r="R10" s="38">
        <v>2.948E7</v>
      </c>
      <c r="S10" s="38">
        <v>0.0</v>
      </c>
      <c r="T10" s="38">
        <v>1.3805E7</v>
      </c>
      <c r="U10" s="38">
        <v>0.0</v>
      </c>
      <c r="V10" s="38">
        <v>1.605935224E9</v>
      </c>
    </row>
    <row r="11" ht="15.75" customHeight="1">
      <c r="A11" s="59" t="str">
        <f t="array" ref="A11">XLOOKUP(C11, 'マスタ'!$C$2:$C$312, 'マスタ'!$D$2:$D$312, "マスタ未登録")</f>
        <v>期首商品棚卸高</v>
      </c>
      <c r="B11" s="53" t="str">
        <f>IF(AND(C11&lt;&gt;"", COUNTIF('マスタ'!$C:$C, C11)=0), "マスタ未登録", "")</f>
        <v/>
      </c>
      <c r="C11" s="53" t="str">
        <f t="shared" si="1"/>
        <v>期首商品棚卸</v>
      </c>
      <c r="G11" s="38" t="s">
        <v>227</v>
      </c>
      <c r="J11" s="38">
        <v>0.0</v>
      </c>
      <c r="K11" s="38">
        <v>0.0</v>
      </c>
      <c r="L11" s="38">
        <v>0.0</v>
      </c>
      <c r="M11" s="38">
        <v>0.0</v>
      </c>
      <c r="N11" s="38">
        <v>0.0</v>
      </c>
      <c r="O11" s="38">
        <v>0.0</v>
      </c>
      <c r="P11" s="38">
        <v>0.0</v>
      </c>
      <c r="Q11" s="38">
        <v>0.0</v>
      </c>
      <c r="R11" s="38">
        <v>0.0</v>
      </c>
      <c r="S11" s="38">
        <v>0.0</v>
      </c>
      <c r="T11" s="38">
        <v>0.0</v>
      </c>
      <c r="U11" s="38">
        <v>0.0</v>
      </c>
      <c r="V11" s="38">
        <v>0.0</v>
      </c>
    </row>
    <row r="12" ht="15.75" customHeight="1">
      <c r="A12" s="59" t="str">
        <f t="array" ref="A12">XLOOKUP(C12, 'マスタ'!$C$2:$C$312, 'マスタ'!$D$2:$D$312, "マスタ未登録")</f>
        <v>マスタ未登録</v>
      </c>
      <c r="B12" s="53" t="str">
        <f>IF(AND(C12&lt;&gt;"", COUNTIF('マスタ'!$C:$C, C12)=0), "マスタ未登録", "")</f>
        <v>マスタ未登録</v>
      </c>
      <c r="C12" s="53" t="str">
        <f t="shared" si="1"/>
        <v>当期商品仕入合計額</v>
      </c>
      <c r="G12" s="38" t="s">
        <v>374</v>
      </c>
      <c r="J12" s="38">
        <v>1.45929131E8</v>
      </c>
      <c r="K12" s="38">
        <v>3860336.0</v>
      </c>
      <c r="L12" s="38">
        <v>5.57340388E8</v>
      </c>
      <c r="M12" s="38">
        <v>7.48318986E8</v>
      </c>
      <c r="N12" s="38">
        <v>2.6441388E7</v>
      </c>
      <c r="O12" s="38">
        <v>7.7789995E7</v>
      </c>
      <c r="P12" s="38">
        <v>0.0</v>
      </c>
      <c r="Q12" s="38">
        <v>2970000.0</v>
      </c>
      <c r="R12" s="38">
        <v>2.948E7</v>
      </c>
      <c r="S12" s="38">
        <v>0.0</v>
      </c>
      <c r="T12" s="38">
        <v>1.3805E7</v>
      </c>
      <c r="U12" s="38">
        <v>0.0</v>
      </c>
      <c r="V12" s="38">
        <v>1.605935224E9</v>
      </c>
    </row>
    <row r="13" ht="15.75" customHeight="1">
      <c r="A13" s="59" t="str">
        <f t="array" ref="A13">XLOOKUP(C13, 'マスタ'!$C$2:$C$312, 'マスタ'!$D$2:$D$312, "マスタ未登録")</f>
        <v>当期商品仕入高</v>
      </c>
      <c r="B13" s="53" t="str">
        <f>IF(AND(C13&lt;&gt;"", COUNTIF('マスタ'!$C:$C, C13)=0), "マスタ未登録", "")</f>
        <v/>
      </c>
      <c r="C13" s="53" t="str">
        <f t="shared" si="1"/>
        <v>仕入高</v>
      </c>
      <c r="H13" s="38" t="s">
        <v>138</v>
      </c>
      <c r="J13" s="38">
        <v>60665.0</v>
      </c>
      <c r="K13" s="38">
        <v>0.0</v>
      </c>
      <c r="L13" s="38">
        <v>9.640224E7</v>
      </c>
      <c r="M13" s="38">
        <v>2160804.0</v>
      </c>
      <c r="N13" s="38">
        <v>285945.0</v>
      </c>
      <c r="O13" s="38">
        <v>2.5265449E7</v>
      </c>
      <c r="P13" s="38">
        <v>0.0</v>
      </c>
      <c r="Q13" s="38">
        <v>0.0</v>
      </c>
      <c r="R13" s="38">
        <v>0.0</v>
      </c>
      <c r="S13" s="38">
        <v>0.0</v>
      </c>
      <c r="T13" s="38">
        <v>0.0</v>
      </c>
      <c r="U13" s="38">
        <v>0.0</v>
      </c>
      <c r="V13" s="38">
        <v>1.24175103E8</v>
      </c>
    </row>
    <row r="14" ht="15.75" customHeight="1">
      <c r="A14" s="59" t="str">
        <f t="array" ref="A14">XLOOKUP(C14, 'マスタ'!$C$2:$C$312, 'マスタ'!$D$2:$D$312, "マスタ未登録")</f>
        <v>当期商品仕入高</v>
      </c>
      <c r="B14" s="53" t="str">
        <f>IF(AND(C14&lt;&gt;"", COUNTIF('マスタ'!$C:$C, C14)=0), "マスタ未登録", "")</f>
        <v/>
      </c>
      <c r="C14" s="53" t="str">
        <f t="shared" si="1"/>
        <v>仮原価(興行経費)</v>
      </c>
      <c r="H14" s="38" t="s">
        <v>380</v>
      </c>
      <c r="J14" s="38">
        <v>7.9175974E7</v>
      </c>
      <c r="K14" s="38">
        <v>-1.05389947E8</v>
      </c>
      <c r="L14" s="38">
        <v>1.95200645E8</v>
      </c>
      <c r="M14" s="38">
        <v>3.74416711E8</v>
      </c>
      <c r="N14" s="38">
        <v>-1.68030467E8</v>
      </c>
      <c r="O14" s="38">
        <v>0.0</v>
      </c>
      <c r="P14" s="38">
        <v>0.0</v>
      </c>
      <c r="Q14" s="38">
        <v>0.0</v>
      </c>
      <c r="R14" s="38">
        <v>0.0</v>
      </c>
      <c r="S14" s="38">
        <v>0.0</v>
      </c>
      <c r="T14" s="38">
        <v>0.0</v>
      </c>
      <c r="U14" s="38">
        <v>0.0</v>
      </c>
      <c r="V14" s="38">
        <v>3.75372916E8</v>
      </c>
    </row>
    <row r="15" ht="15.75" customHeight="1">
      <c r="A15" s="59" t="str">
        <f t="array" ref="A15">XLOOKUP(C15, 'マスタ'!$C$2:$C$312, 'マスタ'!$D$2:$D$312, "マスタ未登録")</f>
        <v>当期商品仕入高</v>
      </c>
      <c r="B15" s="53" t="str">
        <f>IF(AND(C15&lt;&gt;"", COUNTIF('マスタ'!$C:$C, C15)=0), "マスタ未登録", "")</f>
        <v/>
      </c>
      <c r="C15" s="53" t="str">
        <f t="shared" si="1"/>
        <v>仮原価(タレント配分)</v>
      </c>
      <c r="H15" s="38" t="s">
        <v>381</v>
      </c>
      <c r="J15" s="38">
        <v>1.3645914E7</v>
      </c>
      <c r="K15" s="38">
        <v>0.0</v>
      </c>
      <c r="L15" s="38">
        <v>3.9008E7</v>
      </c>
      <c r="M15" s="38">
        <v>6.4489232E7</v>
      </c>
      <c r="N15" s="38">
        <v>0.0</v>
      </c>
      <c r="O15" s="38">
        <v>0.0</v>
      </c>
      <c r="P15" s="38">
        <v>0.0</v>
      </c>
      <c r="Q15" s="38">
        <v>0.0</v>
      </c>
      <c r="R15" s="38">
        <v>0.0</v>
      </c>
      <c r="S15" s="38">
        <v>0.0</v>
      </c>
      <c r="T15" s="38">
        <v>0.0</v>
      </c>
      <c r="U15" s="38">
        <v>0.0</v>
      </c>
      <c r="V15" s="38">
        <v>1.17143146E8</v>
      </c>
    </row>
    <row r="16" ht="15.75" customHeight="1">
      <c r="A16" s="59" t="str">
        <f t="array" ref="A16">XLOOKUP(C16, 'マスタ'!$C$2:$C$312, 'マスタ'!$D$2:$D$312, "マスタ未登録")</f>
        <v>当期商品仕入高</v>
      </c>
      <c r="B16" s="53" t="str">
        <f>IF(AND(C16&lt;&gt;"", COUNTIF('マスタ'!$C:$C, C16)=0), "マスタ未登録", "")</f>
        <v/>
      </c>
      <c r="C16" s="53" t="str">
        <f t="shared" si="1"/>
        <v>仮原価(フリークス配分)</v>
      </c>
      <c r="H16" s="38" t="s">
        <v>382</v>
      </c>
      <c r="J16" s="38">
        <v>974709.0</v>
      </c>
      <c r="K16" s="38">
        <v>0.0</v>
      </c>
      <c r="L16" s="38">
        <v>0.0</v>
      </c>
      <c r="M16" s="38">
        <v>-9.3821653E7</v>
      </c>
      <c r="N16" s="38">
        <v>0.0</v>
      </c>
      <c r="O16" s="38">
        <v>0.0</v>
      </c>
      <c r="P16" s="38">
        <v>0.0</v>
      </c>
      <c r="Q16" s="38">
        <v>0.0</v>
      </c>
      <c r="R16" s="38">
        <v>0.0</v>
      </c>
      <c r="S16" s="38">
        <v>0.0</v>
      </c>
      <c r="T16" s="38">
        <v>0.0</v>
      </c>
      <c r="U16" s="38">
        <v>0.0</v>
      </c>
      <c r="V16" s="38">
        <v>-9.2846944E7</v>
      </c>
    </row>
    <row r="17" ht="15.75" customHeight="1">
      <c r="A17" s="59" t="str">
        <f t="array" ref="A17">XLOOKUP(C17, 'マスタ'!$C$2:$C$312, 'マスタ'!$D$2:$D$312, "マスタ未登録")</f>
        <v>当期商品仕入高</v>
      </c>
      <c r="B17" s="53" t="str">
        <f>IF(AND(C17&lt;&gt;"", COUNTIF('マスタ'!$C:$C, C17)=0), "マスタ未登録", "")</f>
        <v/>
      </c>
      <c r="C17" s="53" t="str">
        <f t="shared" si="1"/>
        <v>仮原価(グッズ経費)</v>
      </c>
      <c r="H17" s="38" t="s">
        <v>383</v>
      </c>
      <c r="J17" s="38">
        <v>2313767.0</v>
      </c>
      <c r="K17" s="38">
        <v>0.0</v>
      </c>
      <c r="L17" s="38">
        <v>6.9140826E7</v>
      </c>
      <c r="M17" s="38">
        <v>0.0</v>
      </c>
      <c r="N17" s="38">
        <v>0.0</v>
      </c>
      <c r="O17" s="38">
        <v>0.0</v>
      </c>
      <c r="P17" s="38">
        <v>0.0</v>
      </c>
      <c r="Q17" s="38">
        <v>0.0</v>
      </c>
      <c r="R17" s="38">
        <v>0.0</v>
      </c>
      <c r="S17" s="38">
        <v>0.0</v>
      </c>
      <c r="T17" s="38">
        <v>0.0</v>
      </c>
      <c r="U17" s="38">
        <v>0.0</v>
      </c>
      <c r="V17" s="38">
        <v>7.1454593E7</v>
      </c>
    </row>
    <row r="18" ht="15.75" customHeight="1">
      <c r="A18" s="59" t="str">
        <f t="array" ref="A18">XLOOKUP(C18, 'マスタ'!$C$2:$C$312, 'マスタ'!$D$2:$D$312, "マスタ未登録")</f>
        <v>当期商品仕入高</v>
      </c>
      <c r="B18" s="53" t="str">
        <f>IF(AND(C18&lt;&gt;"", COUNTIF('マスタ'!$C:$C, C18)=0), "マスタ未登録", "")</f>
        <v/>
      </c>
      <c r="C18" s="53" t="str">
        <f t="shared" si="1"/>
        <v>外注費(原)</v>
      </c>
      <c r="H18" s="38" t="s">
        <v>231</v>
      </c>
      <c r="J18" s="38">
        <v>3.8163014E7</v>
      </c>
      <c r="K18" s="38">
        <v>1.06905003E8</v>
      </c>
      <c r="L18" s="38">
        <v>1.09881409E8</v>
      </c>
      <c r="M18" s="38">
        <v>3.55683866E8</v>
      </c>
      <c r="N18" s="38">
        <v>1.34561969E8</v>
      </c>
      <c r="O18" s="38">
        <v>4.4641713E7</v>
      </c>
      <c r="P18" s="38">
        <v>0.0</v>
      </c>
      <c r="Q18" s="38">
        <v>0.0</v>
      </c>
      <c r="R18" s="38">
        <v>0.0</v>
      </c>
      <c r="S18" s="38">
        <v>0.0</v>
      </c>
      <c r="T18" s="38">
        <v>0.0</v>
      </c>
      <c r="U18" s="38">
        <v>0.0</v>
      </c>
      <c r="V18" s="38">
        <v>7.89836974E8</v>
      </c>
    </row>
    <row r="19" ht="15.75" customHeight="1">
      <c r="A19" s="59" t="str">
        <f t="array" ref="A19">XLOOKUP(C19, 'マスタ'!$C$2:$C$312, 'マスタ'!$D$2:$D$312, "マスタ未登録")</f>
        <v>当期商品仕入高</v>
      </c>
      <c r="B19" s="53" t="str">
        <f>IF(AND(C19&lt;&gt;"", COUNTIF('マスタ'!$C:$C, C19)=0), "マスタ未登録", "")</f>
        <v/>
      </c>
      <c r="C19" s="53" t="str">
        <f t="shared" si="1"/>
        <v>旅費交通費(原)</v>
      </c>
      <c r="H19" s="38" t="s">
        <v>233</v>
      </c>
      <c r="J19" s="38">
        <v>1897947.0</v>
      </c>
      <c r="K19" s="38">
        <v>1256793.0</v>
      </c>
      <c r="L19" s="38">
        <v>1225983.0</v>
      </c>
      <c r="M19" s="38">
        <v>8704550.0</v>
      </c>
      <c r="N19" s="38">
        <v>6122554.0</v>
      </c>
      <c r="O19" s="38">
        <v>3294415.0</v>
      </c>
      <c r="P19" s="38">
        <v>0.0</v>
      </c>
      <c r="Q19" s="38">
        <v>0.0</v>
      </c>
      <c r="R19" s="38">
        <v>0.0</v>
      </c>
      <c r="S19" s="38">
        <v>0.0</v>
      </c>
      <c r="T19" s="38">
        <v>0.0</v>
      </c>
      <c r="U19" s="38">
        <v>0.0</v>
      </c>
      <c r="V19" s="38">
        <v>2.2502242E7</v>
      </c>
    </row>
    <row r="20" ht="15.75" customHeight="1">
      <c r="A20" s="59" t="str">
        <f t="array" ref="A20">XLOOKUP(C20, 'マスタ'!$C$2:$C$312, 'マスタ'!$D$2:$D$312, "マスタ未登録")</f>
        <v>当期商品仕入高</v>
      </c>
      <c r="B20" s="53" t="str">
        <f>IF(AND(C20&lt;&gt;"", COUNTIF('マスタ'!$C:$C, C20)=0), "マスタ未登録", "")</f>
        <v/>
      </c>
      <c r="C20" s="53" t="str">
        <f t="shared" si="1"/>
        <v>通信費(原)</v>
      </c>
      <c r="H20" s="38" t="s">
        <v>351</v>
      </c>
      <c r="J20" s="38">
        <v>8611.0</v>
      </c>
      <c r="K20" s="38">
        <v>0.0</v>
      </c>
      <c r="L20" s="38">
        <v>0.0</v>
      </c>
      <c r="M20" s="38">
        <v>440.0</v>
      </c>
      <c r="N20" s="38">
        <v>5735.0</v>
      </c>
      <c r="O20" s="38">
        <v>0.0</v>
      </c>
      <c r="P20" s="38">
        <v>0.0</v>
      </c>
      <c r="Q20" s="38">
        <v>0.0</v>
      </c>
      <c r="R20" s="38">
        <v>0.0</v>
      </c>
      <c r="S20" s="38">
        <v>0.0</v>
      </c>
      <c r="T20" s="38">
        <v>0.0</v>
      </c>
      <c r="U20" s="38">
        <v>0.0</v>
      </c>
      <c r="V20" s="38">
        <v>14786.0</v>
      </c>
    </row>
    <row r="21" ht="15.75" customHeight="1">
      <c r="A21" s="59" t="str">
        <f t="array" ref="A21">XLOOKUP(C21, 'マスタ'!$C$2:$C$312, 'マスタ'!$D$2:$D$312, "マスタ未登録")</f>
        <v>当期商品仕入高</v>
      </c>
      <c r="B21" s="53" t="str">
        <f>IF(AND(C21&lt;&gt;"", COUNTIF('マスタ'!$C:$C, C21)=0), "マスタ未登録", "")</f>
        <v/>
      </c>
      <c r="C21" s="53" t="str">
        <f t="shared" si="1"/>
        <v>消耗品費(原)</v>
      </c>
      <c r="H21" s="38" t="s">
        <v>234</v>
      </c>
      <c r="J21" s="38">
        <v>520752.0</v>
      </c>
      <c r="K21" s="38">
        <v>166519.0</v>
      </c>
      <c r="L21" s="38">
        <v>755162.0</v>
      </c>
      <c r="M21" s="38">
        <v>507636.0</v>
      </c>
      <c r="N21" s="38">
        <v>773067.0</v>
      </c>
      <c r="O21" s="38">
        <v>906448.0</v>
      </c>
      <c r="P21" s="38">
        <v>0.0</v>
      </c>
      <c r="Q21" s="38">
        <v>0.0</v>
      </c>
      <c r="R21" s="38">
        <v>0.0</v>
      </c>
      <c r="S21" s="38">
        <v>0.0</v>
      </c>
      <c r="T21" s="38">
        <v>0.0</v>
      </c>
      <c r="U21" s="38">
        <v>0.0</v>
      </c>
      <c r="V21" s="38">
        <v>3629584.0</v>
      </c>
    </row>
    <row r="22" ht="15.75" customHeight="1">
      <c r="A22" s="59" t="str">
        <f t="array" ref="A22">XLOOKUP(C22, 'マスタ'!$C$2:$C$312, 'マスタ'!$D$2:$D$312, "マスタ未登録")</f>
        <v>当期商品仕入高</v>
      </c>
      <c r="B22" s="53" t="str">
        <f>IF(AND(C22&lt;&gt;"", COUNTIF('マスタ'!$C:$C, C22)=0), "マスタ未登録", "")</f>
        <v/>
      </c>
      <c r="C22" s="53" t="str">
        <f t="shared" si="1"/>
        <v>賃借料(原)</v>
      </c>
      <c r="H22" s="38" t="s">
        <v>366</v>
      </c>
      <c r="J22" s="38">
        <v>88000.0</v>
      </c>
      <c r="K22" s="38">
        <v>679652.0</v>
      </c>
      <c r="L22" s="38">
        <v>3.4413503E7</v>
      </c>
      <c r="M22" s="38">
        <v>1666420.0</v>
      </c>
      <c r="N22" s="38">
        <v>3.3364215E7</v>
      </c>
      <c r="O22" s="38">
        <v>1742400.0</v>
      </c>
      <c r="P22" s="38">
        <v>0.0</v>
      </c>
      <c r="Q22" s="38">
        <v>2970000.0</v>
      </c>
      <c r="R22" s="38">
        <v>2.948E7</v>
      </c>
      <c r="S22" s="38">
        <v>0.0</v>
      </c>
      <c r="T22" s="38">
        <v>1.3805E7</v>
      </c>
      <c r="U22" s="38">
        <v>0.0</v>
      </c>
      <c r="V22" s="38">
        <v>1.1820919E8</v>
      </c>
    </row>
    <row r="23" ht="15.75" customHeight="1">
      <c r="A23" s="59" t="str">
        <f t="array" ref="A23">XLOOKUP(C23, 'マスタ'!$C$2:$C$312, 'マスタ'!$D$2:$D$312, "マスタ未登録")</f>
        <v>当期商品仕入高</v>
      </c>
      <c r="B23" s="53" t="str">
        <f>IF(AND(C23&lt;&gt;"", COUNTIF('マスタ'!$C:$C, C23)=0), "マスタ未登録", "")</f>
        <v/>
      </c>
      <c r="C23" s="53" t="str">
        <f t="shared" si="1"/>
        <v>支払手数料(原)</v>
      </c>
      <c r="H23" s="38" t="s">
        <v>384</v>
      </c>
      <c r="J23" s="38">
        <v>9079778.0</v>
      </c>
      <c r="K23" s="38">
        <v>135616.0</v>
      </c>
      <c r="L23" s="38">
        <v>1.131262E7</v>
      </c>
      <c r="M23" s="38">
        <v>3.451098E7</v>
      </c>
      <c r="N23" s="38">
        <v>1.925678E7</v>
      </c>
      <c r="O23" s="38">
        <v>1939570.0</v>
      </c>
      <c r="P23" s="38">
        <v>0.0</v>
      </c>
      <c r="Q23" s="38">
        <v>0.0</v>
      </c>
      <c r="R23" s="38">
        <v>0.0</v>
      </c>
      <c r="S23" s="38">
        <v>0.0</v>
      </c>
      <c r="T23" s="38">
        <v>0.0</v>
      </c>
      <c r="U23" s="38">
        <v>0.0</v>
      </c>
      <c r="V23" s="38">
        <v>7.6235344E7</v>
      </c>
    </row>
    <row r="24" ht="15.75" customHeight="1">
      <c r="A24" s="59" t="str">
        <f t="array" ref="A24">XLOOKUP(C24, 'マスタ'!$C$2:$C$312, 'マスタ'!$D$2:$D$312, "マスタ未登録")</f>
        <v>当期商品仕入高</v>
      </c>
      <c r="B24" s="53" t="str">
        <f>IF(AND(C24&lt;&gt;"", COUNTIF('マスタ'!$C:$C, C24)=0), "マスタ未登録", "")</f>
        <v/>
      </c>
      <c r="C24" s="53" t="str">
        <f t="shared" si="1"/>
        <v>雑費(原)</v>
      </c>
      <c r="H24" s="38" t="s">
        <v>385</v>
      </c>
      <c r="J24" s="38">
        <v>0.0</v>
      </c>
      <c r="K24" s="38">
        <v>106700.0</v>
      </c>
      <c r="L24" s="38">
        <v>0.0</v>
      </c>
      <c r="M24" s="38">
        <v>0.0</v>
      </c>
      <c r="N24" s="38">
        <v>101590.0</v>
      </c>
      <c r="O24" s="38">
        <v>0.0</v>
      </c>
      <c r="P24" s="38">
        <v>0.0</v>
      </c>
      <c r="Q24" s="38">
        <v>0.0</v>
      </c>
      <c r="R24" s="38">
        <v>0.0</v>
      </c>
      <c r="S24" s="38">
        <v>0.0</v>
      </c>
      <c r="T24" s="38">
        <v>0.0</v>
      </c>
      <c r="U24" s="38">
        <v>0.0</v>
      </c>
      <c r="V24" s="38">
        <v>208290.0</v>
      </c>
    </row>
    <row r="25" ht="15.75" customHeight="1">
      <c r="A25" s="59" t="str">
        <f t="array" ref="A25">XLOOKUP(C25, 'マスタ'!$C$2:$C$312, 'マスタ'!$D$2:$D$312, "マスタ未登録")</f>
        <v>他勘定振替高</v>
      </c>
      <c r="B25" s="53" t="str">
        <f>IF(AND(C25&lt;&gt;"", COUNTIF('マスタ'!$C:$C, C25)=0), "マスタ未登録", "")</f>
        <v/>
      </c>
      <c r="C25" s="53" t="str">
        <f t="shared" si="1"/>
        <v>他勘定振替高(商)</v>
      </c>
      <c r="G25" s="38" t="s">
        <v>235</v>
      </c>
      <c r="J25" s="38">
        <v>0.0</v>
      </c>
      <c r="K25" s="38">
        <v>0.0</v>
      </c>
      <c r="L25" s="38">
        <v>0.0</v>
      </c>
      <c r="M25" s="38">
        <v>0.0</v>
      </c>
      <c r="N25" s="38">
        <v>0.0</v>
      </c>
      <c r="O25" s="38">
        <v>0.0</v>
      </c>
      <c r="P25" s="38">
        <v>0.0</v>
      </c>
      <c r="Q25" s="38">
        <v>0.0</v>
      </c>
      <c r="R25" s="38">
        <v>0.0</v>
      </c>
      <c r="S25" s="38">
        <v>0.0</v>
      </c>
      <c r="T25" s="38">
        <v>0.0</v>
      </c>
      <c r="U25" s="38">
        <v>0.0</v>
      </c>
      <c r="V25" s="38">
        <v>0.0</v>
      </c>
    </row>
    <row r="26" ht="15.75" customHeight="1">
      <c r="A26" s="59" t="str">
        <f t="array" ref="A26">XLOOKUP(C26, 'マスタ'!$C$2:$C$312, 'マスタ'!$D$2:$D$312, "マスタ未登録")</f>
        <v>期末商品棚卸高</v>
      </c>
      <c r="B26" s="53" t="str">
        <f>IF(AND(C26&lt;&gt;"", COUNTIF('マスタ'!$C:$C, C26)=0), "マスタ未登録", "")</f>
        <v/>
      </c>
      <c r="C26" s="53" t="str">
        <f t="shared" si="1"/>
        <v>期末商品棚卸</v>
      </c>
      <c r="G26" s="38" t="s">
        <v>236</v>
      </c>
      <c r="J26" s="38">
        <v>0.0</v>
      </c>
      <c r="K26" s="38">
        <v>0.0</v>
      </c>
      <c r="L26" s="38">
        <v>0.0</v>
      </c>
      <c r="M26" s="38">
        <v>0.0</v>
      </c>
      <c r="N26" s="38">
        <v>0.0</v>
      </c>
      <c r="O26" s="38">
        <v>0.0</v>
      </c>
      <c r="P26" s="38">
        <v>0.0</v>
      </c>
      <c r="Q26" s="38">
        <v>0.0</v>
      </c>
      <c r="R26" s="38">
        <v>0.0</v>
      </c>
      <c r="S26" s="38">
        <v>0.0</v>
      </c>
      <c r="T26" s="38">
        <v>0.0</v>
      </c>
      <c r="U26" s="38">
        <v>0.0</v>
      </c>
      <c r="V26" s="38">
        <v>0.0</v>
      </c>
    </row>
    <row r="27" ht="15.75" customHeight="1">
      <c r="A27" s="59" t="str">
        <f t="array" ref="A27">XLOOKUP(C27, 'マスタ'!$C$2:$C$312, 'マスタ'!$D$2:$D$312, "マスタ未登録")</f>
        <v>マスタ未登録</v>
      </c>
      <c r="B27" s="53" t="str">
        <f>IF(AND(C27&lt;&gt;"", COUNTIF('マスタ'!$C:$C, C27)=0), "マスタ未登録", "")</f>
        <v>マスタ未登録</v>
      </c>
      <c r="C27" s="53" t="str">
        <f t="shared" si="1"/>
        <v>商品売上原価</v>
      </c>
      <c r="F27" s="38" t="s">
        <v>3</v>
      </c>
      <c r="J27" s="38">
        <v>1.45929131E8</v>
      </c>
      <c r="K27" s="38">
        <v>3860336.0</v>
      </c>
      <c r="L27" s="38">
        <v>5.57340388E8</v>
      </c>
      <c r="M27" s="38">
        <v>7.48318986E8</v>
      </c>
      <c r="N27" s="38">
        <v>2.6441388E7</v>
      </c>
      <c r="O27" s="38">
        <v>7.7789995E7</v>
      </c>
      <c r="P27" s="38">
        <v>0.0</v>
      </c>
      <c r="Q27" s="38">
        <v>2970000.0</v>
      </c>
      <c r="R27" s="38">
        <v>2.948E7</v>
      </c>
      <c r="S27" s="38">
        <v>0.0</v>
      </c>
      <c r="T27" s="38">
        <v>1.3805E7</v>
      </c>
      <c r="U27" s="38">
        <v>0.0</v>
      </c>
      <c r="V27" s="38">
        <v>1.605935224E9</v>
      </c>
    </row>
    <row r="28" ht="15.75" customHeight="1">
      <c r="A28" s="59" t="str">
        <f t="array" ref="A28">XLOOKUP(C28, 'マスタ'!$C$2:$C$312, 'マスタ'!$D$2:$D$312, "マスタ未登録")</f>
        <v>マスタ未登録</v>
      </c>
      <c r="B28" s="53" t="str">
        <f>IF(AND(C28&lt;&gt;"", COUNTIF('マスタ'!$C:$C, C28)=0), "マスタ未登録", "")</f>
        <v>マスタ未登録</v>
      </c>
      <c r="C28" s="53" t="str">
        <f t="shared" si="1"/>
        <v>売上総損益金額</v>
      </c>
      <c r="D28" s="38" t="s">
        <v>237</v>
      </c>
      <c r="J28" s="38">
        <v>6.6291177E7</v>
      </c>
      <c r="K28" s="38">
        <v>3395296.0</v>
      </c>
      <c r="L28" s="38">
        <v>4.3854852E7</v>
      </c>
      <c r="M28" s="38">
        <v>3.3407112E7</v>
      </c>
      <c r="N28" s="38">
        <v>6436313.0</v>
      </c>
      <c r="O28" s="38">
        <v>-7.7738995E7</v>
      </c>
      <c r="P28" s="38">
        <v>0.0</v>
      </c>
      <c r="Q28" s="38">
        <v>-2970000.0</v>
      </c>
      <c r="R28" s="38">
        <v>-2.948E7</v>
      </c>
      <c r="S28" s="38">
        <v>0.0</v>
      </c>
      <c r="T28" s="38">
        <v>-1.3805E7</v>
      </c>
      <c r="U28" s="38">
        <v>0.0</v>
      </c>
      <c r="V28" s="38">
        <v>2.9390755E7</v>
      </c>
    </row>
    <row r="29" ht="15.75" customHeight="1">
      <c r="A29" s="59" t="str">
        <f t="array" ref="A29">XLOOKUP(C29, 'マスタ'!$C$2:$C$312, 'マスタ'!$D$2:$D$312, "マスタ未登録")</f>
        <v>マスタ未登録</v>
      </c>
      <c r="B29" s="53" t="str">
        <f>IF(AND(C29&lt;&gt;"", COUNTIF('マスタ'!$C:$C, C29)=0), "マスタ未登録", "")</f>
        <v>マスタ未登録</v>
      </c>
      <c r="C29" s="53" t="str">
        <f t="shared" si="1"/>
        <v>販売管理費</v>
      </c>
      <c r="E29" s="38" t="s">
        <v>238</v>
      </c>
    </row>
    <row r="30" ht="15.75" customHeight="1">
      <c r="A30" s="59" t="str">
        <f t="array" ref="A30">XLOOKUP(C30, 'マスタ'!$C$2:$C$312, 'マスタ'!$D$2:$D$312, "マスタ未登録")</f>
        <v>役員報酬</v>
      </c>
      <c r="B30" s="53" t="str">
        <f>IF(AND(C30&lt;&gt;"", COUNTIF('マスタ'!$C:$C, C30)=0), "マスタ未登録", "")</f>
        <v/>
      </c>
      <c r="C30" s="53" t="str">
        <f t="shared" si="1"/>
        <v>役員報酬</v>
      </c>
      <c r="F30" s="38" t="s">
        <v>72</v>
      </c>
      <c r="J30" s="38">
        <v>5000000.0</v>
      </c>
      <c r="K30" s="38">
        <v>5000000.0</v>
      </c>
      <c r="L30" s="38">
        <v>5000000.0</v>
      </c>
      <c r="M30" s="38">
        <v>5000000.0</v>
      </c>
      <c r="N30" s="38">
        <v>5400000.0</v>
      </c>
      <c r="O30" s="38">
        <v>0.0</v>
      </c>
      <c r="P30" s="38">
        <v>0.0</v>
      </c>
      <c r="Q30" s="38">
        <v>0.0</v>
      </c>
      <c r="R30" s="38">
        <v>0.0</v>
      </c>
      <c r="S30" s="38">
        <v>0.0</v>
      </c>
      <c r="T30" s="38">
        <v>0.0</v>
      </c>
      <c r="U30" s="38">
        <v>0.0</v>
      </c>
      <c r="V30" s="38">
        <v>2.54E7</v>
      </c>
    </row>
    <row r="31" ht="15.75" customHeight="1">
      <c r="A31" s="59" t="str">
        <f t="array" ref="A31">XLOOKUP(C31, 'マスタ'!$C$2:$C$312, 'マスタ'!$D$2:$D$312, "マスタ未登録")</f>
        <v>給料手当</v>
      </c>
      <c r="B31" s="53" t="str">
        <f>IF(AND(C31&lt;&gt;"", COUNTIF('マスタ'!$C:$C, C31)=0), "マスタ未登録", "")</f>
        <v/>
      </c>
      <c r="C31" s="53" t="str">
        <f t="shared" si="1"/>
        <v>給料手当</v>
      </c>
      <c r="F31" s="38" t="s">
        <v>73</v>
      </c>
      <c r="J31" s="38">
        <v>6300171.0</v>
      </c>
      <c r="K31" s="38">
        <v>6300171.0</v>
      </c>
      <c r="L31" s="38">
        <v>6255017.0</v>
      </c>
      <c r="M31" s="38">
        <v>6010604.0</v>
      </c>
      <c r="N31" s="38">
        <v>7924909.0</v>
      </c>
      <c r="O31" s="38">
        <v>0.0</v>
      </c>
      <c r="P31" s="38">
        <v>0.0</v>
      </c>
      <c r="Q31" s="38">
        <v>0.0</v>
      </c>
      <c r="R31" s="38">
        <v>0.0</v>
      </c>
      <c r="S31" s="38">
        <v>0.0</v>
      </c>
      <c r="T31" s="38">
        <v>0.0</v>
      </c>
      <c r="U31" s="38">
        <v>0.0</v>
      </c>
      <c r="V31" s="38">
        <v>3.2790872E7</v>
      </c>
    </row>
    <row r="32" ht="15.75" customHeight="1">
      <c r="A32" s="59" t="str">
        <f t="array" ref="A32">XLOOKUP(C32, 'マスタ'!$C$2:$C$312, 'マスタ'!$D$2:$D$312, "マスタ未登録")</f>
        <v>賞与</v>
      </c>
      <c r="B32" s="53" t="str">
        <f>IF(AND(C32&lt;&gt;"", COUNTIF('マスタ'!$C:$C, C32)=0), "マスタ未登録", "")</f>
        <v/>
      </c>
      <c r="C32" s="53" t="str">
        <f t="shared" si="1"/>
        <v>賞与</v>
      </c>
      <c r="F32" s="38" t="s">
        <v>177</v>
      </c>
      <c r="J32" s="38">
        <v>0.0</v>
      </c>
      <c r="K32" s="38">
        <v>0.0</v>
      </c>
      <c r="L32" s="38">
        <v>0.0</v>
      </c>
      <c r="M32" s="38">
        <v>0.0</v>
      </c>
      <c r="N32" s="38">
        <v>1050000.0</v>
      </c>
      <c r="O32" s="38">
        <v>0.0</v>
      </c>
      <c r="P32" s="38">
        <v>0.0</v>
      </c>
      <c r="Q32" s="38">
        <v>0.0</v>
      </c>
      <c r="R32" s="38">
        <v>0.0</v>
      </c>
      <c r="S32" s="38">
        <v>0.0</v>
      </c>
      <c r="T32" s="38">
        <v>0.0</v>
      </c>
      <c r="U32" s="38">
        <v>0.0</v>
      </c>
      <c r="V32" s="38">
        <v>1050000.0</v>
      </c>
    </row>
    <row r="33" ht="15.75" customHeight="1">
      <c r="A33" s="59" t="str">
        <f t="array" ref="A33">XLOOKUP(C33, 'マスタ'!$C$2:$C$312, 'マスタ'!$D$2:$D$312, "マスタ未登録")</f>
        <v>法定福利費</v>
      </c>
      <c r="B33" s="53" t="str">
        <f>IF(AND(C33&lt;&gt;"", COUNTIF('マスタ'!$C:$C, C33)=0), "マスタ未登録", "")</f>
        <v/>
      </c>
      <c r="C33" s="53" t="str">
        <f t="shared" si="1"/>
        <v>法定福利費</v>
      </c>
      <c r="F33" s="38" t="s">
        <v>74</v>
      </c>
      <c r="J33" s="38">
        <v>1015326.0</v>
      </c>
      <c r="K33" s="38">
        <v>1015326.0</v>
      </c>
      <c r="L33" s="38">
        <v>1015169.0</v>
      </c>
      <c r="M33" s="38">
        <v>1149953.0</v>
      </c>
      <c r="N33" s="38">
        <v>1235835.0</v>
      </c>
      <c r="O33" s="38">
        <v>0.0</v>
      </c>
      <c r="P33" s="38">
        <v>0.0</v>
      </c>
      <c r="Q33" s="38">
        <v>0.0</v>
      </c>
      <c r="R33" s="38">
        <v>0.0</v>
      </c>
      <c r="S33" s="38">
        <v>0.0</v>
      </c>
      <c r="T33" s="38">
        <v>0.0</v>
      </c>
      <c r="U33" s="38">
        <v>0.0</v>
      </c>
      <c r="V33" s="38">
        <v>5431609.0</v>
      </c>
    </row>
    <row r="34" ht="15.75" customHeight="1">
      <c r="A34" s="59" t="str">
        <f t="array" ref="A34">XLOOKUP(C34, 'マスタ'!$C$2:$C$312, 'マスタ'!$D$2:$D$312, "マスタ未登録")</f>
        <v>福利厚生費</v>
      </c>
      <c r="B34" s="53" t="str">
        <f>IF(AND(C34&lt;&gt;"", COUNTIF('マスタ'!$C:$C, C34)=0), "マスタ未登録", "")</f>
        <v/>
      </c>
      <c r="C34" s="53" t="str">
        <f t="shared" si="1"/>
        <v>福利厚生費</v>
      </c>
      <c r="F34" s="38" t="s">
        <v>75</v>
      </c>
      <c r="J34" s="38">
        <v>125400.0</v>
      </c>
      <c r="K34" s="38">
        <v>213657.0</v>
      </c>
      <c r="L34" s="38">
        <v>-31500.0</v>
      </c>
      <c r="M34" s="38">
        <v>-15492.0</v>
      </c>
      <c r="N34" s="38">
        <v>42000.0</v>
      </c>
      <c r="O34" s="38">
        <v>98000.0</v>
      </c>
      <c r="P34" s="38">
        <v>98000.0</v>
      </c>
      <c r="Q34" s="38">
        <v>0.0</v>
      </c>
      <c r="R34" s="38">
        <v>0.0</v>
      </c>
      <c r="S34" s="38">
        <v>0.0</v>
      </c>
      <c r="T34" s="38">
        <v>0.0</v>
      </c>
      <c r="U34" s="38">
        <v>0.0</v>
      </c>
      <c r="V34" s="38">
        <v>530065.0</v>
      </c>
    </row>
    <row r="35" ht="15.75" customHeight="1">
      <c r="A35" s="59" t="str">
        <f t="array" ref="A35">XLOOKUP(C35, 'マスタ'!$C$2:$C$312, 'マスタ'!$D$2:$D$312, "マスタ未登録")</f>
        <v>旅費交通費</v>
      </c>
      <c r="B35" s="53" t="str">
        <f>IF(AND(C35&lt;&gt;"", COUNTIF('マスタ'!$C:$C, C35)=0), "マスタ未登録", "")</f>
        <v/>
      </c>
      <c r="C35" s="53" t="str">
        <f t="shared" si="1"/>
        <v>旅費交通費</v>
      </c>
      <c r="F35" s="38" t="s">
        <v>83</v>
      </c>
      <c r="J35" s="38">
        <v>97498.0</v>
      </c>
      <c r="K35" s="38">
        <v>84374.0</v>
      </c>
      <c r="L35" s="38">
        <v>78798.0</v>
      </c>
      <c r="M35" s="38">
        <v>147165.0</v>
      </c>
      <c r="N35" s="38">
        <v>79115.0</v>
      </c>
      <c r="O35" s="38">
        <v>0.0</v>
      </c>
      <c r="P35" s="38">
        <v>0.0</v>
      </c>
      <c r="Q35" s="38">
        <v>0.0</v>
      </c>
      <c r="R35" s="38">
        <v>0.0</v>
      </c>
      <c r="S35" s="38">
        <v>0.0</v>
      </c>
      <c r="T35" s="38">
        <v>0.0</v>
      </c>
      <c r="U35" s="38">
        <v>0.0</v>
      </c>
      <c r="V35" s="38">
        <v>486950.0</v>
      </c>
    </row>
    <row r="36" ht="15.75" customHeight="1">
      <c r="A36" s="59" t="str">
        <f t="array" ref="A36">XLOOKUP(C36, 'マスタ'!$C$2:$C$312, 'マスタ'!$D$2:$D$312, "マスタ未登録")</f>
        <v>通信費</v>
      </c>
      <c r="B36" s="53" t="str">
        <f>IF(AND(C36&lt;&gt;"", COUNTIF('マスタ'!$C:$C, C36)=0), "マスタ未登録", "")</f>
        <v/>
      </c>
      <c r="C36" s="53" t="str">
        <f t="shared" si="1"/>
        <v>通信費</v>
      </c>
      <c r="F36" s="38" t="s">
        <v>84</v>
      </c>
      <c r="J36" s="38">
        <v>163061.0</v>
      </c>
      <c r="K36" s="38">
        <v>205023.0</v>
      </c>
      <c r="L36" s="38">
        <v>679265.0</v>
      </c>
      <c r="M36" s="38">
        <v>345383.0</v>
      </c>
      <c r="N36" s="38">
        <v>275508.0</v>
      </c>
      <c r="O36" s="38">
        <v>317570.0</v>
      </c>
      <c r="P36" s="38">
        <v>0.0</v>
      </c>
      <c r="Q36" s="38">
        <v>0.0</v>
      </c>
      <c r="R36" s="38">
        <v>0.0</v>
      </c>
      <c r="S36" s="38">
        <v>0.0</v>
      </c>
      <c r="T36" s="38">
        <v>0.0</v>
      </c>
      <c r="U36" s="38">
        <v>0.0</v>
      </c>
      <c r="V36" s="38">
        <v>1985810.0</v>
      </c>
    </row>
    <row r="37" ht="15.75" customHeight="1">
      <c r="A37" s="59" t="str">
        <f t="array" ref="A37">XLOOKUP(C37, 'マスタ'!$C$2:$C$312, 'マスタ'!$D$2:$D$312, "マスタ未登録")</f>
        <v>研修費</v>
      </c>
      <c r="B37" s="53" t="str">
        <f>IF(AND(C37&lt;&gt;"", COUNTIF('マスタ'!$C:$C, C37)=0), "マスタ未登録", "")</f>
        <v/>
      </c>
      <c r="C37" s="53" t="str">
        <f t="shared" si="1"/>
        <v>研修費</v>
      </c>
      <c r="F37" s="38" t="s">
        <v>97</v>
      </c>
      <c r="J37" s="38">
        <v>293854.0</v>
      </c>
      <c r="K37" s="38">
        <v>9650286.0</v>
      </c>
      <c r="L37" s="38">
        <v>32297.0</v>
      </c>
      <c r="M37" s="38">
        <v>0.0</v>
      </c>
      <c r="N37" s="38">
        <v>0.0</v>
      </c>
      <c r="O37" s="38">
        <v>0.0</v>
      </c>
      <c r="P37" s="38">
        <v>0.0</v>
      </c>
      <c r="Q37" s="38">
        <v>0.0</v>
      </c>
      <c r="R37" s="38">
        <v>0.0</v>
      </c>
      <c r="S37" s="38">
        <v>0.0</v>
      </c>
      <c r="T37" s="38">
        <v>0.0</v>
      </c>
      <c r="U37" s="38">
        <v>0.0</v>
      </c>
      <c r="V37" s="38">
        <v>9976437.0</v>
      </c>
    </row>
    <row r="38" ht="15.75" customHeight="1">
      <c r="A38" s="59" t="str">
        <f t="array" ref="A38">XLOOKUP(C38, 'マスタ'!$C$2:$C$312, 'マスタ'!$D$2:$D$312, "マスタ未登録")</f>
        <v>業務委託費</v>
      </c>
      <c r="B38" s="53" t="str">
        <f>IF(AND(C38&lt;&gt;"", COUNTIF('マスタ'!$C:$C, C38)=0), "マスタ未登録", "")</f>
        <v/>
      </c>
      <c r="C38" s="53" t="str">
        <f t="shared" si="1"/>
        <v>業務委託費</v>
      </c>
      <c r="F38" s="38" t="s">
        <v>78</v>
      </c>
      <c r="J38" s="38">
        <v>101750.0</v>
      </c>
      <c r="K38" s="38">
        <v>101970.0</v>
      </c>
      <c r="L38" s="38">
        <v>136400.0</v>
      </c>
      <c r="M38" s="38">
        <v>166320.0</v>
      </c>
      <c r="N38" s="38">
        <v>115435.0</v>
      </c>
      <c r="O38" s="38">
        <v>0.0</v>
      </c>
      <c r="P38" s="38">
        <v>0.0</v>
      </c>
      <c r="Q38" s="38">
        <v>0.0</v>
      </c>
      <c r="R38" s="38">
        <v>0.0</v>
      </c>
      <c r="S38" s="38">
        <v>0.0</v>
      </c>
      <c r="T38" s="38">
        <v>0.0</v>
      </c>
      <c r="U38" s="38">
        <v>0.0</v>
      </c>
      <c r="V38" s="38">
        <v>621875.0</v>
      </c>
    </row>
    <row r="39" ht="15.75" customHeight="1">
      <c r="A39" s="59" t="str">
        <f t="array" ref="A39">XLOOKUP(C39, 'マスタ'!$C$2:$C$312, 'マスタ'!$D$2:$D$312, "マスタ未登録")</f>
        <v>支払報酬</v>
      </c>
      <c r="B39" s="53" t="str">
        <f>IF(AND(C39&lt;&gt;"", COUNTIF('マスタ'!$C:$C, C39)=0), "マスタ未登録", "")</f>
        <v/>
      </c>
      <c r="C39" s="53" t="str">
        <f t="shared" si="1"/>
        <v>支払報酬料</v>
      </c>
      <c r="F39" s="38" t="s">
        <v>239</v>
      </c>
      <c r="J39" s="38">
        <v>115720.0</v>
      </c>
      <c r="K39" s="38">
        <v>376420.0</v>
      </c>
      <c r="L39" s="38">
        <v>451000.0</v>
      </c>
      <c r="M39" s="38">
        <v>165000.0</v>
      </c>
      <c r="N39" s="38">
        <v>154000.0</v>
      </c>
      <c r="O39" s="38">
        <v>2034442.0</v>
      </c>
      <c r="P39" s="38">
        <v>0.0</v>
      </c>
      <c r="Q39" s="38">
        <v>0.0</v>
      </c>
      <c r="R39" s="38">
        <v>0.0</v>
      </c>
      <c r="S39" s="38">
        <v>0.0</v>
      </c>
      <c r="T39" s="38">
        <v>0.0</v>
      </c>
      <c r="U39" s="38">
        <v>0.0</v>
      </c>
      <c r="V39" s="38">
        <v>3296582.0</v>
      </c>
    </row>
    <row r="40" ht="15.75" customHeight="1">
      <c r="A40" s="59" t="str">
        <f t="array" ref="A40">XLOOKUP(C40, 'マスタ'!$C$2:$C$312, 'マスタ'!$D$2:$D$312, "マスタ未登録")</f>
        <v>荷造運賃</v>
      </c>
      <c r="B40" s="53" t="str">
        <f>IF(AND(C40&lt;&gt;"", COUNTIF('マスタ'!$C:$C, C40)=0), "マスタ未登録", "")</f>
        <v/>
      </c>
      <c r="C40" s="53" t="str">
        <f t="shared" si="1"/>
        <v>荷造運賃</v>
      </c>
      <c r="F40" s="38" t="s">
        <v>80</v>
      </c>
      <c r="J40" s="38">
        <v>5060.0</v>
      </c>
      <c r="K40" s="38">
        <v>167607.0</v>
      </c>
      <c r="L40" s="38">
        <v>240130.0</v>
      </c>
      <c r="M40" s="38">
        <v>424975.0</v>
      </c>
      <c r="N40" s="38">
        <v>3234264.0</v>
      </c>
      <c r="O40" s="38">
        <v>0.0</v>
      </c>
      <c r="P40" s="38">
        <v>0.0</v>
      </c>
      <c r="Q40" s="38">
        <v>0.0</v>
      </c>
      <c r="R40" s="38">
        <v>0.0</v>
      </c>
      <c r="S40" s="38">
        <v>0.0</v>
      </c>
      <c r="T40" s="38">
        <v>0.0</v>
      </c>
      <c r="U40" s="38">
        <v>0.0</v>
      </c>
      <c r="V40" s="38">
        <v>4072036.0</v>
      </c>
    </row>
    <row r="41" ht="15.75" customHeight="1">
      <c r="A41" s="59" t="str">
        <f t="array" ref="A41">XLOOKUP(C41, 'マスタ'!$C$2:$C$312, 'マスタ'!$D$2:$D$312, "マスタ未登録")</f>
        <v>支払手数料</v>
      </c>
      <c r="B41" s="53" t="str">
        <f>IF(AND(C41&lt;&gt;"", COUNTIF('マスタ'!$C:$C, C41)=0), "マスタ未登録", "")</f>
        <v/>
      </c>
      <c r="C41" s="53" t="str">
        <f t="shared" si="1"/>
        <v>支払手数料</v>
      </c>
      <c r="F41" s="38" t="s">
        <v>92</v>
      </c>
      <c r="J41" s="38">
        <v>888960.0</v>
      </c>
      <c r="K41" s="38">
        <v>193668.0</v>
      </c>
      <c r="L41" s="38">
        <v>68882.0</v>
      </c>
      <c r="M41" s="38">
        <v>166960.0</v>
      </c>
      <c r="N41" s="38">
        <v>139626.0</v>
      </c>
      <c r="O41" s="38">
        <v>43287.0</v>
      </c>
      <c r="P41" s="38">
        <v>10780.0</v>
      </c>
      <c r="Q41" s="38">
        <v>0.0</v>
      </c>
      <c r="R41" s="38">
        <v>0.0</v>
      </c>
      <c r="S41" s="38">
        <v>0.0</v>
      </c>
      <c r="T41" s="38">
        <v>0.0</v>
      </c>
      <c r="U41" s="38">
        <v>0.0</v>
      </c>
      <c r="V41" s="38">
        <v>1512163.0</v>
      </c>
    </row>
    <row r="42" ht="15.75" customHeight="1">
      <c r="A42" s="59" t="str">
        <f t="array" ref="A42">XLOOKUP(C42, 'マスタ'!$C$2:$C$312, 'マスタ'!$D$2:$D$312, "マスタ未登録")</f>
        <v>減価償却費</v>
      </c>
      <c r="B42" s="53" t="str">
        <f>IF(AND(C42&lt;&gt;"", COUNTIF('マスタ'!$C:$C, C42)=0), "マスタ未登録", "")</f>
        <v/>
      </c>
      <c r="C42" s="53" t="str">
        <f t="shared" si="1"/>
        <v>減価償却費</v>
      </c>
      <c r="F42" s="38" t="s">
        <v>95</v>
      </c>
      <c r="J42" s="38">
        <v>0.0</v>
      </c>
      <c r="K42" s="38">
        <v>670462.0</v>
      </c>
      <c r="L42" s="38">
        <v>335231.0</v>
      </c>
      <c r="M42" s="38">
        <v>335231.0</v>
      </c>
      <c r="N42" s="38">
        <v>335231.0</v>
      </c>
      <c r="O42" s="38">
        <v>335231.0</v>
      </c>
      <c r="P42" s="38">
        <v>335231.0</v>
      </c>
      <c r="Q42" s="38">
        <v>335231.0</v>
      </c>
      <c r="R42" s="38">
        <v>335231.0</v>
      </c>
      <c r="S42" s="38">
        <v>335231.0</v>
      </c>
      <c r="T42" s="38">
        <v>335231.0</v>
      </c>
      <c r="U42" s="38">
        <v>335237.0</v>
      </c>
      <c r="V42" s="38">
        <v>4022778.0</v>
      </c>
    </row>
    <row r="43" ht="15.75" customHeight="1">
      <c r="A43" s="59" t="str">
        <f t="array" ref="A43">XLOOKUP(C43, 'マスタ'!$C$2:$C$312, 'マスタ'!$D$2:$D$312, "マスタ未登録")</f>
        <v>地代家賃</v>
      </c>
      <c r="B43" s="53" t="str">
        <f>IF(AND(C43&lt;&gt;"", COUNTIF('マスタ'!$C:$C, C43)=0), "マスタ未登録", "")</f>
        <v/>
      </c>
      <c r="C43" s="53" t="str">
        <f t="shared" si="1"/>
        <v>地代家賃</v>
      </c>
      <c r="F43" s="38" t="s">
        <v>87</v>
      </c>
      <c r="J43" s="38">
        <v>833548.0</v>
      </c>
      <c r="K43" s="38">
        <v>833548.0</v>
      </c>
      <c r="L43" s="38">
        <v>884456.0</v>
      </c>
      <c r="M43" s="38">
        <v>866004.0</v>
      </c>
      <c r="N43" s="38">
        <v>884456.0</v>
      </c>
      <c r="O43" s="38">
        <v>209743.0</v>
      </c>
      <c r="P43" s="38">
        <v>1341305.0</v>
      </c>
      <c r="Q43" s="38">
        <v>0.0</v>
      </c>
      <c r="R43" s="38">
        <v>0.0</v>
      </c>
      <c r="S43" s="38">
        <v>0.0</v>
      </c>
      <c r="T43" s="38">
        <v>0.0</v>
      </c>
      <c r="U43" s="38">
        <v>0.0</v>
      </c>
      <c r="V43" s="38">
        <v>5853060.0</v>
      </c>
    </row>
    <row r="44" ht="15.75" customHeight="1">
      <c r="A44" s="59" t="str">
        <f t="array" ref="A44">XLOOKUP(C44, 'マスタ'!$C$2:$C$312, 'マスタ'!$D$2:$D$312, "マスタ未登録")</f>
        <v>車両費</v>
      </c>
      <c r="B44" s="53" t="str">
        <f>IF(AND(C44&lt;&gt;"", COUNTIF('マスタ'!$C:$C, C44)=0), "マスタ未登録", "")</f>
        <v/>
      </c>
      <c r="C44" s="53" t="str">
        <f t="shared" si="1"/>
        <v>車両費</v>
      </c>
      <c r="F44" s="38" t="s">
        <v>386</v>
      </c>
      <c r="J44" s="38">
        <v>0.0</v>
      </c>
      <c r="K44" s="38">
        <v>0.0</v>
      </c>
      <c r="L44" s="38">
        <v>115434.0</v>
      </c>
      <c r="M44" s="38">
        <v>0.0</v>
      </c>
      <c r="N44" s="38">
        <v>0.0</v>
      </c>
      <c r="O44" s="38">
        <v>0.0</v>
      </c>
      <c r="P44" s="38">
        <v>0.0</v>
      </c>
      <c r="Q44" s="38">
        <v>0.0</v>
      </c>
      <c r="R44" s="38">
        <v>0.0</v>
      </c>
      <c r="S44" s="38">
        <v>0.0</v>
      </c>
      <c r="T44" s="38">
        <v>0.0</v>
      </c>
      <c r="U44" s="38">
        <v>0.0</v>
      </c>
      <c r="V44" s="38">
        <v>115434.0</v>
      </c>
    </row>
    <row r="45" ht="15.75" customHeight="1">
      <c r="A45" s="59" t="str">
        <f t="array" ref="A45">XLOOKUP(C45, 'マスタ'!$C$2:$C$312, 'マスタ'!$D$2:$D$312, "マスタ未登録")</f>
        <v>消耗品費</v>
      </c>
      <c r="B45" s="53" t="str">
        <f>IF(AND(C45&lt;&gt;"", COUNTIF('マスタ'!$C:$C, C45)=0), "マスタ未登録", "")</f>
        <v/>
      </c>
      <c r="C45" s="53" t="str">
        <f t="shared" si="1"/>
        <v>消耗品費</v>
      </c>
      <c r="F45" s="38" t="s">
        <v>86</v>
      </c>
      <c r="J45" s="38">
        <v>52572.0</v>
      </c>
      <c r="K45" s="38">
        <v>577306.0</v>
      </c>
      <c r="L45" s="38">
        <v>108971.0</v>
      </c>
      <c r="M45" s="38">
        <v>42287.0</v>
      </c>
      <c r="N45" s="38">
        <v>129190.0</v>
      </c>
      <c r="O45" s="38">
        <v>0.0</v>
      </c>
      <c r="P45" s="38">
        <v>0.0</v>
      </c>
      <c r="Q45" s="38">
        <v>0.0</v>
      </c>
      <c r="R45" s="38">
        <v>0.0</v>
      </c>
      <c r="S45" s="38">
        <v>0.0</v>
      </c>
      <c r="T45" s="38">
        <v>0.0</v>
      </c>
      <c r="U45" s="38">
        <v>0.0</v>
      </c>
      <c r="V45" s="38">
        <v>910326.0</v>
      </c>
    </row>
    <row r="46" ht="15.75" customHeight="1">
      <c r="A46" s="59" t="str">
        <f t="array" ref="A46">XLOOKUP(C46, 'マスタ'!$C$2:$C$312, 'マスタ'!$D$2:$D$312, "マスタ未登録")</f>
        <v>会議費</v>
      </c>
      <c r="B46" s="53" t="str">
        <f>IF(AND(C46&lt;&gt;"", COUNTIF('マスタ'!$C:$C, C46)=0), "マスタ未登録", "")</f>
        <v/>
      </c>
      <c r="C46" s="53" t="str">
        <f t="shared" si="1"/>
        <v>会議費</v>
      </c>
      <c r="F46" s="38" t="s">
        <v>94</v>
      </c>
      <c r="J46" s="38">
        <v>20397.0</v>
      </c>
      <c r="K46" s="38">
        <v>35778.0</v>
      </c>
      <c r="L46" s="38">
        <v>49249.0</v>
      </c>
      <c r="M46" s="38">
        <v>104590.0</v>
      </c>
      <c r="N46" s="38">
        <v>22890.0</v>
      </c>
      <c r="O46" s="38">
        <v>0.0</v>
      </c>
      <c r="P46" s="38">
        <v>0.0</v>
      </c>
      <c r="Q46" s="38">
        <v>0.0</v>
      </c>
      <c r="R46" s="38">
        <v>0.0</v>
      </c>
      <c r="S46" s="38">
        <v>0.0</v>
      </c>
      <c r="T46" s="38">
        <v>0.0</v>
      </c>
      <c r="U46" s="38">
        <v>0.0</v>
      </c>
      <c r="V46" s="38">
        <v>232904.0</v>
      </c>
    </row>
    <row r="47" ht="15.75" customHeight="1">
      <c r="A47" s="59" t="str">
        <f t="array" ref="A47">XLOOKUP(C47, 'マスタ'!$C$2:$C$312, 'マスタ'!$D$2:$D$312, "マスタ未登録")</f>
        <v>接待交際費</v>
      </c>
      <c r="B47" s="53" t="str">
        <f>IF(AND(C47&lt;&gt;"", COUNTIF('マスタ'!$C:$C, C47)=0), "マスタ未登録", "")</f>
        <v/>
      </c>
      <c r="C47" s="53" t="str">
        <f t="shared" si="1"/>
        <v>交際費（11,000円超/人）</v>
      </c>
      <c r="F47" s="38" t="s">
        <v>241</v>
      </c>
      <c r="J47" s="38">
        <v>3217002.0</v>
      </c>
      <c r="K47" s="38">
        <v>4749217.0</v>
      </c>
      <c r="L47" s="38">
        <v>2373336.0</v>
      </c>
      <c r="M47" s="38">
        <v>1050645.0</v>
      </c>
      <c r="N47" s="38">
        <v>404675.0</v>
      </c>
      <c r="O47" s="38">
        <v>0.0</v>
      </c>
      <c r="P47" s="38">
        <v>0.0</v>
      </c>
      <c r="Q47" s="38">
        <v>0.0</v>
      </c>
      <c r="R47" s="38">
        <v>0.0</v>
      </c>
      <c r="S47" s="38">
        <v>0.0</v>
      </c>
      <c r="T47" s="38">
        <v>0.0</v>
      </c>
      <c r="U47" s="38">
        <v>0.0</v>
      </c>
      <c r="V47" s="38">
        <v>1.1794875E7</v>
      </c>
    </row>
    <row r="48" ht="15.75" customHeight="1">
      <c r="A48" s="59" t="str">
        <f t="array" ref="A48">XLOOKUP(C48, 'マスタ'!$C$2:$C$312, 'マスタ'!$D$2:$D$312, "マスタ未登録")</f>
        <v>接待交際費</v>
      </c>
      <c r="B48" s="53" t="str">
        <f>IF(AND(C48&lt;&gt;"", COUNTIF('マスタ'!$C:$C, C48)=0), "マスタ未登録", "")</f>
        <v/>
      </c>
      <c r="C48" s="53" t="str">
        <f t="shared" si="1"/>
        <v>交際費（11,000円以下/人）</v>
      </c>
      <c r="F48" s="38" t="s">
        <v>240</v>
      </c>
      <c r="J48" s="38">
        <v>543920.0</v>
      </c>
      <c r="K48" s="38">
        <v>334582.0</v>
      </c>
      <c r="L48" s="38">
        <v>317774.0</v>
      </c>
      <c r="M48" s="38">
        <v>362722.0</v>
      </c>
      <c r="N48" s="38">
        <v>0.0</v>
      </c>
      <c r="O48" s="38">
        <v>0.0</v>
      </c>
      <c r="P48" s="38">
        <v>0.0</v>
      </c>
      <c r="Q48" s="38">
        <v>0.0</v>
      </c>
      <c r="R48" s="38">
        <v>0.0</v>
      </c>
      <c r="S48" s="38">
        <v>0.0</v>
      </c>
      <c r="T48" s="38">
        <v>0.0</v>
      </c>
      <c r="U48" s="38">
        <v>0.0</v>
      </c>
      <c r="V48" s="38">
        <v>1558998.0</v>
      </c>
    </row>
    <row r="49" ht="15.75" customHeight="1">
      <c r="A49" s="59" t="str">
        <f t="array" ref="A49">XLOOKUP(C49, 'マスタ'!$C$2:$C$312, 'マスタ'!$D$2:$D$312, "マスタ未登録")</f>
        <v>接待交際費</v>
      </c>
      <c r="B49" s="53" t="str">
        <f>IF(AND(C49&lt;&gt;"", COUNTIF('マスタ'!$C:$C, C49)=0), "マスタ未登録", "")</f>
        <v/>
      </c>
      <c r="C49" s="53" t="str">
        <f t="shared" si="1"/>
        <v>交際費（その他）</v>
      </c>
      <c r="F49" s="38" t="s">
        <v>242</v>
      </c>
      <c r="J49" s="38">
        <v>4752.0</v>
      </c>
      <c r="K49" s="38">
        <v>0.0</v>
      </c>
      <c r="L49" s="38">
        <v>90060.0</v>
      </c>
      <c r="M49" s="38">
        <v>6321.0</v>
      </c>
      <c r="N49" s="38">
        <v>0.0</v>
      </c>
      <c r="O49" s="38">
        <v>0.0</v>
      </c>
      <c r="P49" s="38">
        <v>0.0</v>
      </c>
      <c r="Q49" s="38">
        <v>0.0</v>
      </c>
      <c r="R49" s="38">
        <v>0.0</v>
      </c>
      <c r="S49" s="38">
        <v>0.0</v>
      </c>
      <c r="T49" s="38">
        <v>0.0</v>
      </c>
      <c r="U49" s="38">
        <v>0.0</v>
      </c>
      <c r="V49" s="38">
        <v>101133.0</v>
      </c>
    </row>
    <row r="50" ht="15.75" customHeight="1">
      <c r="A50" s="59" t="str">
        <f t="array" ref="A50">XLOOKUP(C50, 'マスタ'!$C$2:$C$312, 'マスタ'!$D$2:$D$312, "マスタ未登録")</f>
        <v>保険料</v>
      </c>
      <c r="B50" s="53" t="str">
        <f>IF(AND(C50&lt;&gt;"", COUNTIF('マスタ'!$C:$C, C50)=0), "マスタ未登録", "")</f>
        <v/>
      </c>
      <c r="C50" s="53" t="str">
        <f t="shared" si="1"/>
        <v>保険料</v>
      </c>
      <c r="F50" s="38" t="s">
        <v>90</v>
      </c>
      <c r="J50" s="38">
        <v>0.0</v>
      </c>
      <c r="K50" s="38">
        <v>288590.0</v>
      </c>
      <c r="L50" s="38">
        <v>26440.0</v>
      </c>
      <c r="M50" s="38">
        <v>26440.0</v>
      </c>
      <c r="N50" s="38">
        <v>0.0</v>
      </c>
      <c r="O50" s="38">
        <v>0.0</v>
      </c>
      <c r="P50" s="38">
        <v>0.0</v>
      </c>
      <c r="Q50" s="38">
        <v>0.0</v>
      </c>
      <c r="R50" s="38">
        <v>0.0</v>
      </c>
      <c r="S50" s="38">
        <v>0.0</v>
      </c>
      <c r="T50" s="38">
        <v>0.0</v>
      </c>
      <c r="U50" s="38">
        <v>0.0</v>
      </c>
      <c r="V50" s="38">
        <v>341470.0</v>
      </c>
    </row>
    <row r="51" ht="15.75" customHeight="1">
      <c r="A51" s="59" t="str">
        <f t="array" ref="A51">XLOOKUP(C51, 'マスタ'!$C$2:$C$312, 'マスタ'!$D$2:$D$312, "マスタ未登録")</f>
        <v>租税公課</v>
      </c>
      <c r="B51" s="53" t="str">
        <f>IF(AND(C51&lt;&gt;"", COUNTIF('マスタ'!$C:$C, C51)=0), "マスタ未登録", "")</f>
        <v/>
      </c>
      <c r="C51" s="53" t="str">
        <f t="shared" si="1"/>
        <v>租税公課</v>
      </c>
      <c r="F51" s="38" t="s">
        <v>91</v>
      </c>
      <c r="J51" s="38">
        <v>600.0</v>
      </c>
      <c r="K51" s="38">
        <v>148100.0</v>
      </c>
      <c r="L51" s="38">
        <v>0.0</v>
      </c>
      <c r="M51" s="38">
        <v>144011.0</v>
      </c>
      <c r="N51" s="38">
        <v>0.0</v>
      </c>
      <c r="O51" s="38">
        <v>0.0</v>
      </c>
      <c r="P51" s="38">
        <v>0.0</v>
      </c>
      <c r="Q51" s="38">
        <v>0.0</v>
      </c>
      <c r="R51" s="38">
        <v>0.0</v>
      </c>
      <c r="S51" s="38">
        <v>0.0</v>
      </c>
      <c r="T51" s="38">
        <v>0.0</v>
      </c>
      <c r="U51" s="38">
        <v>0.0</v>
      </c>
      <c r="V51" s="38">
        <v>292711.0</v>
      </c>
    </row>
    <row r="52" ht="15.75" customHeight="1">
      <c r="A52" s="59" t="str">
        <f t="array" ref="A52">XLOOKUP(C52, 'マスタ'!$C$2:$C$312, 'マスタ'!$D$2:$D$312, "マスタ未登録")</f>
        <v>マスタ未登録</v>
      </c>
      <c r="B52" s="53" t="str">
        <f>IF(AND(C52&lt;&gt;"", COUNTIF('マスタ'!$C:$C, C52)=0), "マスタ未登録", "")</f>
        <v>マスタ未登録</v>
      </c>
      <c r="C52" s="53" t="str">
        <f t="shared" si="1"/>
        <v>販売管理費 計</v>
      </c>
      <c r="E52" s="38" t="s">
        <v>183</v>
      </c>
      <c r="J52" s="38">
        <v>1.8779591E7</v>
      </c>
      <c r="K52" s="38">
        <v>3.0946085E7</v>
      </c>
      <c r="L52" s="38">
        <v>1.8226409E7</v>
      </c>
      <c r="M52" s="38">
        <v>1.6499119E7</v>
      </c>
      <c r="N52" s="38">
        <v>2.1427134E7</v>
      </c>
      <c r="O52" s="38">
        <v>3038273.0</v>
      </c>
      <c r="P52" s="38">
        <v>1785316.0</v>
      </c>
      <c r="Q52" s="38">
        <v>335231.0</v>
      </c>
      <c r="R52" s="38">
        <v>335231.0</v>
      </c>
      <c r="S52" s="38">
        <v>335231.0</v>
      </c>
      <c r="T52" s="38">
        <v>335231.0</v>
      </c>
      <c r="U52" s="38">
        <v>335237.0</v>
      </c>
      <c r="V52" s="38">
        <v>1.12378088E8</v>
      </c>
    </row>
    <row r="53" ht="15.75" customHeight="1">
      <c r="A53" s="59" t="str">
        <f t="array" ref="A53">XLOOKUP(C53, 'マスタ'!$C$2:$C$312, 'マスタ'!$D$2:$D$312, "マスタ未登録")</f>
        <v>マスタ未登録</v>
      </c>
      <c r="B53" s="53" t="str">
        <f>IF(AND(C53&lt;&gt;"", COUNTIF('マスタ'!$C:$C, C53)=0), "マスタ未登録", "")</f>
        <v>マスタ未登録</v>
      </c>
      <c r="C53" s="53" t="str">
        <f t="shared" si="1"/>
        <v>営業損益金額</v>
      </c>
      <c r="D53" s="38" t="s">
        <v>184</v>
      </c>
      <c r="J53" s="38">
        <v>4.7511586E7</v>
      </c>
      <c r="K53" s="38">
        <v>-2.7550789E7</v>
      </c>
      <c r="L53" s="38">
        <v>2.5628443E7</v>
      </c>
      <c r="M53" s="38">
        <v>1.6907993E7</v>
      </c>
      <c r="N53" s="38">
        <v>-1.4990821E7</v>
      </c>
      <c r="O53" s="38">
        <v>-8.0777268E7</v>
      </c>
      <c r="P53" s="38">
        <v>-1785316.0</v>
      </c>
      <c r="Q53" s="38">
        <v>-3305231.0</v>
      </c>
      <c r="R53" s="38">
        <v>-2.9815231E7</v>
      </c>
      <c r="S53" s="38">
        <v>-335231.0</v>
      </c>
      <c r="T53" s="38">
        <v>-1.4140231E7</v>
      </c>
      <c r="U53" s="38">
        <v>-335237.0</v>
      </c>
      <c r="V53" s="38">
        <v>-8.2987333E7</v>
      </c>
    </row>
    <row r="54" ht="15.75" customHeight="1">
      <c r="A54" s="59" t="str">
        <f t="array" ref="A54">XLOOKUP(C54, 'マスタ'!$C$2:$C$312, 'マスタ'!$D$2:$D$312, "マスタ未登録")</f>
        <v>マスタ未登録</v>
      </c>
      <c r="B54" s="53" t="str">
        <f>IF(AND(C54&lt;&gt;"", COUNTIF('マスタ'!$C:$C, C54)=0), "マスタ未登録", "")</f>
        <v>マスタ未登録</v>
      </c>
      <c r="C54" s="53" t="str">
        <f t="shared" si="1"/>
        <v>営業外収益</v>
      </c>
      <c r="E54" s="38" t="s">
        <v>32</v>
      </c>
      <c r="J54" s="38">
        <v>25519.0</v>
      </c>
      <c r="K54" s="38">
        <v>16305.0</v>
      </c>
      <c r="L54" s="38">
        <v>90401.0</v>
      </c>
      <c r="M54" s="38">
        <v>5068.0</v>
      </c>
      <c r="N54" s="38">
        <v>48062.0</v>
      </c>
      <c r="O54" s="38">
        <v>20089.0</v>
      </c>
      <c r="P54" s="38">
        <v>0.0</v>
      </c>
      <c r="Q54" s="38">
        <v>0.0</v>
      </c>
      <c r="R54" s="38">
        <v>0.0</v>
      </c>
      <c r="S54" s="38">
        <v>0.0</v>
      </c>
      <c r="T54" s="38">
        <v>0.0</v>
      </c>
      <c r="U54" s="38">
        <v>0.0</v>
      </c>
      <c r="V54" s="38">
        <v>205444.0</v>
      </c>
    </row>
    <row r="55" ht="15.75" customHeight="1">
      <c r="A55" s="59" t="str">
        <f t="array" ref="A55">XLOOKUP(C55, 'マスタ'!$C$2:$C$312, 'マスタ'!$D$2:$D$312, "マスタ未登録")</f>
        <v>受取利息</v>
      </c>
      <c r="B55" s="53" t="str">
        <f>IF(AND(C55&lt;&gt;"", COUNTIF('マスタ'!$C:$C, C55)=0), "マスタ未登録", "")</f>
        <v/>
      </c>
      <c r="C55" s="53" t="str">
        <f t="shared" si="1"/>
        <v>受取利息</v>
      </c>
      <c r="F55" s="38" t="s">
        <v>103</v>
      </c>
      <c r="J55" s="38">
        <v>25519.0</v>
      </c>
      <c r="K55" s="38">
        <v>16305.0</v>
      </c>
      <c r="L55" s="38">
        <v>90401.0</v>
      </c>
      <c r="M55" s="38">
        <v>5067.0</v>
      </c>
      <c r="N55" s="38">
        <v>43935.0</v>
      </c>
      <c r="O55" s="38">
        <v>20089.0</v>
      </c>
      <c r="P55" s="38">
        <v>0.0</v>
      </c>
      <c r="Q55" s="38">
        <v>0.0</v>
      </c>
      <c r="R55" s="38">
        <v>0.0</v>
      </c>
      <c r="S55" s="38">
        <v>0.0</v>
      </c>
      <c r="T55" s="38">
        <v>0.0</v>
      </c>
      <c r="U55" s="38">
        <v>0.0</v>
      </c>
      <c r="V55" s="38">
        <v>201316.0</v>
      </c>
    </row>
    <row r="56" ht="15.75" customHeight="1">
      <c r="A56" s="59" t="str">
        <f t="array" ref="A56">XLOOKUP(C56, 'マスタ'!$C$2:$C$312, 'マスタ'!$D$2:$D$312, "マスタ未登録")</f>
        <v>雑収入</v>
      </c>
      <c r="B56" s="53" t="str">
        <f>IF(AND(C56&lt;&gt;"", COUNTIF('マスタ'!$C:$C, C56)=0), "マスタ未登録", "")</f>
        <v/>
      </c>
      <c r="C56" s="53" t="str">
        <f t="shared" si="1"/>
        <v>雑収入</v>
      </c>
      <c r="F56" s="38" t="s">
        <v>108</v>
      </c>
      <c r="J56" s="38">
        <v>0.0</v>
      </c>
      <c r="K56" s="38">
        <v>0.0</v>
      </c>
      <c r="L56" s="38">
        <v>0.0</v>
      </c>
      <c r="M56" s="38">
        <v>1.0</v>
      </c>
      <c r="N56" s="38">
        <v>4127.0</v>
      </c>
      <c r="O56" s="38">
        <v>0.0</v>
      </c>
      <c r="P56" s="38">
        <v>0.0</v>
      </c>
      <c r="Q56" s="38">
        <v>0.0</v>
      </c>
      <c r="R56" s="38">
        <v>0.0</v>
      </c>
      <c r="S56" s="38">
        <v>0.0</v>
      </c>
      <c r="T56" s="38">
        <v>0.0</v>
      </c>
      <c r="U56" s="38">
        <v>0.0</v>
      </c>
      <c r="V56" s="38">
        <v>4128.0</v>
      </c>
    </row>
    <row r="57" ht="15.75" customHeight="1">
      <c r="A57" s="59" t="str">
        <f t="array" ref="A57">XLOOKUP(C57, 'マスタ'!$C$2:$C$312, 'マスタ'!$D$2:$D$312, "マスタ未登録")</f>
        <v>マスタ未登録</v>
      </c>
      <c r="B57" s="53" t="str">
        <f>IF(AND(C57&lt;&gt;"", COUNTIF('マスタ'!$C:$C, C57)=0), "マスタ未登録", "")</f>
        <v>マスタ未登録</v>
      </c>
      <c r="C57" s="53" t="str">
        <f t="shared" si="1"/>
        <v>営業外費用</v>
      </c>
      <c r="E57" s="38" t="s">
        <v>34</v>
      </c>
      <c r="J57" s="38">
        <v>159246.0</v>
      </c>
      <c r="K57" s="38">
        <v>190067.0</v>
      </c>
      <c r="L57" s="38">
        <v>330490.0</v>
      </c>
      <c r="M57" s="38">
        <v>242126.0</v>
      </c>
      <c r="N57" s="38">
        <v>145191.0</v>
      </c>
      <c r="O57" s="38">
        <v>32538.0</v>
      </c>
      <c r="P57" s="38">
        <v>32538.0</v>
      </c>
      <c r="Q57" s="38">
        <v>32538.0</v>
      </c>
      <c r="R57" s="38">
        <v>32538.0</v>
      </c>
      <c r="S57" s="38">
        <v>32538.0</v>
      </c>
      <c r="T57" s="38">
        <v>32538.0</v>
      </c>
      <c r="U57" s="38">
        <v>32538.0</v>
      </c>
      <c r="V57" s="38">
        <v>1294886.0</v>
      </c>
    </row>
    <row r="58" ht="15.75" customHeight="1">
      <c r="A58" s="59" t="str">
        <f t="array" ref="A58">XLOOKUP(C58, 'マスタ'!$C$2:$C$312, 'マスタ'!$D$2:$D$312, "マスタ未登録")</f>
        <v>支払利息</v>
      </c>
      <c r="B58" s="53" t="str">
        <f>IF(AND(C58&lt;&gt;"", COUNTIF('マスタ'!$C:$C, C58)=0), "マスタ未登録", "")</f>
        <v/>
      </c>
      <c r="C58" s="53" t="str">
        <f t="shared" si="1"/>
        <v>支払利息</v>
      </c>
      <c r="F58" s="38" t="s">
        <v>109</v>
      </c>
      <c r="J58" s="38">
        <v>159246.0</v>
      </c>
      <c r="K58" s="38">
        <v>190067.0</v>
      </c>
      <c r="L58" s="38">
        <v>330490.0</v>
      </c>
      <c r="M58" s="38">
        <v>242126.0</v>
      </c>
      <c r="N58" s="38">
        <v>145191.0</v>
      </c>
      <c r="O58" s="38">
        <v>32538.0</v>
      </c>
      <c r="P58" s="38">
        <v>32538.0</v>
      </c>
      <c r="Q58" s="38">
        <v>32538.0</v>
      </c>
      <c r="R58" s="38">
        <v>32538.0</v>
      </c>
      <c r="S58" s="38">
        <v>32538.0</v>
      </c>
      <c r="T58" s="38">
        <v>32538.0</v>
      </c>
      <c r="U58" s="38">
        <v>32538.0</v>
      </c>
      <c r="V58" s="38">
        <v>1294886.0</v>
      </c>
    </row>
    <row r="59" ht="15.75" customHeight="1">
      <c r="A59" s="59" t="str">
        <f t="array" ref="A59">XLOOKUP(C59, 'マスタ'!$C$2:$C$312, 'マスタ'!$D$2:$D$312, "マスタ未登録")</f>
        <v>マスタ未登録</v>
      </c>
      <c r="B59" s="53" t="str">
        <f>IF(AND(C59&lt;&gt;"", COUNTIF('マスタ'!$C:$C, C59)=0), "マスタ未登録", "")</f>
        <v>マスタ未登録</v>
      </c>
      <c r="C59" s="53" t="str">
        <f t="shared" si="1"/>
        <v>経常損益金額</v>
      </c>
      <c r="D59" s="38" t="s">
        <v>112</v>
      </c>
      <c r="J59" s="38">
        <v>4.7377859E7</v>
      </c>
      <c r="K59" s="38">
        <v>-2.7724551E7</v>
      </c>
      <c r="L59" s="38">
        <v>2.5388354E7</v>
      </c>
      <c r="M59" s="38">
        <v>1.6670935E7</v>
      </c>
      <c r="N59" s="38">
        <v>-1.508795E7</v>
      </c>
      <c r="O59" s="38">
        <v>-8.0789717E7</v>
      </c>
      <c r="P59" s="38">
        <v>-1817854.0</v>
      </c>
      <c r="Q59" s="38">
        <v>-3337769.0</v>
      </c>
      <c r="R59" s="38">
        <v>-2.9847769E7</v>
      </c>
      <c r="S59" s="38">
        <v>-367769.0</v>
      </c>
      <c r="T59" s="38">
        <v>-1.4172769E7</v>
      </c>
      <c r="U59" s="38">
        <v>-367775.0</v>
      </c>
      <c r="V59" s="38">
        <v>-8.4076775E7</v>
      </c>
    </row>
    <row r="60" ht="15.75" customHeight="1">
      <c r="A60" s="59" t="str">
        <f t="array" ref="A60">XLOOKUP(C60, 'マスタ'!$C$2:$C$312, 'マスタ'!$D$2:$D$312, "マスタ未登録")</f>
        <v>マスタ未登録</v>
      </c>
      <c r="B60" s="53" t="str">
        <f>IF(AND(C60&lt;&gt;"", COUNTIF('マスタ'!$C:$C, C60)=0), "マスタ未登録", "")</f>
        <v>マスタ未登録</v>
      </c>
      <c r="C60" s="53" t="str">
        <f t="shared" si="1"/>
        <v>特別利益</v>
      </c>
      <c r="E60" s="38" t="s">
        <v>37</v>
      </c>
      <c r="J60" s="38">
        <v>0.0</v>
      </c>
      <c r="K60" s="38">
        <v>0.0</v>
      </c>
      <c r="L60" s="38">
        <v>0.0</v>
      </c>
      <c r="M60" s="38">
        <v>0.0</v>
      </c>
      <c r="N60" s="38">
        <v>0.0</v>
      </c>
      <c r="O60" s="38">
        <v>0.0</v>
      </c>
      <c r="P60" s="38">
        <v>0.0</v>
      </c>
      <c r="Q60" s="38">
        <v>0.0</v>
      </c>
      <c r="R60" s="38">
        <v>0.0</v>
      </c>
      <c r="S60" s="38">
        <v>0.0</v>
      </c>
      <c r="T60" s="38">
        <v>0.0</v>
      </c>
      <c r="U60" s="38">
        <v>0.0</v>
      </c>
      <c r="V60" s="38">
        <v>0.0</v>
      </c>
    </row>
    <row r="61" ht="15.75" customHeight="1">
      <c r="A61" s="59" t="str">
        <f t="array" ref="A61">XLOOKUP(C61, 'マスタ'!$C$2:$C$312, 'マスタ'!$D$2:$D$312, "マスタ未登録")</f>
        <v>マスタ未登録</v>
      </c>
      <c r="B61" s="53" t="str">
        <f>IF(AND(C61&lt;&gt;"", COUNTIF('マスタ'!$C:$C, C61)=0), "マスタ未登録", "")</f>
        <v>マスタ未登録</v>
      </c>
      <c r="C61" s="53" t="str">
        <f t="shared" si="1"/>
        <v>特別損失</v>
      </c>
      <c r="E61" s="38" t="s">
        <v>39</v>
      </c>
      <c r="J61" s="38">
        <v>0.0</v>
      </c>
      <c r="K61" s="38">
        <v>0.0</v>
      </c>
      <c r="L61" s="38">
        <v>0.0</v>
      </c>
      <c r="M61" s="38">
        <v>0.0</v>
      </c>
      <c r="N61" s="38">
        <v>0.0</v>
      </c>
      <c r="O61" s="38">
        <v>0.0</v>
      </c>
      <c r="P61" s="38">
        <v>0.0</v>
      </c>
      <c r="Q61" s="38">
        <v>0.0</v>
      </c>
      <c r="R61" s="38">
        <v>0.0</v>
      </c>
      <c r="S61" s="38">
        <v>0.0</v>
      </c>
      <c r="T61" s="38">
        <v>0.0</v>
      </c>
      <c r="U61" s="38">
        <v>0.0</v>
      </c>
      <c r="V61" s="38">
        <v>0.0</v>
      </c>
    </row>
    <row r="62" ht="15.75" customHeight="1">
      <c r="A62" s="59" t="str">
        <f t="array" ref="A62">XLOOKUP(C62, 'マスタ'!$C$2:$C$312, 'マスタ'!$D$2:$D$312, "マスタ未登録")</f>
        <v>マスタ未登録</v>
      </c>
      <c r="B62" s="53" t="str">
        <f>IF(AND(C62&lt;&gt;"", COUNTIF('マスタ'!$C:$C, C62)=0), "マスタ未登録", "")</f>
        <v>マスタ未登録</v>
      </c>
      <c r="C62" s="53" t="str">
        <f t="shared" si="1"/>
        <v>税引前当期純損益金額</v>
      </c>
      <c r="D62" s="38" t="s">
        <v>117</v>
      </c>
      <c r="J62" s="38">
        <v>4.7377859E7</v>
      </c>
      <c r="K62" s="38">
        <v>-2.7724551E7</v>
      </c>
      <c r="L62" s="38">
        <v>2.5388354E7</v>
      </c>
      <c r="M62" s="38">
        <v>1.6670935E7</v>
      </c>
      <c r="N62" s="38">
        <v>-1.508795E7</v>
      </c>
      <c r="O62" s="38">
        <v>-8.0789717E7</v>
      </c>
      <c r="P62" s="38">
        <v>-1817854.0</v>
      </c>
      <c r="Q62" s="38">
        <v>-3337769.0</v>
      </c>
      <c r="R62" s="38">
        <v>-2.9847769E7</v>
      </c>
      <c r="S62" s="38">
        <v>-367769.0</v>
      </c>
      <c r="T62" s="38">
        <v>-1.4172769E7</v>
      </c>
      <c r="U62" s="38">
        <v>-367775.0</v>
      </c>
      <c r="V62" s="38">
        <v>-8.4076775E7</v>
      </c>
    </row>
    <row r="63" ht="15.75" customHeight="1">
      <c r="A63" s="59" t="str">
        <f t="array" ref="A63">XLOOKUP(C63, 'マスタ'!$C$2:$C$312, 'マスタ'!$D$2:$D$312, "マスタ未登録")</f>
        <v>法人税等</v>
      </c>
      <c r="B63" s="53" t="str">
        <f>IF(AND(C63&lt;&gt;"", COUNTIF('マスタ'!$C:$C, C63)=0), "マスタ未登録", "")</f>
        <v/>
      </c>
      <c r="C63" s="53" t="str">
        <f t="shared" si="1"/>
        <v>法人税等</v>
      </c>
      <c r="E63" s="38" t="s">
        <v>43</v>
      </c>
      <c r="J63" s="38">
        <v>3908.0</v>
      </c>
      <c r="K63" s="38">
        <v>2497.0</v>
      </c>
      <c r="L63" s="38">
        <v>13844.0</v>
      </c>
      <c r="M63" s="38">
        <v>776.0</v>
      </c>
      <c r="N63" s="38">
        <v>6729.0</v>
      </c>
      <c r="O63" s="38">
        <v>3077.0</v>
      </c>
      <c r="P63" s="38">
        <v>0.0</v>
      </c>
      <c r="Q63" s="38">
        <v>0.0</v>
      </c>
      <c r="R63" s="38">
        <v>0.0</v>
      </c>
      <c r="S63" s="38">
        <v>0.0</v>
      </c>
      <c r="T63" s="38">
        <v>0.0</v>
      </c>
      <c r="U63" s="38">
        <v>0.0</v>
      </c>
      <c r="V63" s="38">
        <v>30831.0</v>
      </c>
    </row>
    <row r="64" ht="15.75" customHeight="1">
      <c r="A64" s="59" t="str">
        <f t="array" ref="A64">XLOOKUP(C64, 'マスタ'!$C$2:$C$312, 'マスタ'!$D$2:$D$312, "マスタ未登録")</f>
        <v>法人税・住民税及び事業税</v>
      </c>
      <c r="B64" s="53" t="str">
        <f>IF(AND(C64&lt;&gt;"", COUNTIF('マスタ'!$C:$C, C64)=0), "マスタ未登録", "")</f>
        <v/>
      </c>
      <c r="C64" s="53" t="str">
        <f t="shared" si="1"/>
        <v>法人税・住民税及び事業税</v>
      </c>
      <c r="F64" s="38" t="s">
        <v>387</v>
      </c>
      <c r="J64" s="38">
        <v>3908.0</v>
      </c>
      <c r="K64" s="38">
        <v>2497.0</v>
      </c>
      <c r="L64" s="38">
        <v>13844.0</v>
      </c>
      <c r="M64" s="38">
        <v>776.0</v>
      </c>
      <c r="N64" s="38">
        <v>6729.0</v>
      </c>
      <c r="O64" s="38">
        <v>3077.0</v>
      </c>
      <c r="P64" s="38">
        <v>0.0</v>
      </c>
      <c r="Q64" s="38">
        <v>0.0</v>
      </c>
      <c r="R64" s="38">
        <v>0.0</v>
      </c>
      <c r="S64" s="38">
        <v>0.0</v>
      </c>
      <c r="T64" s="38">
        <v>0.0</v>
      </c>
      <c r="U64" s="38">
        <v>0.0</v>
      </c>
      <c r="V64" s="38">
        <v>30831.0</v>
      </c>
    </row>
    <row r="65" ht="15.75" customHeight="1">
      <c r="A65" s="59" t="str">
        <f t="array" ref="A65">XLOOKUP(C65, 'マスタ'!$C$2:$C$312, 'マスタ'!$D$2:$D$312, "マスタ未登録")</f>
        <v>法人税等調整額</v>
      </c>
      <c r="B65" s="53" t="str">
        <f>IF(AND(C65&lt;&gt;"", COUNTIF('マスタ'!$C:$C, C65)=0), "マスタ未登録", "")</f>
        <v/>
      </c>
      <c r="C65" s="53" t="str">
        <f t="shared" si="1"/>
        <v>法人税等調整額</v>
      </c>
      <c r="E65" s="38" t="s">
        <v>118</v>
      </c>
      <c r="J65" s="38">
        <v>0.0</v>
      </c>
      <c r="K65" s="38">
        <v>0.0</v>
      </c>
      <c r="L65" s="38">
        <v>0.0</v>
      </c>
      <c r="M65" s="38">
        <v>0.0</v>
      </c>
      <c r="N65" s="38">
        <v>0.0</v>
      </c>
      <c r="O65" s="38">
        <v>0.0</v>
      </c>
      <c r="P65" s="38">
        <v>0.0</v>
      </c>
      <c r="Q65" s="38">
        <v>0.0</v>
      </c>
      <c r="R65" s="38">
        <v>0.0</v>
      </c>
      <c r="S65" s="38">
        <v>0.0</v>
      </c>
      <c r="T65" s="38">
        <v>0.0</v>
      </c>
      <c r="U65" s="38">
        <v>0.0</v>
      </c>
      <c r="V65" s="38">
        <v>0.0</v>
      </c>
    </row>
    <row r="66" ht="15.75" customHeight="1">
      <c r="A66" s="59" t="str">
        <f t="array" ref="A66">XLOOKUP(C66, 'マスタ'!$C$2:$C$312, 'マスタ'!$D$2:$D$312, "マスタ未登録")</f>
        <v>マスタ未登録</v>
      </c>
      <c r="B66" s="53" t="str">
        <f>IF(AND(C66&lt;&gt;"", COUNTIF('マスタ'!$C:$C, C66)=0), "マスタ未登録", "")</f>
        <v>マスタ未登録</v>
      </c>
      <c r="C66" s="53" t="str">
        <f t="shared" si="1"/>
        <v>当期純損益金額</v>
      </c>
      <c r="D66" s="38" t="s">
        <v>119</v>
      </c>
      <c r="J66" s="38">
        <v>4.7373951E7</v>
      </c>
      <c r="K66" s="38">
        <v>-2.7727048E7</v>
      </c>
      <c r="L66" s="38">
        <v>2.537451E7</v>
      </c>
      <c r="M66" s="38">
        <v>1.6670159E7</v>
      </c>
      <c r="N66" s="38">
        <v>-1.5094679E7</v>
      </c>
      <c r="O66" s="38">
        <v>-8.0792794E7</v>
      </c>
      <c r="P66" s="38">
        <v>-1817854.0</v>
      </c>
      <c r="Q66" s="38">
        <v>-3337769.0</v>
      </c>
      <c r="R66" s="38">
        <v>-2.9847769E7</v>
      </c>
      <c r="S66" s="38">
        <v>-367769.0</v>
      </c>
      <c r="T66" s="38">
        <v>-1.4172769E7</v>
      </c>
      <c r="U66" s="38">
        <v>-367775.0</v>
      </c>
      <c r="V66" s="38">
        <v>-8.4107606E7</v>
      </c>
    </row>
    <row r="67" ht="15.75" customHeight="1">
      <c r="A67" s="59"/>
      <c r="B67" s="53"/>
      <c r="C67" s="53"/>
    </row>
    <row r="68" ht="15.75" customHeight="1">
      <c r="A68" s="59"/>
      <c r="B68" s="53"/>
      <c r="C68" s="53"/>
    </row>
    <row r="69" ht="15.75" customHeight="1">
      <c r="A69" s="59"/>
      <c r="B69" s="53"/>
      <c r="C69" s="53"/>
    </row>
    <row r="70" ht="15.75" customHeight="1">
      <c r="A70" s="59"/>
      <c r="B70" s="53"/>
      <c r="C70" s="53"/>
    </row>
    <row r="71" ht="15.75" customHeight="1">
      <c r="A71" s="59"/>
      <c r="B71" s="53"/>
      <c r="C71" s="53"/>
    </row>
    <row r="72" ht="15.75" customHeight="1">
      <c r="A72" s="59"/>
      <c r="B72" s="53"/>
      <c r="C72" s="53"/>
    </row>
    <row r="73" ht="15.75" customHeight="1">
      <c r="A73" s="59"/>
      <c r="B73" s="53"/>
      <c r="C73" s="53"/>
    </row>
    <row r="74" ht="15.75" customHeight="1">
      <c r="A74" s="59"/>
      <c r="B74" s="53"/>
      <c r="C74" s="53"/>
    </row>
    <row r="75" ht="15.75" customHeight="1">
      <c r="A75" s="59"/>
      <c r="B75" s="53"/>
      <c r="C75" s="53"/>
    </row>
    <row r="76" ht="15.75" customHeight="1">
      <c r="A76" s="59"/>
      <c r="B76" s="53"/>
      <c r="C76" s="53"/>
    </row>
    <row r="77" ht="15.75" customHeight="1">
      <c r="A77" s="59"/>
      <c r="B77" s="53"/>
      <c r="C77" s="53"/>
    </row>
    <row r="78" ht="15.75" customHeight="1">
      <c r="A78" s="59"/>
      <c r="B78" s="53"/>
      <c r="C78" s="53"/>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75.38"/>
    <col customWidth="1" min="4" max="4" width="21.88"/>
    <col customWidth="1" min="5" max="5" width="17.63"/>
    <col customWidth="1" min="6" max="6" width="7.63"/>
    <col customWidth="1" min="7" max="7" width="12.63"/>
  </cols>
  <sheetData>
    <row r="1" ht="15.75" customHeight="1">
      <c r="B1" s="53" t="s">
        <v>388</v>
      </c>
      <c r="C1" s="10" t="s">
        <v>389</v>
      </c>
      <c r="D1" s="10" t="s">
        <v>390</v>
      </c>
      <c r="E1" s="10" t="s">
        <v>391</v>
      </c>
      <c r="F1" s="10" t="s">
        <v>392</v>
      </c>
      <c r="G1" s="10" t="s">
        <v>393</v>
      </c>
    </row>
    <row r="2" ht="15.75" customHeight="1">
      <c r="B2" s="53"/>
      <c r="C2" s="10" t="s">
        <v>394</v>
      </c>
      <c r="D2" s="10" t="s">
        <v>395</v>
      </c>
      <c r="E2" s="10" t="s">
        <v>396</v>
      </c>
      <c r="F2" s="10" t="s">
        <v>397</v>
      </c>
      <c r="G2" s="10" t="s">
        <v>398</v>
      </c>
    </row>
    <row r="3" ht="15.75" customHeight="1">
      <c r="B3" s="53"/>
      <c r="C3" s="10" t="s">
        <v>399</v>
      </c>
      <c r="D3" s="10" t="s">
        <v>395</v>
      </c>
      <c r="E3" s="10" t="s">
        <v>396</v>
      </c>
      <c r="F3" s="10" t="s">
        <v>397</v>
      </c>
      <c r="G3" s="10" t="s">
        <v>398</v>
      </c>
    </row>
    <row r="4" ht="15.75" customHeight="1">
      <c r="B4" s="53"/>
      <c r="C4" s="10" t="s">
        <v>400</v>
      </c>
      <c r="D4" s="10" t="s">
        <v>395</v>
      </c>
      <c r="E4" s="10" t="s">
        <v>396</v>
      </c>
      <c r="F4" s="10" t="s">
        <v>397</v>
      </c>
      <c r="G4" s="10" t="s">
        <v>398</v>
      </c>
    </row>
    <row r="5" ht="15.75" customHeight="1">
      <c r="B5" s="53"/>
      <c r="C5" s="10" t="s">
        <v>401</v>
      </c>
      <c r="D5" s="10" t="s">
        <v>395</v>
      </c>
      <c r="E5" s="10" t="s">
        <v>396</v>
      </c>
      <c r="F5" s="10" t="s">
        <v>397</v>
      </c>
      <c r="G5" s="10" t="s">
        <v>398</v>
      </c>
    </row>
    <row r="6" ht="15.75" customHeight="1">
      <c r="B6" s="53"/>
      <c r="C6" s="10" t="s">
        <v>402</v>
      </c>
      <c r="D6" s="10" t="s">
        <v>395</v>
      </c>
      <c r="E6" s="10" t="s">
        <v>396</v>
      </c>
      <c r="F6" s="10" t="s">
        <v>397</v>
      </c>
      <c r="G6" s="10" t="s">
        <v>398</v>
      </c>
    </row>
    <row r="7" ht="15.75" customHeight="1">
      <c r="B7" s="53"/>
      <c r="C7" s="10" t="s">
        <v>403</v>
      </c>
      <c r="D7" s="10" t="s">
        <v>395</v>
      </c>
      <c r="E7" s="10" t="s">
        <v>396</v>
      </c>
      <c r="F7" s="10" t="s">
        <v>397</v>
      </c>
      <c r="G7" s="10" t="s">
        <v>398</v>
      </c>
    </row>
    <row r="8" ht="15.75" customHeight="1">
      <c r="B8" s="53"/>
      <c r="C8" s="10" t="s">
        <v>404</v>
      </c>
      <c r="D8" s="10" t="s">
        <v>395</v>
      </c>
      <c r="E8" s="10" t="s">
        <v>396</v>
      </c>
      <c r="F8" s="10" t="s">
        <v>397</v>
      </c>
      <c r="G8" s="10" t="s">
        <v>398</v>
      </c>
    </row>
    <row r="9" ht="15.75" customHeight="1">
      <c r="B9" s="53"/>
      <c r="C9" s="10" t="s">
        <v>405</v>
      </c>
      <c r="D9" s="10" t="s">
        <v>395</v>
      </c>
      <c r="E9" s="10" t="s">
        <v>396</v>
      </c>
      <c r="F9" s="10" t="s">
        <v>397</v>
      </c>
      <c r="G9" s="10" t="s">
        <v>398</v>
      </c>
    </row>
    <row r="10" ht="15.75" customHeight="1">
      <c r="B10" s="53"/>
      <c r="C10" s="10" t="s">
        <v>406</v>
      </c>
      <c r="D10" s="10" t="s">
        <v>395</v>
      </c>
      <c r="E10" s="10" t="s">
        <v>396</v>
      </c>
      <c r="F10" s="10" t="s">
        <v>397</v>
      </c>
      <c r="G10" s="10" t="s">
        <v>398</v>
      </c>
    </row>
    <row r="11" ht="15.75" customHeight="1">
      <c r="B11" s="53"/>
      <c r="C11" s="10" t="s">
        <v>407</v>
      </c>
      <c r="D11" s="10" t="s">
        <v>395</v>
      </c>
      <c r="E11" s="10" t="s">
        <v>396</v>
      </c>
      <c r="F11" s="10" t="s">
        <v>397</v>
      </c>
      <c r="G11" s="10" t="s">
        <v>398</v>
      </c>
    </row>
    <row r="12" ht="15.75" customHeight="1">
      <c r="B12" s="53"/>
      <c r="C12" s="10" t="s">
        <v>408</v>
      </c>
      <c r="D12" s="10" t="s">
        <v>395</v>
      </c>
      <c r="E12" s="10" t="s">
        <v>396</v>
      </c>
      <c r="F12" s="10" t="s">
        <v>397</v>
      </c>
      <c r="G12" s="10" t="s">
        <v>398</v>
      </c>
    </row>
    <row r="13" ht="15.75" customHeight="1">
      <c r="B13" s="53"/>
      <c r="C13" s="10" t="s">
        <v>409</v>
      </c>
      <c r="D13" s="10" t="s">
        <v>395</v>
      </c>
      <c r="E13" s="10" t="s">
        <v>396</v>
      </c>
      <c r="F13" s="10" t="s">
        <v>397</v>
      </c>
      <c r="G13" s="10" t="s">
        <v>398</v>
      </c>
    </row>
    <row r="14" ht="15.75" customHeight="1">
      <c r="B14" s="53"/>
      <c r="C14" s="10" t="s">
        <v>410</v>
      </c>
      <c r="D14" s="10" t="s">
        <v>395</v>
      </c>
      <c r="E14" s="10" t="s">
        <v>396</v>
      </c>
      <c r="F14" s="10" t="s">
        <v>397</v>
      </c>
      <c r="G14" s="10" t="s">
        <v>398</v>
      </c>
    </row>
    <row r="15" ht="15.75" customHeight="1">
      <c r="B15" s="53"/>
      <c r="C15" s="10" t="s">
        <v>411</v>
      </c>
      <c r="D15" s="10" t="s">
        <v>395</v>
      </c>
      <c r="E15" s="10" t="s">
        <v>396</v>
      </c>
      <c r="F15" s="10" t="s">
        <v>397</v>
      </c>
      <c r="G15" s="10" t="s">
        <v>398</v>
      </c>
    </row>
    <row r="16" ht="15.75" customHeight="1">
      <c r="B16" s="53"/>
      <c r="C16" s="10" t="s">
        <v>412</v>
      </c>
      <c r="D16" s="10" t="s">
        <v>395</v>
      </c>
      <c r="E16" s="10" t="s">
        <v>396</v>
      </c>
      <c r="F16" s="10" t="s">
        <v>397</v>
      </c>
      <c r="G16" s="10" t="s">
        <v>398</v>
      </c>
    </row>
    <row r="17" ht="15.75" customHeight="1">
      <c r="B17" s="53"/>
      <c r="C17" s="10" t="s">
        <v>413</v>
      </c>
      <c r="D17" s="10" t="s">
        <v>395</v>
      </c>
      <c r="E17" s="10" t="s">
        <v>396</v>
      </c>
      <c r="F17" s="10" t="s">
        <v>397</v>
      </c>
      <c r="G17" s="10" t="s">
        <v>398</v>
      </c>
    </row>
    <row r="18" ht="15.75" customHeight="1">
      <c r="B18" s="53"/>
      <c r="C18" s="10" t="s">
        <v>414</v>
      </c>
      <c r="D18" s="10" t="s">
        <v>395</v>
      </c>
      <c r="E18" s="10" t="s">
        <v>396</v>
      </c>
      <c r="F18" s="10" t="s">
        <v>397</v>
      </c>
      <c r="G18" s="10" t="s">
        <v>398</v>
      </c>
    </row>
    <row r="19" ht="15.75" customHeight="1">
      <c r="B19" s="53"/>
      <c r="C19" s="10" t="s">
        <v>415</v>
      </c>
      <c r="D19" s="10" t="s">
        <v>395</v>
      </c>
      <c r="E19" s="10" t="s">
        <v>396</v>
      </c>
      <c r="F19" s="10" t="s">
        <v>397</v>
      </c>
      <c r="G19" s="10" t="s">
        <v>398</v>
      </c>
    </row>
    <row r="20" ht="15.75" customHeight="1">
      <c r="B20" s="53"/>
      <c r="C20" s="10" t="s">
        <v>416</v>
      </c>
      <c r="D20" s="10" t="s">
        <v>395</v>
      </c>
      <c r="E20" s="10" t="s">
        <v>396</v>
      </c>
      <c r="F20" s="10" t="s">
        <v>397</v>
      </c>
      <c r="G20" s="10" t="s">
        <v>398</v>
      </c>
    </row>
    <row r="21" ht="15.75" customHeight="1">
      <c r="B21" s="53"/>
      <c r="C21" s="10" t="s">
        <v>417</v>
      </c>
      <c r="D21" s="10" t="s">
        <v>395</v>
      </c>
      <c r="E21" s="10" t="s">
        <v>396</v>
      </c>
      <c r="F21" s="10" t="s">
        <v>397</v>
      </c>
      <c r="G21" s="10" t="s">
        <v>398</v>
      </c>
    </row>
    <row r="22" ht="15.75" customHeight="1">
      <c r="B22" s="53"/>
      <c r="C22" s="10" t="s">
        <v>418</v>
      </c>
      <c r="D22" s="10" t="s">
        <v>395</v>
      </c>
      <c r="E22" s="10" t="s">
        <v>396</v>
      </c>
      <c r="F22" s="10" t="s">
        <v>397</v>
      </c>
      <c r="G22" s="10" t="s">
        <v>398</v>
      </c>
    </row>
    <row r="23" ht="15.75" customHeight="1">
      <c r="B23" s="53"/>
      <c r="C23" s="10" t="s">
        <v>419</v>
      </c>
      <c r="D23" s="10" t="s">
        <v>395</v>
      </c>
      <c r="E23" s="10" t="s">
        <v>396</v>
      </c>
      <c r="F23" s="10" t="s">
        <v>397</v>
      </c>
      <c r="G23" s="10" t="s">
        <v>398</v>
      </c>
    </row>
    <row r="24" ht="15.75" customHeight="1">
      <c r="B24" s="53"/>
      <c r="C24" s="10" t="s">
        <v>420</v>
      </c>
      <c r="D24" s="10" t="s">
        <v>420</v>
      </c>
      <c r="E24" s="10" t="s">
        <v>421</v>
      </c>
      <c r="F24" s="10" t="s">
        <v>397</v>
      </c>
      <c r="G24" s="10" t="s">
        <v>398</v>
      </c>
    </row>
    <row r="25" ht="15.75" customHeight="1">
      <c r="B25" s="53"/>
      <c r="C25" s="10" t="s">
        <v>422</v>
      </c>
      <c r="D25" s="10" t="s">
        <v>422</v>
      </c>
      <c r="E25" s="10" t="s">
        <v>421</v>
      </c>
      <c r="F25" s="10" t="s">
        <v>397</v>
      </c>
      <c r="G25" s="10" t="s">
        <v>398</v>
      </c>
    </row>
    <row r="26" ht="15.75" customHeight="1">
      <c r="B26" s="53"/>
      <c r="C26" s="10" t="s">
        <v>423</v>
      </c>
      <c r="D26" s="10" t="s">
        <v>423</v>
      </c>
      <c r="E26" s="10" t="s">
        <v>421</v>
      </c>
      <c r="F26" s="10" t="s">
        <v>397</v>
      </c>
      <c r="G26" s="10" t="s">
        <v>398</v>
      </c>
    </row>
    <row r="27" ht="15.75" customHeight="1">
      <c r="B27" s="53"/>
      <c r="C27" s="10" t="s">
        <v>424</v>
      </c>
      <c r="D27" s="10" t="s">
        <v>424</v>
      </c>
      <c r="E27" s="10" t="s">
        <v>421</v>
      </c>
      <c r="F27" s="10" t="s">
        <v>397</v>
      </c>
      <c r="G27" s="10" t="s">
        <v>398</v>
      </c>
    </row>
    <row r="28" ht="15.75" customHeight="1">
      <c r="B28" s="53"/>
      <c r="C28" s="10" t="s">
        <v>425</v>
      </c>
      <c r="D28" s="10" t="s">
        <v>425</v>
      </c>
      <c r="E28" s="10" t="s">
        <v>421</v>
      </c>
      <c r="F28" s="10" t="s">
        <v>397</v>
      </c>
      <c r="G28" s="10" t="s">
        <v>398</v>
      </c>
    </row>
    <row r="29" ht="15.75" customHeight="1">
      <c r="B29" s="53"/>
      <c r="C29" s="10" t="s">
        <v>426</v>
      </c>
      <c r="D29" s="10" t="s">
        <v>426</v>
      </c>
      <c r="E29" s="10" t="s">
        <v>426</v>
      </c>
      <c r="F29" s="10"/>
      <c r="G29" s="10" t="s">
        <v>398</v>
      </c>
    </row>
    <row r="30" ht="15.75" customHeight="1">
      <c r="B30" s="53"/>
      <c r="C30" s="10" t="s">
        <v>427</v>
      </c>
      <c r="D30" s="10" t="s">
        <v>427</v>
      </c>
      <c r="E30" s="10" t="s">
        <v>428</v>
      </c>
      <c r="F30" s="10" t="s">
        <v>397</v>
      </c>
      <c r="G30" s="10" t="s">
        <v>398</v>
      </c>
    </row>
    <row r="31" ht="15.75" customHeight="1">
      <c r="B31" s="53"/>
      <c r="C31" s="10" t="s">
        <v>429</v>
      </c>
      <c r="D31" s="10" t="s">
        <v>429</v>
      </c>
      <c r="E31" s="10" t="s">
        <v>428</v>
      </c>
      <c r="F31" s="10" t="s">
        <v>397</v>
      </c>
      <c r="G31" s="10" t="s">
        <v>398</v>
      </c>
    </row>
    <row r="32" ht="15.75" customHeight="1">
      <c r="B32" s="53"/>
      <c r="C32" s="10" t="s">
        <v>430</v>
      </c>
      <c r="D32" s="10" t="s">
        <v>429</v>
      </c>
      <c r="E32" s="10" t="s">
        <v>428</v>
      </c>
      <c r="F32" s="10" t="s">
        <v>397</v>
      </c>
      <c r="G32" s="10" t="s">
        <v>398</v>
      </c>
    </row>
    <row r="33" ht="15.75" customHeight="1">
      <c r="B33" s="53"/>
      <c r="C33" s="10" t="s">
        <v>431</v>
      </c>
      <c r="D33" s="10" t="s">
        <v>431</v>
      </c>
      <c r="E33" s="10" t="s">
        <v>428</v>
      </c>
      <c r="F33" s="10" t="s">
        <v>397</v>
      </c>
      <c r="G33" s="10" t="s">
        <v>398</v>
      </c>
    </row>
    <row r="34" ht="15.75" customHeight="1">
      <c r="B34" s="53"/>
      <c r="C34" s="10" t="s">
        <v>432</v>
      </c>
      <c r="D34" s="10" t="s">
        <v>432</v>
      </c>
      <c r="E34" s="10" t="s">
        <v>428</v>
      </c>
      <c r="F34" s="10" t="s">
        <v>397</v>
      </c>
      <c r="G34" s="10" t="s">
        <v>398</v>
      </c>
    </row>
    <row r="35" ht="15.75" customHeight="1">
      <c r="B35" s="53"/>
      <c r="C35" s="10" t="s">
        <v>433</v>
      </c>
      <c r="D35" s="10" t="s">
        <v>433</v>
      </c>
      <c r="E35" s="10" t="s">
        <v>428</v>
      </c>
      <c r="F35" s="10" t="s">
        <v>397</v>
      </c>
      <c r="G35" s="10" t="s">
        <v>398</v>
      </c>
    </row>
    <row r="36" ht="15.75" customHeight="1">
      <c r="B36" s="53"/>
      <c r="C36" s="10" t="s">
        <v>434</v>
      </c>
      <c r="D36" s="10" t="s">
        <v>434</v>
      </c>
      <c r="E36" s="10" t="s">
        <v>428</v>
      </c>
      <c r="F36" s="10" t="s">
        <v>397</v>
      </c>
      <c r="G36" s="10" t="s">
        <v>398</v>
      </c>
    </row>
    <row r="37" ht="15.75" customHeight="1">
      <c r="B37" s="53"/>
      <c r="C37" s="10" t="s">
        <v>435</v>
      </c>
      <c r="D37" s="10" t="s">
        <v>435</v>
      </c>
      <c r="E37" s="10" t="s">
        <v>428</v>
      </c>
      <c r="F37" s="10" t="s">
        <v>397</v>
      </c>
      <c r="G37" s="10" t="s">
        <v>398</v>
      </c>
    </row>
    <row r="38" ht="15.75" customHeight="1">
      <c r="B38" s="53"/>
      <c r="C38" s="10" t="s">
        <v>436</v>
      </c>
      <c r="D38" s="10" t="s">
        <v>436</v>
      </c>
      <c r="E38" s="10" t="s">
        <v>437</v>
      </c>
      <c r="F38" s="10" t="s">
        <v>397</v>
      </c>
      <c r="G38" s="10" t="s">
        <v>398</v>
      </c>
    </row>
    <row r="39" ht="15.75" customHeight="1">
      <c r="B39" s="53"/>
      <c r="C39" s="10" t="s">
        <v>438</v>
      </c>
      <c r="D39" s="10" t="s">
        <v>438</v>
      </c>
      <c r="E39" s="10" t="s">
        <v>437</v>
      </c>
      <c r="F39" s="10" t="s">
        <v>397</v>
      </c>
      <c r="G39" s="10" t="s">
        <v>398</v>
      </c>
    </row>
    <row r="40" ht="15.75" customHeight="1">
      <c r="B40" s="53"/>
      <c r="C40" s="10" t="s">
        <v>439</v>
      </c>
      <c r="D40" s="10" t="s">
        <v>438</v>
      </c>
      <c r="E40" s="10" t="s">
        <v>437</v>
      </c>
      <c r="F40" s="10" t="s">
        <v>397</v>
      </c>
      <c r="G40" s="10" t="s">
        <v>398</v>
      </c>
    </row>
    <row r="41" ht="15.75" customHeight="1">
      <c r="B41" s="53"/>
      <c r="C41" s="10" t="s">
        <v>440</v>
      </c>
      <c r="D41" s="10" t="s">
        <v>440</v>
      </c>
      <c r="E41" s="10" t="s">
        <v>437</v>
      </c>
      <c r="F41" s="10" t="s">
        <v>397</v>
      </c>
      <c r="G41" s="10" t="s">
        <v>398</v>
      </c>
    </row>
    <row r="42" ht="15.75" customHeight="1">
      <c r="B42" s="53"/>
      <c r="C42" s="10" t="s">
        <v>441</v>
      </c>
      <c r="D42" s="10" t="s">
        <v>438</v>
      </c>
      <c r="E42" s="10" t="s">
        <v>437</v>
      </c>
      <c r="F42" s="10" t="s">
        <v>397</v>
      </c>
      <c r="G42" s="10" t="s">
        <v>398</v>
      </c>
    </row>
    <row r="43" ht="15.75" customHeight="1">
      <c r="B43" s="53"/>
      <c r="C43" s="10" t="s">
        <v>442</v>
      </c>
      <c r="D43" s="10" t="s">
        <v>442</v>
      </c>
      <c r="E43" s="10" t="s">
        <v>437</v>
      </c>
      <c r="F43" s="10" t="s">
        <v>397</v>
      </c>
      <c r="G43" s="10" t="s">
        <v>398</v>
      </c>
    </row>
    <row r="44" ht="15.75" customHeight="1">
      <c r="B44" s="53"/>
      <c r="C44" s="10" t="s">
        <v>443</v>
      </c>
      <c r="D44" s="10" t="s">
        <v>443</v>
      </c>
      <c r="E44" s="10" t="s">
        <v>437</v>
      </c>
      <c r="F44" s="10" t="s">
        <v>397</v>
      </c>
      <c r="G44" s="10" t="s">
        <v>398</v>
      </c>
    </row>
    <row r="45" ht="15.75" customHeight="1">
      <c r="B45" s="53"/>
      <c r="C45" s="10" t="s">
        <v>444</v>
      </c>
      <c r="D45" s="10" t="s">
        <v>444</v>
      </c>
      <c r="E45" s="10" t="s">
        <v>437</v>
      </c>
      <c r="F45" s="10" t="s">
        <v>397</v>
      </c>
      <c r="G45" s="10" t="s">
        <v>398</v>
      </c>
    </row>
    <row r="46" ht="15.75" customHeight="1">
      <c r="B46" s="53"/>
      <c r="C46" s="10" t="s">
        <v>445</v>
      </c>
      <c r="D46" s="10" t="s">
        <v>445</v>
      </c>
      <c r="E46" s="10" t="s">
        <v>437</v>
      </c>
      <c r="F46" s="10" t="s">
        <v>397</v>
      </c>
      <c r="G46" s="10" t="s">
        <v>398</v>
      </c>
    </row>
    <row r="47" ht="15.75" customHeight="1">
      <c r="B47" s="53"/>
      <c r="C47" s="10" t="s">
        <v>446</v>
      </c>
      <c r="D47" s="10" t="s">
        <v>446</v>
      </c>
      <c r="E47" s="10" t="s">
        <v>437</v>
      </c>
      <c r="F47" s="10" t="s">
        <v>397</v>
      </c>
      <c r="G47" s="10" t="s">
        <v>398</v>
      </c>
    </row>
    <row r="48" ht="15.75" customHeight="1">
      <c r="B48" s="53"/>
      <c r="C48" s="10" t="s">
        <v>447</v>
      </c>
      <c r="D48" s="10" t="s">
        <v>447</v>
      </c>
      <c r="E48" s="10" t="s">
        <v>437</v>
      </c>
      <c r="F48" s="10" t="s">
        <v>397</v>
      </c>
      <c r="G48" s="10" t="s">
        <v>398</v>
      </c>
    </row>
    <row r="49" ht="15.75" customHeight="1">
      <c r="B49" s="53"/>
      <c r="C49" s="10" t="s">
        <v>448</v>
      </c>
      <c r="D49" s="10" t="s">
        <v>448</v>
      </c>
      <c r="E49" s="10" t="s">
        <v>437</v>
      </c>
      <c r="F49" s="10" t="s">
        <v>397</v>
      </c>
      <c r="G49" s="10" t="s">
        <v>398</v>
      </c>
    </row>
    <row r="50" ht="15.75" customHeight="1">
      <c r="B50" s="53"/>
      <c r="C50" s="10" t="s">
        <v>449</v>
      </c>
      <c r="D50" s="10" t="s">
        <v>449</v>
      </c>
      <c r="E50" s="10" t="s">
        <v>437</v>
      </c>
      <c r="F50" s="10" t="s">
        <v>397</v>
      </c>
      <c r="G50" s="10" t="s">
        <v>398</v>
      </c>
    </row>
    <row r="51" ht="15.75" customHeight="1">
      <c r="B51" s="53"/>
      <c r="C51" s="10" t="s">
        <v>450</v>
      </c>
      <c r="D51" s="10" t="s">
        <v>450</v>
      </c>
      <c r="E51" s="10" t="s">
        <v>437</v>
      </c>
      <c r="F51" s="10" t="s">
        <v>397</v>
      </c>
      <c r="G51" s="10" t="s">
        <v>398</v>
      </c>
    </row>
    <row r="52" ht="15.75" customHeight="1">
      <c r="B52" s="53"/>
      <c r="C52" s="10" t="s">
        <v>451</v>
      </c>
      <c r="D52" s="10" t="s">
        <v>451</v>
      </c>
      <c r="E52" s="10" t="s">
        <v>437</v>
      </c>
      <c r="F52" s="10" t="s">
        <v>397</v>
      </c>
      <c r="G52" s="10" t="s">
        <v>398</v>
      </c>
    </row>
    <row r="53" ht="15.75" customHeight="1">
      <c r="B53" s="53"/>
      <c r="C53" s="10" t="s">
        <v>452</v>
      </c>
      <c r="D53" s="10" t="s">
        <v>452</v>
      </c>
      <c r="E53" s="10" t="s">
        <v>437</v>
      </c>
      <c r="F53" s="10" t="s">
        <v>397</v>
      </c>
      <c r="G53" s="10" t="s">
        <v>398</v>
      </c>
    </row>
    <row r="54" ht="15.75" customHeight="1">
      <c r="B54" s="53"/>
      <c r="C54" s="10" t="s">
        <v>453</v>
      </c>
      <c r="D54" s="10" t="s">
        <v>453</v>
      </c>
      <c r="E54" s="10" t="s">
        <v>454</v>
      </c>
      <c r="F54" s="10" t="s">
        <v>455</v>
      </c>
      <c r="G54" s="10" t="s">
        <v>398</v>
      </c>
    </row>
    <row r="55" ht="15.75" customHeight="1">
      <c r="B55" s="53"/>
      <c r="C55" s="10" t="s">
        <v>456</v>
      </c>
      <c r="D55" s="10" t="s">
        <v>456</v>
      </c>
      <c r="E55" s="10" t="s">
        <v>454</v>
      </c>
      <c r="F55" s="10" t="s">
        <v>455</v>
      </c>
      <c r="G55" s="10" t="s">
        <v>398</v>
      </c>
    </row>
    <row r="56" ht="15.75" customHeight="1">
      <c r="B56" s="53"/>
      <c r="C56" s="10" t="s">
        <v>457</v>
      </c>
      <c r="D56" s="10" t="s">
        <v>457</v>
      </c>
      <c r="E56" s="10" t="s">
        <v>454</v>
      </c>
      <c r="F56" s="10" t="s">
        <v>455</v>
      </c>
      <c r="G56" s="10" t="s">
        <v>398</v>
      </c>
    </row>
    <row r="57" ht="15.75" customHeight="1">
      <c r="B57" s="53"/>
      <c r="C57" s="10" t="s">
        <v>458</v>
      </c>
      <c r="D57" s="10" t="s">
        <v>458</v>
      </c>
      <c r="E57" s="10" t="s">
        <v>454</v>
      </c>
      <c r="F57" s="10" t="s">
        <v>455</v>
      </c>
      <c r="G57" s="10" t="s">
        <v>398</v>
      </c>
    </row>
    <row r="58" ht="15.75" customHeight="1">
      <c r="B58" s="53"/>
      <c r="C58" s="10" t="s">
        <v>459</v>
      </c>
      <c r="D58" s="10" t="s">
        <v>459</v>
      </c>
      <c r="E58" s="10" t="s">
        <v>454</v>
      </c>
      <c r="F58" s="10" t="s">
        <v>455</v>
      </c>
      <c r="G58" s="10" t="s">
        <v>398</v>
      </c>
    </row>
    <row r="59" ht="15.75" customHeight="1">
      <c r="B59" s="53"/>
      <c r="C59" s="10" t="s">
        <v>460</v>
      </c>
      <c r="D59" s="10" t="s">
        <v>460</v>
      </c>
      <c r="E59" s="10" t="s">
        <v>454</v>
      </c>
      <c r="F59" s="10" t="s">
        <v>455</v>
      </c>
      <c r="G59" s="10" t="s">
        <v>398</v>
      </c>
    </row>
    <row r="60" ht="15.75" customHeight="1">
      <c r="B60" s="53"/>
      <c r="C60" s="10" t="s">
        <v>461</v>
      </c>
      <c r="D60" s="10" t="s">
        <v>461</v>
      </c>
      <c r="E60" s="10" t="s">
        <v>454</v>
      </c>
      <c r="F60" s="10" t="s">
        <v>455</v>
      </c>
      <c r="G60" s="10" t="s">
        <v>398</v>
      </c>
    </row>
    <row r="61" ht="15.75" customHeight="1">
      <c r="B61" s="53"/>
      <c r="C61" s="10" t="s">
        <v>462</v>
      </c>
      <c r="D61" s="10" t="s">
        <v>462</v>
      </c>
      <c r="E61" s="10" t="s">
        <v>454</v>
      </c>
      <c r="F61" s="10" t="s">
        <v>455</v>
      </c>
      <c r="G61" s="10" t="s">
        <v>398</v>
      </c>
    </row>
    <row r="62" ht="15.75" customHeight="1">
      <c r="B62" s="53"/>
      <c r="C62" s="10" t="s">
        <v>463</v>
      </c>
      <c r="D62" s="10" t="s">
        <v>463</v>
      </c>
      <c r="E62" s="10" t="s">
        <v>454</v>
      </c>
      <c r="F62" s="10" t="s">
        <v>455</v>
      </c>
      <c r="G62" s="10" t="s">
        <v>398</v>
      </c>
    </row>
    <row r="63" ht="15.75" customHeight="1">
      <c r="B63" s="53"/>
      <c r="C63" s="10" t="s">
        <v>464</v>
      </c>
      <c r="D63" s="10" t="s">
        <v>464</v>
      </c>
      <c r="E63" s="10" t="s">
        <v>454</v>
      </c>
      <c r="F63" s="10" t="s">
        <v>455</v>
      </c>
      <c r="G63" s="10" t="s">
        <v>398</v>
      </c>
    </row>
    <row r="64" ht="15.75" customHeight="1">
      <c r="B64" s="53"/>
      <c r="C64" s="10" t="s">
        <v>465</v>
      </c>
      <c r="D64" s="10" t="s">
        <v>465</v>
      </c>
      <c r="E64" s="10" t="s">
        <v>466</v>
      </c>
      <c r="F64" s="10" t="s">
        <v>455</v>
      </c>
      <c r="G64" s="10" t="s">
        <v>398</v>
      </c>
    </row>
    <row r="65" ht="15.75" customHeight="1">
      <c r="B65" s="53"/>
      <c r="C65" s="10" t="s">
        <v>467</v>
      </c>
      <c r="D65" s="10" t="s">
        <v>467</v>
      </c>
      <c r="E65" s="10" t="s">
        <v>466</v>
      </c>
      <c r="F65" s="10" t="s">
        <v>455</v>
      </c>
      <c r="G65" s="10" t="s">
        <v>398</v>
      </c>
    </row>
    <row r="66" ht="15.75" customHeight="1">
      <c r="B66" s="53"/>
      <c r="C66" s="10" t="s">
        <v>468</v>
      </c>
      <c r="D66" s="10" t="s">
        <v>468</v>
      </c>
      <c r="E66" s="10" t="s">
        <v>466</v>
      </c>
      <c r="F66" s="10" t="s">
        <v>455</v>
      </c>
      <c r="G66" s="10" t="s">
        <v>398</v>
      </c>
    </row>
    <row r="67" ht="15.75" customHeight="1">
      <c r="B67" s="53"/>
      <c r="C67" s="10" t="s">
        <v>469</v>
      </c>
      <c r="D67" s="10" t="s">
        <v>469</v>
      </c>
      <c r="E67" s="10" t="s">
        <v>466</v>
      </c>
      <c r="F67" s="10" t="s">
        <v>455</v>
      </c>
      <c r="G67" s="10" t="s">
        <v>398</v>
      </c>
    </row>
    <row r="68" ht="15.75" customHeight="1">
      <c r="B68" s="53"/>
      <c r="C68" s="10" t="s">
        <v>470</v>
      </c>
      <c r="D68" s="10" t="s">
        <v>470</v>
      </c>
      <c r="E68" s="10" t="s">
        <v>466</v>
      </c>
      <c r="F68" s="10" t="s">
        <v>455</v>
      </c>
      <c r="G68" s="10" t="s">
        <v>398</v>
      </c>
    </row>
    <row r="69" ht="15.75" customHeight="1">
      <c r="B69" s="53"/>
      <c r="C69" s="10" t="s">
        <v>471</v>
      </c>
      <c r="D69" s="10" t="s">
        <v>471</v>
      </c>
      <c r="E69" s="10" t="s">
        <v>466</v>
      </c>
      <c r="F69" s="10" t="s">
        <v>455</v>
      </c>
      <c r="G69" s="10" t="s">
        <v>398</v>
      </c>
    </row>
    <row r="70" ht="15.75" customHeight="1">
      <c r="B70" s="53"/>
      <c r="C70" s="10" t="s">
        <v>472</v>
      </c>
      <c r="D70" s="10" t="s">
        <v>472</v>
      </c>
      <c r="E70" s="10" t="s">
        <v>466</v>
      </c>
      <c r="F70" s="10" t="s">
        <v>455</v>
      </c>
      <c r="G70" s="10" t="s">
        <v>398</v>
      </c>
    </row>
    <row r="71" ht="15.75" customHeight="1">
      <c r="B71" s="53"/>
      <c r="C71" s="10" t="s">
        <v>473</v>
      </c>
      <c r="D71" s="10" t="s">
        <v>473</v>
      </c>
      <c r="E71" s="10" t="s">
        <v>466</v>
      </c>
      <c r="F71" s="10" t="s">
        <v>455</v>
      </c>
      <c r="G71" s="10" t="s">
        <v>398</v>
      </c>
    </row>
    <row r="72" ht="15.75" customHeight="1">
      <c r="B72" s="53"/>
      <c r="C72" s="10" t="s">
        <v>474</v>
      </c>
      <c r="D72" s="10" t="s">
        <v>474</v>
      </c>
      <c r="E72" s="10" t="s">
        <v>466</v>
      </c>
      <c r="F72" s="10" t="s">
        <v>455</v>
      </c>
      <c r="G72" s="10" t="s">
        <v>398</v>
      </c>
    </row>
    <row r="73" ht="15.75" customHeight="1">
      <c r="B73" s="53"/>
      <c r="C73" s="10" t="s">
        <v>475</v>
      </c>
      <c r="D73" s="10" t="s">
        <v>475</v>
      </c>
      <c r="E73" s="10" t="s">
        <v>476</v>
      </c>
      <c r="F73" s="10" t="s">
        <v>455</v>
      </c>
      <c r="G73" s="10" t="s">
        <v>398</v>
      </c>
    </row>
    <row r="74" ht="15.75" customHeight="1">
      <c r="B74" s="53"/>
      <c r="C74" s="10" t="s">
        <v>477</v>
      </c>
      <c r="D74" s="10" t="s">
        <v>477</v>
      </c>
      <c r="E74" s="10" t="s">
        <v>476</v>
      </c>
      <c r="F74" s="10" t="s">
        <v>455</v>
      </c>
      <c r="G74" s="10" t="s">
        <v>398</v>
      </c>
    </row>
    <row r="75" ht="15.75" customHeight="1">
      <c r="B75" s="53"/>
      <c r="C75" s="10" t="s">
        <v>478</v>
      </c>
      <c r="D75" s="10" t="s">
        <v>478</v>
      </c>
      <c r="E75" s="10" t="s">
        <v>476</v>
      </c>
      <c r="F75" s="10" t="s">
        <v>455</v>
      </c>
      <c r="G75" s="10" t="s">
        <v>398</v>
      </c>
    </row>
    <row r="76" ht="15.75" customHeight="1">
      <c r="B76" s="53"/>
      <c r="C76" s="10" t="s">
        <v>479</v>
      </c>
      <c r="D76" s="10" t="s">
        <v>479</v>
      </c>
      <c r="E76" s="10" t="s">
        <v>476</v>
      </c>
      <c r="F76" s="10" t="s">
        <v>455</v>
      </c>
      <c r="G76" s="10" t="s">
        <v>398</v>
      </c>
    </row>
    <row r="77" ht="15.75" customHeight="1">
      <c r="B77" s="53"/>
      <c r="C77" s="10" t="s">
        <v>480</v>
      </c>
      <c r="D77" s="10" t="s">
        <v>480</v>
      </c>
      <c r="E77" s="10" t="s">
        <v>476</v>
      </c>
      <c r="F77" s="10" t="s">
        <v>455</v>
      </c>
      <c r="G77" s="10" t="s">
        <v>398</v>
      </c>
    </row>
    <row r="78" ht="15.75" customHeight="1">
      <c r="B78" s="53"/>
      <c r="C78" s="10" t="s">
        <v>481</v>
      </c>
      <c r="D78" s="10" t="s">
        <v>481</v>
      </c>
      <c r="E78" s="10" t="s">
        <v>476</v>
      </c>
      <c r="F78" s="10" t="s">
        <v>455</v>
      </c>
      <c r="G78" s="10" t="s">
        <v>398</v>
      </c>
    </row>
    <row r="79" ht="15.75" customHeight="1">
      <c r="B79" s="53"/>
      <c r="C79" s="10" t="s">
        <v>482</v>
      </c>
      <c r="D79" s="10" t="s">
        <v>482</v>
      </c>
      <c r="E79" s="10" t="s">
        <v>476</v>
      </c>
      <c r="F79" s="10" t="s">
        <v>455</v>
      </c>
      <c r="G79" s="10" t="s">
        <v>398</v>
      </c>
    </row>
    <row r="80" ht="15.75" customHeight="1">
      <c r="B80" s="53"/>
      <c r="C80" s="10" t="s">
        <v>483</v>
      </c>
      <c r="D80" s="10" t="s">
        <v>483</v>
      </c>
      <c r="E80" s="10" t="s">
        <v>476</v>
      </c>
      <c r="F80" s="10" t="s">
        <v>455</v>
      </c>
      <c r="G80" s="10" t="s">
        <v>398</v>
      </c>
    </row>
    <row r="81" ht="15.75" customHeight="1">
      <c r="B81" s="53"/>
      <c r="C81" s="10" t="s">
        <v>484</v>
      </c>
      <c r="D81" s="10" t="s">
        <v>484</v>
      </c>
      <c r="E81" s="10" t="s">
        <v>476</v>
      </c>
      <c r="F81" s="10" t="s">
        <v>455</v>
      </c>
      <c r="G81" s="10" t="s">
        <v>398</v>
      </c>
    </row>
    <row r="82" ht="15.75" customHeight="1">
      <c r="B82" s="53"/>
      <c r="C82" s="10" t="s">
        <v>485</v>
      </c>
      <c r="D82" s="10" t="s">
        <v>485</v>
      </c>
      <c r="E82" s="10" t="s">
        <v>476</v>
      </c>
      <c r="F82" s="10" t="s">
        <v>455</v>
      </c>
      <c r="G82" s="10" t="s">
        <v>398</v>
      </c>
    </row>
    <row r="83" ht="15.75" customHeight="1">
      <c r="B83" s="53"/>
      <c r="C83" s="10" t="s">
        <v>486</v>
      </c>
      <c r="D83" s="10" t="s">
        <v>487</v>
      </c>
      <c r="E83" s="10" t="s">
        <v>476</v>
      </c>
      <c r="F83" s="10" t="s">
        <v>455</v>
      </c>
      <c r="G83" s="10" t="s">
        <v>398</v>
      </c>
    </row>
    <row r="84" ht="15.75" customHeight="1">
      <c r="B84" s="53"/>
      <c r="C84" s="10" t="s">
        <v>488</v>
      </c>
      <c r="D84" s="10" t="s">
        <v>488</v>
      </c>
      <c r="E84" s="10" t="s">
        <v>476</v>
      </c>
      <c r="F84" s="10" t="s">
        <v>455</v>
      </c>
      <c r="G84" s="10" t="s">
        <v>398</v>
      </c>
    </row>
    <row r="85" ht="15.75" customHeight="1">
      <c r="B85" s="53"/>
      <c r="C85" s="10" t="s">
        <v>489</v>
      </c>
      <c r="D85" s="10" t="s">
        <v>489</v>
      </c>
      <c r="E85" s="10" t="s">
        <v>476</v>
      </c>
      <c r="F85" s="10" t="s">
        <v>455</v>
      </c>
      <c r="G85" s="10" t="s">
        <v>398</v>
      </c>
    </row>
    <row r="86" ht="15.75" customHeight="1">
      <c r="B86" s="53"/>
      <c r="C86" s="10" t="s">
        <v>490</v>
      </c>
      <c r="D86" s="10" t="s">
        <v>490</v>
      </c>
      <c r="E86" s="10" t="s">
        <v>476</v>
      </c>
      <c r="F86" s="10" t="s">
        <v>455</v>
      </c>
      <c r="G86" s="10" t="s">
        <v>398</v>
      </c>
    </row>
    <row r="87" ht="15.75" customHeight="1">
      <c r="B87" s="53"/>
      <c r="C87" s="10" t="s">
        <v>491</v>
      </c>
      <c r="D87" s="10" t="s">
        <v>491</v>
      </c>
      <c r="E87" s="10" t="s">
        <v>492</v>
      </c>
      <c r="F87" s="10"/>
      <c r="G87" s="10" t="s">
        <v>398</v>
      </c>
    </row>
    <row r="88" ht="15.75" customHeight="1">
      <c r="B88" s="53"/>
      <c r="C88" s="10" t="s">
        <v>493</v>
      </c>
      <c r="D88" s="10" t="s">
        <v>493</v>
      </c>
      <c r="E88" s="10" t="s">
        <v>492</v>
      </c>
      <c r="F88" s="10"/>
      <c r="G88" s="10" t="s">
        <v>398</v>
      </c>
    </row>
    <row r="89" ht="15.75" customHeight="1">
      <c r="B89" s="53"/>
      <c r="C89" s="10" t="s">
        <v>494</v>
      </c>
      <c r="D89" s="10" t="s">
        <v>494</v>
      </c>
      <c r="E89" s="10" t="s">
        <v>492</v>
      </c>
      <c r="F89" s="10"/>
      <c r="G89" s="10" t="s">
        <v>398</v>
      </c>
    </row>
    <row r="90" ht="15.75" customHeight="1">
      <c r="B90" s="53"/>
      <c r="C90" s="10" t="s">
        <v>495</v>
      </c>
      <c r="D90" s="10" t="s">
        <v>495</v>
      </c>
      <c r="E90" s="10" t="s">
        <v>492</v>
      </c>
      <c r="F90" s="10"/>
      <c r="G90" s="10" t="s">
        <v>398</v>
      </c>
    </row>
    <row r="91" ht="15.75" customHeight="1">
      <c r="B91" s="53"/>
      <c r="C91" s="10" t="s">
        <v>496</v>
      </c>
      <c r="D91" s="10" t="s">
        <v>496</v>
      </c>
      <c r="E91" s="10" t="s">
        <v>497</v>
      </c>
      <c r="F91" s="10"/>
      <c r="G91" s="10" t="s">
        <v>398</v>
      </c>
    </row>
    <row r="92" ht="15.75" customHeight="1">
      <c r="B92" s="53"/>
      <c r="C92" s="10" t="s">
        <v>498</v>
      </c>
      <c r="D92" s="10" t="s">
        <v>498</v>
      </c>
      <c r="E92" s="10" t="s">
        <v>497</v>
      </c>
      <c r="F92" s="10"/>
      <c r="G92" s="10" t="s">
        <v>398</v>
      </c>
    </row>
    <row r="93" ht="15.75" customHeight="1">
      <c r="B93" s="53"/>
      <c r="C93" s="10" t="s">
        <v>499</v>
      </c>
      <c r="D93" s="10" t="s">
        <v>499</v>
      </c>
      <c r="E93" s="10" t="s">
        <v>500</v>
      </c>
      <c r="F93" s="10" t="s">
        <v>501</v>
      </c>
      <c r="G93" s="10" t="s">
        <v>502</v>
      </c>
    </row>
    <row r="94" ht="15.75" customHeight="1">
      <c r="B94" s="53"/>
      <c r="C94" s="10" t="s">
        <v>503</v>
      </c>
      <c r="D94" s="10" t="s">
        <v>503</v>
      </c>
      <c r="E94" s="10" t="s">
        <v>500</v>
      </c>
      <c r="F94" s="10" t="s">
        <v>501</v>
      </c>
      <c r="G94" s="10" t="s">
        <v>502</v>
      </c>
    </row>
    <row r="95" ht="15.75" customHeight="1">
      <c r="B95" s="53"/>
      <c r="C95" s="10" t="s">
        <v>504</v>
      </c>
      <c r="D95" s="10" t="s">
        <v>504</v>
      </c>
      <c r="E95" s="10" t="s">
        <v>500</v>
      </c>
      <c r="F95" s="10" t="s">
        <v>501</v>
      </c>
      <c r="G95" s="10" t="s">
        <v>502</v>
      </c>
    </row>
    <row r="96" ht="15.75" customHeight="1">
      <c r="B96" s="53"/>
      <c r="C96" s="10" t="s">
        <v>505</v>
      </c>
      <c r="D96" s="10" t="s">
        <v>505</v>
      </c>
      <c r="E96" s="10" t="s">
        <v>506</v>
      </c>
      <c r="F96" s="10" t="s">
        <v>501</v>
      </c>
      <c r="G96" s="10" t="s">
        <v>502</v>
      </c>
    </row>
    <row r="97" ht="15.75" customHeight="1">
      <c r="B97" s="53"/>
      <c r="C97" s="10" t="s">
        <v>507</v>
      </c>
      <c r="D97" s="10" t="s">
        <v>508</v>
      </c>
      <c r="E97" s="10" t="s">
        <v>506</v>
      </c>
      <c r="F97" s="10" t="s">
        <v>501</v>
      </c>
      <c r="G97" s="10" t="s">
        <v>502</v>
      </c>
    </row>
    <row r="98" ht="15.75" customHeight="1">
      <c r="B98" s="53"/>
      <c r="C98" s="10" t="s">
        <v>509</v>
      </c>
      <c r="D98" s="10" t="s">
        <v>509</v>
      </c>
      <c r="E98" s="10" t="s">
        <v>506</v>
      </c>
      <c r="F98" s="10" t="s">
        <v>501</v>
      </c>
      <c r="G98" s="10" t="s">
        <v>502</v>
      </c>
    </row>
    <row r="99" ht="15.75" customHeight="1">
      <c r="B99" s="53"/>
      <c r="C99" s="10" t="s">
        <v>510</v>
      </c>
      <c r="D99" s="10" t="s">
        <v>510</v>
      </c>
      <c r="E99" s="10" t="s">
        <v>506</v>
      </c>
      <c r="F99" s="10" t="s">
        <v>501</v>
      </c>
      <c r="G99" s="10" t="s">
        <v>502</v>
      </c>
    </row>
    <row r="100" ht="15.75" customHeight="1">
      <c r="B100" s="53"/>
      <c r="C100" s="10" t="s">
        <v>511</v>
      </c>
      <c r="D100" s="10" t="s">
        <v>511</v>
      </c>
      <c r="E100" s="10" t="s">
        <v>506</v>
      </c>
      <c r="F100" s="10" t="s">
        <v>501</v>
      </c>
      <c r="G100" s="10" t="s">
        <v>502</v>
      </c>
    </row>
    <row r="101" ht="15.75" customHeight="1">
      <c r="B101" s="53"/>
      <c r="C101" s="10" t="s">
        <v>512</v>
      </c>
      <c r="D101" s="10" t="s">
        <v>512</v>
      </c>
      <c r="E101" s="10" t="s">
        <v>506</v>
      </c>
      <c r="F101" s="10" t="s">
        <v>501</v>
      </c>
      <c r="G101" s="10" t="s">
        <v>502</v>
      </c>
    </row>
    <row r="102" ht="15.75" customHeight="1">
      <c r="B102" s="53"/>
      <c r="C102" s="10" t="s">
        <v>513</v>
      </c>
      <c r="D102" s="10" t="s">
        <v>513</v>
      </c>
      <c r="E102" s="10" t="s">
        <v>506</v>
      </c>
      <c r="F102" s="10" t="s">
        <v>501</v>
      </c>
      <c r="G102" s="10" t="s">
        <v>502</v>
      </c>
    </row>
    <row r="103" ht="15.75" customHeight="1">
      <c r="B103" s="53"/>
      <c r="C103" s="10" t="s">
        <v>514</v>
      </c>
      <c r="D103" s="10" t="s">
        <v>514</v>
      </c>
      <c r="E103" s="10" t="s">
        <v>506</v>
      </c>
      <c r="F103" s="10" t="s">
        <v>501</v>
      </c>
      <c r="G103" s="10" t="s">
        <v>502</v>
      </c>
    </row>
    <row r="104" ht="15.75" customHeight="1">
      <c r="B104" s="53"/>
      <c r="C104" s="10" t="s">
        <v>515</v>
      </c>
      <c r="D104" s="10" t="s">
        <v>515</v>
      </c>
      <c r="E104" s="10" t="s">
        <v>506</v>
      </c>
      <c r="F104" s="10" t="s">
        <v>501</v>
      </c>
      <c r="G104" s="10" t="s">
        <v>502</v>
      </c>
    </row>
    <row r="105" ht="15.75" customHeight="1">
      <c r="B105" s="53"/>
      <c r="C105" s="10" t="s">
        <v>516</v>
      </c>
      <c r="D105" s="10" t="s">
        <v>512</v>
      </c>
      <c r="E105" s="10" t="s">
        <v>506</v>
      </c>
      <c r="F105" s="10" t="s">
        <v>501</v>
      </c>
      <c r="G105" s="10" t="s">
        <v>502</v>
      </c>
    </row>
    <row r="106" ht="15.75" customHeight="1">
      <c r="B106" s="53"/>
      <c r="C106" s="10" t="s">
        <v>517</v>
      </c>
      <c r="D106" s="10" t="s">
        <v>512</v>
      </c>
      <c r="E106" s="10" t="s">
        <v>506</v>
      </c>
      <c r="F106" s="10" t="s">
        <v>501</v>
      </c>
      <c r="G106" s="10" t="s">
        <v>502</v>
      </c>
    </row>
    <row r="107" ht="15.75" customHeight="1">
      <c r="B107" s="53"/>
      <c r="C107" s="10" t="s">
        <v>518</v>
      </c>
      <c r="D107" s="10" t="s">
        <v>512</v>
      </c>
      <c r="E107" s="10" t="s">
        <v>506</v>
      </c>
      <c r="F107" s="10" t="s">
        <v>501</v>
      </c>
      <c r="G107" s="10" t="s">
        <v>502</v>
      </c>
    </row>
    <row r="108" ht="15.75" customHeight="1">
      <c r="B108" s="53"/>
      <c r="C108" s="10" t="s">
        <v>519</v>
      </c>
      <c r="D108" s="10" t="s">
        <v>512</v>
      </c>
      <c r="E108" s="10" t="s">
        <v>506</v>
      </c>
      <c r="F108" s="10" t="s">
        <v>501</v>
      </c>
      <c r="G108" s="10" t="s">
        <v>502</v>
      </c>
    </row>
    <row r="109" ht="15.75" customHeight="1">
      <c r="B109" s="53"/>
      <c r="C109" s="10" t="s">
        <v>520</v>
      </c>
      <c r="D109" s="10" t="s">
        <v>512</v>
      </c>
      <c r="E109" s="10" t="s">
        <v>506</v>
      </c>
      <c r="F109" s="10" t="s">
        <v>501</v>
      </c>
      <c r="G109" s="10" t="s">
        <v>502</v>
      </c>
    </row>
    <row r="110" ht="15.75" customHeight="1">
      <c r="B110" s="53"/>
      <c r="C110" s="10" t="s">
        <v>521</v>
      </c>
      <c r="D110" s="10" t="s">
        <v>521</v>
      </c>
      <c r="E110" s="10" t="s">
        <v>506</v>
      </c>
      <c r="F110" s="10" t="s">
        <v>501</v>
      </c>
      <c r="G110" s="10" t="s">
        <v>502</v>
      </c>
    </row>
    <row r="111" ht="15.75" customHeight="1">
      <c r="B111" s="53"/>
      <c r="C111" s="10" t="s">
        <v>522</v>
      </c>
      <c r="D111" s="10" t="s">
        <v>522</v>
      </c>
      <c r="E111" s="10" t="s">
        <v>506</v>
      </c>
      <c r="F111" s="10" t="s">
        <v>501</v>
      </c>
      <c r="G111" s="10" t="s">
        <v>502</v>
      </c>
    </row>
    <row r="112" ht="15.75" customHeight="1">
      <c r="B112" s="53"/>
      <c r="C112" s="10" t="s">
        <v>523</v>
      </c>
      <c r="D112" s="10" t="s">
        <v>522</v>
      </c>
      <c r="E112" s="10" t="s">
        <v>506</v>
      </c>
      <c r="F112" s="10" t="s">
        <v>501</v>
      </c>
      <c r="G112" s="10" t="s">
        <v>502</v>
      </c>
    </row>
    <row r="113" ht="15.75" customHeight="1">
      <c r="B113" s="53"/>
      <c r="C113" s="10" t="s">
        <v>524</v>
      </c>
      <c r="D113" s="10" t="s">
        <v>524</v>
      </c>
      <c r="E113" s="10" t="s">
        <v>506</v>
      </c>
      <c r="F113" s="10" t="s">
        <v>501</v>
      </c>
      <c r="G113" s="10" t="s">
        <v>502</v>
      </c>
    </row>
    <row r="114" ht="15.75" customHeight="1">
      <c r="B114" s="53"/>
      <c r="C114" s="10" t="s">
        <v>525</v>
      </c>
      <c r="D114" s="10" t="s">
        <v>525</v>
      </c>
      <c r="E114" s="10" t="s">
        <v>506</v>
      </c>
      <c r="F114" s="10" t="s">
        <v>501</v>
      </c>
      <c r="G114" s="10" t="s">
        <v>502</v>
      </c>
    </row>
    <row r="115" ht="15.75" customHeight="1">
      <c r="B115" s="53"/>
      <c r="C115" s="10" t="s">
        <v>526</v>
      </c>
      <c r="D115" s="10" t="s">
        <v>526</v>
      </c>
      <c r="E115" s="10" t="s">
        <v>506</v>
      </c>
      <c r="F115" s="10" t="s">
        <v>501</v>
      </c>
      <c r="G115" s="10" t="s">
        <v>502</v>
      </c>
    </row>
    <row r="116" ht="15.75" customHeight="1">
      <c r="B116" s="53"/>
      <c r="C116" s="10" t="s">
        <v>527</v>
      </c>
      <c r="D116" s="10" t="s">
        <v>527</v>
      </c>
      <c r="E116" s="10" t="s">
        <v>506</v>
      </c>
      <c r="F116" s="10" t="s">
        <v>501</v>
      </c>
      <c r="G116" s="10" t="s">
        <v>502</v>
      </c>
    </row>
    <row r="117" ht="15.75" customHeight="1">
      <c r="B117" s="53"/>
      <c r="C117" s="10" t="s">
        <v>528</v>
      </c>
      <c r="D117" s="10" t="s">
        <v>528</v>
      </c>
      <c r="E117" s="10" t="s">
        <v>506</v>
      </c>
      <c r="F117" s="10" t="s">
        <v>501</v>
      </c>
      <c r="G117" s="10" t="s">
        <v>502</v>
      </c>
    </row>
    <row r="118" ht="15.75" customHeight="1">
      <c r="B118" s="53"/>
      <c r="C118" s="10" t="s">
        <v>529</v>
      </c>
      <c r="D118" s="10" t="s">
        <v>529</v>
      </c>
      <c r="E118" s="10" t="s">
        <v>506</v>
      </c>
      <c r="F118" s="10" t="s">
        <v>501</v>
      </c>
      <c r="G118" s="10" t="s">
        <v>502</v>
      </c>
    </row>
    <row r="119" ht="15.75" customHeight="1">
      <c r="B119" s="53"/>
      <c r="C119" s="10" t="s">
        <v>530</v>
      </c>
      <c r="D119" s="10" t="s">
        <v>530</v>
      </c>
      <c r="E119" s="10" t="s">
        <v>506</v>
      </c>
      <c r="F119" s="10" t="s">
        <v>501</v>
      </c>
      <c r="G119" s="10" t="s">
        <v>502</v>
      </c>
    </row>
    <row r="120" ht="15.75" customHeight="1">
      <c r="B120" s="53"/>
      <c r="C120" s="10" t="s">
        <v>531</v>
      </c>
      <c r="D120" s="10" t="s">
        <v>531</v>
      </c>
      <c r="E120" s="10" t="s">
        <v>506</v>
      </c>
      <c r="F120" s="10" t="s">
        <v>501</v>
      </c>
      <c r="G120" s="10" t="s">
        <v>502</v>
      </c>
    </row>
    <row r="121" ht="15.75" customHeight="1">
      <c r="B121" s="53"/>
      <c r="C121" s="10" t="s">
        <v>532</v>
      </c>
      <c r="D121" s="10" t="s">
        <v>532</v>
      </c>
      <c r="E121" s="10" t="s">
        <v>506</v>
      </c>
      <c r="F121" s="10" t="s">
        <v>501</v>
      </c>
      <c r="G121" s="10" t="s">
        <v>502</v>
      </c>
    </row>
    <row r="122" ht="15.75" customHeight="1">
      <c r="B122" s="53"/>
      <c r="C122" s="10" t="s">
        <v>533</v>
      </c>
      <c r="D122" s="10" t="s">
        <v>534</v>
      </c>
      <c r="E122" s="10" t="s">
        <v>506</v>
      </c>
      <c r="F122" s="10" t="s">
        <v>501</v>
      </c>
      <c r="G122" s="10" t="s">
        <v>502</v>
      </c>
    </row>
    <row r="123" ht="15.75" customHeight="1">
      <c r="B123" s="53"/>
      <c r="C123" s="10" t="s">
        <v>535</v>
      </c>
      <c r="D123" s="10" t="s">
        <v>535</v>
      </c>
      <c r="E123" s="10" t="s">
        <v>506</v>
      </c>
      <c r="F123" s="10" t="s">
        <v>501</v>
      </c>
      <c r="G123" s="10" t="s">
        <v>502</v>
      </c>
    </row>
    <row r="124" ht="15.75" customHeight="1">
      <c r="B124" s="53"/>
      <c r="C124" s="10" t="s">
        <v>536</v>
      </c>
      <c r="D124" s="10" t="s">
        <v>536</v>
      </c>
      <c r="E124" s="10" t="s">
        <v>537</v>
      </c>
      <c r="F124" s="10" t="s">
        <v>501</v>
      </c>
      <c r="G124" s="10" t="s">
        <v>502</v>
      </c>
    </row>
    <row r="125" ht="15.75" customHeight="1">
      <c r="B125" s="53"/>
      <c r="C125" s="10" t="s">
        <v>538</v>
      </c>
      <c r="D125" s="10" t="s">
        <v>538</v>
      </c>
      <c r="E125" s="10" t="s">
        <v>537</v>
      </c>
      <c r="F125" s="10" t="s">
        <v>501</v>
      </c>
      <c r="G125" s="10" t="s">
        <v>502</v>
      </c>
    </row>
    <row r="126" ht="15.75" customHeight="1">
      <c r="B126" s="53"/>
      <c r="C126" s="10" t="s">
        <v>539</v>
      </c>
      <c r="D126" s="10" t="s">
        <v>539</v>
      </c>
      <c r="E126" s="10" t="s">
        <v>537</v>
      </c>
      <c r="F126" s="10" t="s">
        <v>501</v>
      </c>
      <c r="G126" s="10" t="s">
        <v>502</v>
      </c>
    </row>
    <row r="127" ht="15.75" customHeight="1">
      <c r="B127" s="53"/>
      <c r="C127" s="10" t="s">
        <v>540</v>
      </c>
      <c r="D127" s="10" t="s">
        <v>540</v>
      </c>
      <c r="E127" s="10" t="s">
        <v>537</v>
      </c>
      <c r="F127" s="10" t="s">
        <v>501</v>
      </c>
      <c r="G127" s="10" t="s">
        <v>502</v>
      </c>
    </row>
    <row r="128" ht="15.75" customHeight="1">
      <c r="B128" s="53"/>
      <c r="C128" s="10" t="s">
        <v>541</v>
      </c>
      <c r="D128" s="10" t="s">
        <v>541</v>
      </c>
      <c r="E128" s="10" t="s">
        <v>541</v>
      </c>
      <c r="F128" s="10" t="s">
        <v>542</v>
      </c>
      <c r="G128" s="10" t="s">
        <v>502</v>
      </c>
    </row>
    <row r="129" ht="15.75" customHeight="1">
      <c r="B129" s="53"/>
      <c r="C129" s="10" t="s">
        <v>543</v>
      </c>
      <c r="D129" s="10" t="s">
        <v>543</v>
      </c>
      <c r="E129" s="10" t="s">
        <v>543</v>
      </c>
      <c r="F129" s="10" t="s">
        <v>542</v>
      </c>
      <c r="G129" s="10" t="s">
        <v>502</v>
      </c>
    </row>
    <row r="130" ht="15.75" customHeight="1">
      <c r="B130" s="53"/>
      <c r="C130" s="10" t="s">
        <v>544</v>
      </c>
      <c r="D130" s="10" t="s">
        <v>544</v>
      </c>
      <c r="E130" s="10" t="s">
        <v>544</v>
      </c>
      <c r="F130" s="10" t="s">
        <v>542</v>
      </c>
      <c r="G130" s="10" t="s">
        <v>502</v>
      </c>
    </row>
    <row r="131" ht="15.75" customHeight="1">
      <c r="B131" s="53"/>
      <c r="C131" s="10" t="s">
        <v>545</v>
      </c>
      <c r="D131" s="10" t="s">
        <v>546</v>
      </c>
      <c r="E131" s="10" t="s">
        <v>546</v>
      </c>
      <c r="F131" s="10" t="s">
        <v>542</v>
      </c>
      <c r="G131" s="10" t="s">
        <v>502</v>
      </c>
    </row>
    <row r="132" ht="15.75" customHeight="1">
      <c r="B132" s="53"/>
      <c r="C132" s="10" t="s">
        <v>547</v>
      </c>
      <c r="D132" s="10" t="s">
        <v>546</v>
      </c>
      <c r="E132" s="10" t="s">
        <v>546</v>
      </c>
      <c r="F132" s="10" t="s">
        <v>542</v>
      </c>
      <c r="G132" s="10" t="s">
        <v>502</v>
      </c>
    </row>
    <row r="133" ht="15.75" customHeight="1">
      <c r="B133" s="53"/>
      <c r="C133" s="10" t="s">
        <v>548</v>
      </c>
      <c r="D133" s="10" t="s">
        <v>548</v>
      </c>
      <c r="E133" s="10" t="s">
        <v>548</v>
      </c>
      <c r="F133" s="10" t="s">
        <v>542</v>
      </c>
      <c r="G133" s="10" t="s">
        <v>502</v>
      </c>
    </row>
    <row r="134" ht="15.75" customHeight="1">
      <c r="B134" s="53"/>
      <c r="C134" s="10" t="s">
        <v>549</v>
      </c>
      <c r="D134" s="10" t="s">
        <v>549</v>
      </c>
      <c r="E134" s="10" t="s">
        <v>550</v>
      </c>
      <c r="F134" s="10" t="s">
        <v>542</v>
      </c>
      <c r="G134" s="10" t="s">
        <v>502</v>
      </c>
    </row>
    <row r="135" ht="15.75" customHeight="1">
      <c r="B135" s="53"/>
      <c r="C135" s="10" t="s">
        <v>551</v>
      </c>
      <c r="D135" s="10" t="s">
        <v>551</v>
      </c>
      <c r="E135" s="10" t="s">
        <v>551</v>
      </c>
      <c r="F135" s="10" t="s">
        <v>542</v>
      </c>
      <c r="G135" s="10" t="s">
        <v>502</v>
      </c>
    </row>
    <row r="136" ht="15.75" customHeight="1">
      <c r="B136" s="53"/>
      <c r="C136" s="10" t="s">
        <v>552</v>
      </c>
      <c r="D136" s="10" t="s">
        <v>552</v>
      </c>
      <c r="E136" s="10" t="s">
        <v>552</v>
      </c>
      <c r="F136" s="10" t="s">
        <v>542</v>
      </c>
      <c r="G136" s="10" t="s">
        <v>502</v>
      </c>
    </row>
    <row r="137" ht="15.75" customHeight="1">
      <c r="B137" s="53"/>
      <c r="C137" s="10" t="s">
        <v>553</v>
      </c>
      <c r="D137" s="10" t="s">
        <v>553</v>
      </c>
      <c r="E137" s="10" t="s">
        <v>553</v>
      </c>
      <c r="F137" s="10" t="s">
        <v>542</v>
      </c>
      <c r="G137" s="10" t="s">
        <v>502</v>
      </c>
    </row>
    <row r="138" ht="15.75" customHeight="1">
      <c r="B138" s="53"/>
      <c r="C138" s="10" t="s">
        <v>554</v>
      </c>
      <c r="D138" s="10" t="s">
        <v>554</v>
      </c>
      <c r="E138" s="10" t="s">
        <v>555</v>
      </c>
      <c r="F138" s="10" t="s">
        <v>542</v>
      </c>
      <c r="G138" s="10" t="s">
        <v>502</v>
      </c>
    </row>
    <row r="139" ht="15.75" customHeight="1">
      <c r="B139" s="53"/>
      <c r="C139" s="10" t="s">
        <v>556</v>
      </c>
      <c r="D139" s="10" t="s">
        <v>556</v>
      </c>
      <c r="E139" s="10" t="s">
        <v>556</v>
      </c>
      <c r="F139" s="10" t="s">
        <v>542</v>
      </c>
      <c r="G139" s="10" t="s">
        <v>502</v>
      </c>
    </row>
    <row r="140" ht="15.75" customHeight="1">
      <c r="B140" s="53"/>
      <c r="C140" s="10" t="s">
        <v>557</v>
      </c>
      <c r="D140" s="10" t="s">
        <v>557</v>
      </c>
      <c r="E140" s="10" t="s">
        <v>557</v>
      </c>
      <c r="F140" s="10" t="s">
        <v>542</v>
      </c>
      <c r="G140" s="10" t="s">
        <v>502</v>
      </c>
    </row>
    <row r="141" ht="15.75" customHeight="1">
      <c r="B141" s="53"/>
      <c r="C141" s="10" t="s">
        <v>558</v>
      </c>
      <c r="D141" s="10" t="s">
        <v>558</v>
      </c>
      <c r="E141" s="10" t="s">
        <v>558</v>
      </c>
      <c r="F141" s="10" t="s">
        <v>542</v>
      </c>
      <c r="G141" s="10" t="s">
        <v>502</v>
      </c>
    </row>
    <row r="142" ht="15.75" customHeight="1">
      <c r="B142" s="53"/>
      <c r="C142" s="10" t="s">
        <v>559</v>
      </c>
      <c r="D142" s="10" t="s">
        <v>559</v>
      </c>
      <c r="E142" s="10" t="s">
        <v>560</v>
      </c>
      <c r="F142" s="10"/>
      <c r="G142" s="10" t="s">
        <v>560</v>
      </c>
    </row>
    <row r="143" ht="15.75" customHeight="1">
      <c r="B143" s="53"/>
      <c r="C143" s="10" t="s">
        <v>1</v>
      </c>
      <c r="D143" s="10" t="s">
        <v>1</v>
      </c>
      <c r="E143" s="10" t="s">
        <v>1</v>
      </c>
      <c r="F143" s="10"/>
      <c r="G143" s="10" t="s">
        <v>559</v>
      </c>
    </row>
    <row r="144" ht="15.75" customHeight="1">
      <c r="B144" s="53"/>
      <c r="C144" s="10" t="s">
        <v>358</v>
      </c>
      <c r="D144" s="10" t="s">
        <v>1</v>
      </c>
      <c r="E144" s="10" t="s">
        <v>1</v>
      </c>
      <c r="F144" s="10"/>
      <c r="G144" s="10" t="s">
        <v>559</v>
      </c>
    </row>
    <row r="145" ht="15.75" customHeight="1">
      <c r="B145" s="53"/>
      <c r="C145" s="10" t="s">
        <v>561</v>
      </c>
      <c r="D145" s="10" t="s">
        <v>561</v>
      </c>
      <c r="E145" s="10" t="s">
        <v>1</v>
      </c>
      <c r="F145" s="10"/>
      <c r="G145" s="10" t="s">
        <v>559</v>
      </c>
    </row>
    <row r="146" ht="15.75" customHeight="1">
      <c r="B146" s="53"/>
      <c r="C146" s="10" t="s">
        <v>562</v>
      </c>
      <c r="D146" s="10" t="s">
        <v>562</v>
      </c>
      <c r="E146" s="10" t="s">
        <v>1</v>
      </c>
      <c r="F146" s="10"/>
      <c r="G146" s="10" t="s">
        <v>559</v>
      </c>
    </row>
    <row r="147" ht="15.75" customHeight="1">
      <c r="B147" s="53"/>
      <c r="C147" s="10" t="s">
        <v>563</v>
      </c>
      <c r="D147" s="10" t="s">
        <v>563</v>
      </c>
      <c r="E147" s="10" t="s">
        <v>1</v>
      </c>
      <c r="F147" s="10"/>
      <c r="G147" s="10" t="s">
        <v>559</v>
      </c>
    </row>
    <row r="148" ht="15.75" customHeight="1">
      <c r="B148" s="53"/>
      <c r="C148" s="10" t="s">
        <v>564</v>
      </c>
      <c r="D148" s="10" t="s">
        <v>564</v>
      </c>
      <c r="E148" s="10" t="s">
        <v>1</v>
      </c>
      <c r="F148" s="10"/>
      <c r="G148" s="10" t="s">
        <v>559</v>
      </c>
    </row>
    <row r="149" ht="15.75" customHeight="1">
      <c r="B149" s="53"/>
      <c r="C149" s="10" t="s">
        <v>565</v>
      </c>
      <c r="D149" s="10" t="s">
        <v>565</v>
      </c>
      <c r="E149" s="10" t="s">
        <v>1</v>
      </c>
      <c r="F149" s="10"/>
      <c r="G149" s="10" t="s">
        <v>559</v>
      </c>
    </row>
    <row r="150" ht="15.75" customHeight="1">
      <c r="B150" s="53"/>
      <c r="C150" s="10" t="s">
        <v>566</v>
      </c>
      <c r="D150" s="10" t="s">
        <v>566</v>
      </c>
      <c r="E150" s="10" t="s">
        <v>1</v>
      </c>
      <c r="F150" s="10"/>
      <c r="G150" s="10" t="s">
        <v>559</v>
      </c>
    </row>
    <row r="151" ht="15.75" customHeight="1">
      <c r="B151" s="53"/>
      <c r="C151" s="10" t="s">
        <v>68</v>
      </c>
      <c r="D151" s="10" t="s">
        <v>68</v>
      </c>
      <c r="E151" s="10" t="s">
        <v>227</v>
      </c>
      <c r="F151" s="10"/>
      <c r="G151" s="10" t="s">
        <v>559</v>
      </c>
    </row>
    <row r="152" ht="15.75" customHeight="1">
      <c r="B152" s="53"/>
      <c r="C152" s="10" t="s">
        <v>138</v>
      </c>
      <c r="D152" s="10" t="s">
        <v>69</v>
      </c>
      <c r="E152" s="10" t="s">
        <v>228</v>
      </c>
      <c r="F152" s="10"/>
      <c r="G152" s="10" t="s">
        <v>559</v>
      </c>
    </row>
    <row r="153" ht="15.75" customHeight="1">
      <c r="B153" s="53"/>
      <c r="C153" s="10" t="s">
        <v>567</v>
      </c>
      <c r="D153" s="10" t="s">
        <v>567</v>
      </c>
      <c r="E153" s="10" t="s">
        <v>228</v>
      </c>
      <c r="F153" s="10"/>
      <c r="G153" s="10" t="s">
        <v>559</v>
      </c>
    </row>
    <row r="154" ht="15.75" customHeight="1">
      <c r="B154" s="53"/>
      <c r="C154" s="10" t="s">
        <v>568</v>
      </c>
      <c r="D154" s="10" t="s">
        <v>568</v>
      </c>
      <c r="E154" s="10" t="s">
        <v>228</v>
      </c>
      <c r="F154" s="10"/>
      <c r="G154" s="10" t="s">
        <v>559</v>
      </c>
    </row>
    <row r="155" ht="15.75" customHeight="1">
      <c r="B155" s="53"/>
      <c r="C155" s="10" t="s">
        <v>569</v>
      </c>
      <c r="D155" s="10" t="s">
        <v>569</v>
      </c>
      <c r="E155" s="10" t="s">
        <v>228</v>
      </c>
      <c r="F155" s="10"/>
      <c r="G155" s="10" t="s">
        <v>559</v>
      </c>
    </row>
    <row r="156" ht="15.75" customHeight="1">
      <c r="B156" s="53"/>
      <c r="C156" s="10" t="s">
        <v>570</v>
      </c>
      <c r="D156" s="10" t="s">
        <v>69</v>
      </c>
      <c r="E156" s="10" t="s">
        <v>228</v>
      </c>
      <c r="F156" s="10"/>
      <c r="G156" s="10" t="s">
        <v>559</v>
      </c>
    </row>
    <row r="157" ht="15.75" customHeight="1">
      <c r="B157" s="53"/>
      <c r="C157" s="10" t="s">
        <v>571</v>
      </c>
      <c r="D157" s="10" t="s">
        <v>571</v>
      </c>
      <c r="E157" s="10" t="s">
        <v>228</v>
      </c>
      <c r="F157" s="10"/>
      <c r="G157" s="10" t="s">
        <v>559</v>
      </c>
    </row>
    <row r="158" ht="15.75" customHeight="1">
      <c r="B158" s="53"/>
      <c r="C158" s="10" t="s">
        <v>572</v>
      </c>
      <c r="D158" s="10" t="s">
        <v>69</v>
      </c>
      <c r="E158" s="10" t="s">
        <v>228</v>
      </c>
      <c r="F158" s="10"/>
      <c r="G158" s="10" t="s">
        <v>559</v>
      </c>
    </row>
    <row r="159" ht="15.75" customHeight="1">
      <c r="B159" s="53"/>
      <c r="C159" s="10" t="s">
        <v>359</v>
      </c>
      <c r="D159" s="10" t="s">
        <v>69</v>
      </c>
      <c r="E159" s="10" t="s">
        <v>228</v>
      </c>
      <c r="F159" s="10"/>
      <c r="G159" s="10" t="s">
        <v>559</v>
      </c>
    </row>
    <row r="160" ht="15.75" customHeight="1">
      <c r="B160" s="53"/>
      <c r="C160" s="10" t="s">
        <v>360</v>
      </c>
      <c r="D160" s="10" t="s">
        <v>69</v>
      </c>
      <c r="E160" s="10" t="s">
        <v>228</v>
      </c>
      <c r="F160" s="10"/>
      <c r="G160" s="10" t="s">
        <v>559</v>
      </c>
    </row>
    <row r="161" ht="15.75" customHeight="1">
      <c r="B161" s="53"/>
      <c r="C161" s="10" t="s">
        <v>573</v>
      </c>
      <c r="D161" s="10" t="s">
        <v>69</v>
      </c>
      <c r="E161" s="10" t="s">
        <v>228</v>
      </c>
      <c r="F161" s="10"/>
      <c r="G161" s="10" t="s">
        <v>559</v>
      </c>
    </row>
    <row r="162" ht="15.75" customHeight="1">
      <c r="B162" s="53"/>
      <c r="C162" s="10" t="s">
        <v>574</v>
      </c>
      <c r="D162" s="10" t="s">
        <v>69</v>
      </c>
      <c r="E162" s="10" t="s">
        <v>228</v>
      </c>
      <c r="F162" s="10"/>
      <c r="G162" s="10" t="s">
        <v>559</v>
      </c>
    </row>
    <row r="163" ht="15.75" customHeight="1">
      <c r="B163" s="53"/>
      <c r="C163" s="10" t="s">
        <v>361</v>
      </c>
      <c r="D163" s="10" t="s">
        <v>69</v>
      </c>
      <c r="E163" s="10" t="s">
        <v>228</v>
      </c>
      <c r="F163" s="10"/>
      <c r="G163" s="10" t="s">
        <v>559</v>
      </c>
    </row>
    <row r="164" ht="15.75" customHeight="1">
      <c r="B164" s="53"/>
      <c r="C164" s="10" t="s">
        <v>362</v>
      </c>
      <c r="D164" s="10" t="s">
        <v>69</v>
      </c>
      <c r="E164" s="10" t="s">
        <v>228</v>
      </c>
      <c r="F164" s="10"/>
      <c r="G164" s="10" t="s">
        <v>559</v>
      </c>
    </row>
    <row r="165" ht="15.75" customHeight="1">
      <c r="B165" s="53"/>
      <c r="C165" s="10" t="s">
        <v>231</v>
      </c>
      <c r="D165" s="10" t="s">
        <v>69</v>
      </c>
      <c r="E165" s="10" t="s">
        <v>228</v>
      </c>
      <c r="F165" s="10"/>
      <c r="G165" s="10" t="s">
        <v>559</v>
      </c>
    </row>
    <row r="166" ht="15.75" customHeight="1">
      <c r="B166" s="53" t="s">
        <v>78</v>
      </c>
      <c r="C166" s="10" t="s">
        <v>363</v>
      </c>
      <c r="D166" s="10" t="s">
        <v>69</v>
      </c>
      <c r="E166" s="10" t="s">
        <v>228</v>
      </c>
      <c r="F166" s="10"/>
      <c r="G166" s="10" t="s">
        <v>559</v>
      </c>
    </row>
    <row r="167" ht="15.75" customHeight="1">
      <c r="B167" s="53" t="s">
        <v>78</v>
      </c>
      <c r="C167" s="10" t="s">
        <v>364</v>
      </c>
      <c r="D167" s="10" t="s">
        <v>69</v>
      </c>
      <c r="E167" s="10" t="s">
        <v>228</v>
      </c>
      <c r="F167" s="10"/>
      <c r="G167" s="10" t="s">
        <v>559</v>
      </c>
    </row>
    <row r="168" ht="15.75" customHeight="1">
      <c r="B168" s="53" t="s">
        <v>78</v>
      </c>
      <c r="C168" s="10" t="s">
        <v>365</v>
      </c>
      <c r="D168" s="10" t="s">
        <v>69</v>
      </c>
      <c r="E168" s="10" t="s">
        <v>228</v>
      </c>
      <c r="F168" s="10"/>
      <c r="G168" s="10" t="s">
        <v>559</v>
      </c>
    </row>
    <row r="169" ht="15.75" customHeight="1">
      <c r="B169" s="53"/>
      <c r="C169" s="10" t="s">
        <v>233</v>
      </c>
      <c r="D169" s="10" t="s">
        <v>69</v>
      </c>
      <c r="E169" s="10" t="s">
        <v>228</v>
      </c>
      <c r="F169" s="10"/>
      <c r="G169" s="10" t="s">
        <v>559</v>
      </c>
    </row>
    <row r="170" ht="15.75" customHeight="1">
      <c r="B170" s="53"/>
      <c r="C170" s="10" t="s">
        <v>575</v>
      </c>
      <c r="D170" s="10" t="s">
        <v>69</v>
      </c>
      <c r="E170" s="10" t="s">
        <v>228</v>
      </c>
      <c r="F170" s="10"/>
      <c r="G170" s="10" t="s">
        <v>559</v>
      </c>
    </row>
    <row r="171" ht="15.75" customHeight="1">
      <c r="B171" s="53"/>
      <c r="C171" s="10" t="s">
        <v>351</v>
      </c>
      <c r="D171" s="10" t="s">
        <v>69</v>
      </c>
      <c r="E171" s="10" t="s">
        <v>228</v>
      </c>
      <c r="F171" s="10"/>
      <c r="G171" s="10" t="s">
        <v>559</v>
      </c>
    </row>
    <row r="172" ht="15.75" customHeight="1">
      <c r="B172" s="53"/>
      <c r="C172" s="10" t="s">
        <v>234</v>
      </c>
      <c r="D172" s="10" t="s">
        <v>69</v>
      </c>
      <c r="E172" s="10" t="s">
        <v>228</v>
      </c>
      <c r="F172" s="10"/>
      <c r="G172" s="10" t="s">
        <v>559</v>
      </c>
    </row>
    <row r="173" ht="15.75" customHeight="1">
      <c r="B173" s="53"/>
      <c r="C173" s="10" t="s">
        <v>576</v>
      </c>
      <c r="D173" s="10" t="s">
        <v>69</v>
      </c>
      <c r="E173" s="10" t="s">
        <v>228</v>
      </c>
      <c r="F173" s="10"/>
      <c r="G173" s="10" t="s">
        <v>559</v>
      </c>
    </row>
    <row r="174" ht="15.75" customHeight="1">
      <c r="B174" s="53"/>
      <c r="C174" s="10" t="s">
        <v>366</v>
      </c>
      <c r="D174" s="10" t="s">
        <v>69</v>
      </c>
      <c r="E174" s="10" t="s">
        <v>228</v>
      </c>
      <c r="F174" s="10"/>
      <c r="G174" s="10" t="s">
        <v>559</v>
      </c>
    </row>
    <row r="175" ht="15.75" customHeight="1">
      <c r="B175" s="53"/>
      <c r="C175" s="10" t="s">
        <v>352</v>
      </c>
      <c r="D175" s="10" t="s">
        <v>69</v>
      </c>
      <c r="E175" s="10" t="s">
        <v>228</v>
      </c>
      <c r="F175" s="10"/>
      <c r="G175" s="10" t="s">
        <v>559</v>
      </c>
    </row>
    <row r="176" ht="15.75" customHeight="1">
      <c r="B176" s="53"/>
      <c r="C176" s="10" t="s">
        <v>577</v>
      </c>
      <c r="D176" s="10" t="s">
        <v>577</v>
      </c>
      <c r="E176" s="10" t="s">
        <v>228</v>
      </c>
      <c r="F176" s="10"/>
      <c r="G176" s="10" t="s">
        <v>559</v>
      </c>
    </row>
    <row r="177" ht="15.75" customHeight="1">
      <c r="B177" s="53"/>
      <c r="C177" s="10" t="s">
        <v>578</v>
      </c>
      <c r="D177" s="10" t="s">
        <v>578</v>
      </c>
      <c r="E177" s="10" t="s">
        <v>228</v>
      </c>
      <c r="F177" s="10"/>
      <c r="G177" s="10" t="s">
        <v>559</v>
      </c>
    </row>
    <row r="178" ht="15.75" customHeight="1">
      <c r="B178" s="53"/>
      <c r="C178" s="10" t="s">
        <v>235</v>
      </c>
      <c r="D178" s="10" t="s">
        <v>159</v>
      </c>
      <c r="E178" s="10" t="s">
        <v>159</v>
      </c>
      <c r="F178" s="10"/>
      <c r="G178" s="10" t="s">
        <v>559</v>
      </c>
    </row>
    <row r="179" ht="15.75" customHeight="1">
      <c r="B179" s="53"/>
      <c r="C179" s="10" t="s">
        <v>71</v>
      </c>
      <c r="D179" s="10" t="s">
        <v>71</v>
      </c>
      <c r="E179" s="10" t="s">
        <v>236</v>
      </c>
      <c r="F179" s="10"/>
      <c r="G179" s="10" t="s">
        <v>559</v>
      </c>
    </row>
    <row r="180" ht="15.75" customHeight="1">
      <c r="B180" s="53"/>
      <c r="C180" s="10" t="s">
        <v>72</v>
      </c>
      <c r="D180" s="10" t="s">
        <v>72</v>
      </c>
      <c r="E180" s="98" t="s">
        <v>29</v>
      </c>
      <c r="F180" s="10"/>
      <c r="G180" s="10" t="s">
        <v>559</v>
      </c>
    </row>
    <row r="181" ht="15.75" customHeight="1">
      <c r="B181" s="53"/>
      <c r="C181" s="10" t="s">
        <v>579</v>
      </c>
      <c r="D181" s="10" t="s">
        <v>579</v>
      </c>
      <c r="E181" s="98" t="s">
        <v>29</v>
      </c>
      <c r="F181" s="10"/>
      <c r="G181" s="10" t="s">
        <v>559</v>
      </c>
    </row>
    <row r="182" ht="15.75" customHeight="1">
      <c r="B182" s="53"/>
      <c r="C182" s="10" t="s">
        <v>73</v>
      </c>
      <c r="D182" s="10" t="s">
        <v>73</v>
      </c>
      <c r="E182" s="98" t="s">
        <v>29</v>
      </c>
      <c r="F182" s="10"/>
      <c r="G182" s="10" t="s">
        <v>559</v>
      </c>
    </row>
    <row r="183" ht="15.75" customHeight="1">
      <c r="B183" s="53"/>
      <c r="C183" s="10" t="s">
        <v>177</v>
      </c>
      <c r="D183" s="10" t="s">
        <v>177</v>
      </c>
      <c r="E183" s="98" t="s">
        <v>29</v>
      </c>
      <c r="F183" s="10"/>
      <c r="G183" s="10" t="s">
        <v>559</v>
      </c>
    </row>
    <row r="184" ht="15.75" customHeight="1">
      <c r="B184" s="53"/>
      <c r="C184" s="10" t="s">
        <v>181</v>
      </c>
      <c r="D184" s="10" t="s">
        <v>181</v>
      </c>
      <c r="E184" s="98" t="s">
        <v>29</v>
      </c>
      <c r="F184" s="10"/>
      <c r="G184" s="10" t="s">
        <v>559</v>
      </c>
    </row>
    <row r="185" ht="15.75" customHeight="1">
      <c r="B185" s="53"/>
      <c r="C185" s="10" t="s">
        <v>580</v>
      </c>
      <c r="D185" s="10" t="s">
        <v>580</v>
      </c>
      <c r="E185" s="98" t="s">
        <v>29</v>
      </c>
      <c r="F185" s="10"/>
      <c r="G185" s="10" t="s">
        <v>559</v>
      </c>
    </row>
    <row r="186" ht="15.75" customHeight="1">
      <c r="B186" s="53"/>
      <c r="C186" s="10" t="s">
        <v>581</v>
      </c>
      <c r="D186" s="10" t="s">
        <v>581</v>
      </c>
      <c r="E186" s="98" t="s">
        <v>29</v>
      </c>
      <c r="F186" s="10"/>
      <c r="G186" s="10" t="s">
        <v>559</v>
      </c>
    </row>
    <row r="187" ht="15.75" customHeight="1">
      <c r="B187" s="53"/>
      <c r="C187" s="10" t="s">
        <v>582</v>
      </c>
      <c r="D187" s="10" t="s">
        <v>583</v>
      </c>
      <c r="E187" s="98" t="s">
        <v>29</v>
      </c>
      <c r="F187" s="10"/>
      <c r="G187" s="10" t="s">
        <v>559</v>
      </c>
    </row>
    <row r="188" ht="15.75" customHeight="1">
      <c r="B188" s="53"/>
      <c r="C188" s="10" t="s">
        <v>74</v>
      </c>
      <c r="D188" s="10" t="s">
        <v>74</v>
      </c>
      <c r="E188" s="98" t="s">
        <v>29</v>
      </c>
      <c r="F188" s="10"/>
      <c r="G188" s="10" t="s">
        <v>559</v>
      </c>
    </row>
    <row r="189" ht="15.75" customHeight="1">
      <c r="B189" s="53"/>
      <c r="C189" s="10" t="s">
        <v>75</v>
      </c>
      <c r="D189" s="10" t="s">
        <v>75</v>
      </c>
      <c r="E189" s="98" t="s">
        <v>29</v>
      </c>
      <c r="F189" s="10"/>
      <c r="G189" s="10" t="s">
        <v>559</v>
      </c>
    </row>
    <row r="190" ht="15.75" customHeight="1">
      <c r="B190" s="53"/>
      <c r="C190" s="10" t="s">
        <v>83</v>
      </c>
      <c r="D190" s="10" t="s">
        <v>83</v>
      </c>
      <c r="E190" s="98" t="s">
        <v>29</v>
      </c>
      <c r="F190" s="10"/>
      <c r="G190" s="10" t="s">
        <v>559</v>
      </c>
    </row>
    <row r="191" ht="15.75" customHeight="1">
      <c r="B191" s="53"/>
      <c r="C191" s="10" t="s">
        <v>84</v>
      </c>
      <c r="D191" s="10" t="s">
        <v>84</v>
      </c>
      <c r="E191" s="98" t="s">
        <v>29</v>
      </c>
      <c r="F191" s="10"/>
      <c r="G191" s="10" t="s">
        <v>559</v>
      </c>
    </row>
    <row r="192" ht="15.75" customHeight="1">
      <c r="B192" s="53"/>
      <c r="C192" s="10" t="s">
        <v>97</v>
      </c>
      <c r="D192" s="10" t="s">
        <v>97</v>
      </c>
      <c r="E192" s="98" t="s">
        <v>29</v>
      </c>
      <c r="F192" s="10"/>
      <c r="G192" s="10" t="s">
        <v>559</v>
      </c>
    </row>
    <row r="193" ht="15.75" customHeight="1">
      <c r="B193" s="53"/>
      <c r="C193" s="10" t="s">
        <v>584</v>
      </c>
      <c r="D193" s="10" t="s">
        <v>584</v>
      </c>
      <c r="E193" s="98" t="s">
        <v>29</v>
      </c>
      <c r="F193" s="10"/>
      <c r="G193" s="10" t="s">
        <v>559</v>
      </c>
    </row>
    <row r="194" ht="15.75" customHeight="1">
      <c r="B194" s="53"/>
      <c r="C194" s="10" t="s">
        <v>77</v>
      </c>
      <c r="D194" s="10" t="s">
        <v>77</v>
      </c>
      <c r="E194" s="98" t="s">
        <v>29</v>
      </c>
      <c r="F194" s="10"/>
      <c r="G194" s="10" t="s">
        <v>559</v>
      </c>
    </row>
    <row r="195" ht="15.75" customHeight="1">
      <c r="B195" s="53"/>
      <c r="C195" s="10" t="s">
        <v>79</v>
      </c>
      <c r="D195" s="10" t="s">
        <v>79</v>
      </c>
      <c r="E195" s="98" t="s">
        <v>29</v>
      </c>
      <c r="F195" s="10"/>
      <c r="G195" s="10" t="s">
        <v>559</v>
      </c>
    </row>
    <row r="196" ht="15.75" customHeight="1">
      <c r="B196" s="53"/>
      <c r="C196" s="10" t="s">
        <v>585</v>
      </c>
      <c r="D196" s="10" t="s">
        <v>79</v>
      </c>
      <c r="E196" s="98" t="s">
        <v>29</v>
      </c>
      <c r="F196" s="10"/>
      <c r="G196" s="10" t="s">
        <v>559</v>
      </c>
    </row>
    <row r="197" ht="15.75" customHeight="1">
      <c r="B197" s="53"/>
      <c r="C197" s="10" t="s">
        <v>195</v>
      </c>
      <c r="D197" s="10" t="s">
        <v>79</v>
      </c>
      <c r="E197" s="98" t="s">
        <v>29</v>
      </c>
      <c r="F197" s="10"/>
      <c r="G197" s="10" t="s">
        <v>559</v>
      </c>
    </row>
    <row r="198" ht="15.75" customHeight="1">
      <c r="B198" s="53"/>
      <c r="C198" s="10" t="s">
        <v>78</v>
      </c>
      <c r="D198" s="10" t="s">
        <v>78</v>
      </c>
      <c r="E198" s="98" t="s">
        <v>29</v>
      </c>
      <c r="F198" s="10"/>
      <c r="G198" s="10" t="s">
        <v>559</v>
      </c>
    </row>
    <row r="199" ht="15.75" customHeight="1">
      <c r="B199" s="53"/>
      <c r="C199" s="10" t="s">
        <v>239</v>
      </c>
      <c r="D199" s="10" t="s">
        <v>93</v>
      </c>
      <c r="E199" s="98" t="s">
        <v>29</v>
      </c>
      <c r="F199" s="10"/>
      <c r="G199" s="10" t="s">
        <v>559</v>
      </c>
    </row>
    <row r="200" ht="15.75" customHeight="1">
      <c r="B200" s="53"/>
      <c r="C200" s="10" t="s">
        <v>586</v>
      </c>
      <c r="D200" s="10" t="s">
        <v>586</v>
      </c>
      <c r="E200" s="98" t="s">
        <v>29</v>
      </c>
      <c r="F200" s="10"/>
      <c r="G200" s="10" t="s">
        <v>559</v>
      </c>
    </row>
    <row r="201" ht="15.75" customHeight="1">
      <c r="B201" s="53"/>
      <c r="C201" s="10" t="s">
        <v>101</v>
      </c>
      <c r="D201" s="10" t="s">
        <v>101</v>
      </c>
      <c r="E201" s="98" t="s">
        <v>29</v>
      </c>
      <c r="F201" s="10"/>
      <c r="G201" s="10" t="s">
        <v>559</v>
      </c>
    </row>
    <row r="202" ht="15.75" customHeight="1">
      <c r="B202" s="53"/>
      <c r="C202" s="10" t="s">
        <v>81</v>
      </c>
      <c r="D202" s="10" t="s">
        <v>81</v>
      </c>
      <c r="E202" s="98" t="s">
        <v>29</v>
      </c>
      <c r="F202" s="10"/>
      <c r="G202" s="10" t="s">
        <v>559</v>
      </c>
    </row>
    <row r="203" ht="15.75" customHeight="1">
      <c r="B203" s="53"/>
      <c r="C203" s="10" t="s">
        <v>80</v>
      </c>
      <c r="D203" s="10" t="s">
        <v>80</v>
      </c>
      <c r="E203" s="98" t="s">
        <v>29</v>
      </c>
      <c r="F203" s="10"/>
      <c r="G203" s="10" t="s">
        <v>559</v>
      </c>
    </row>
    <row r="204" ht="15.75" customHeight="1">
      <c r="B204" s="53"/>
      <c r="C204" s="10" t="s">
        <v>178</v>
      </c>
      <c r="D204" s="10" t="s">
        <v>178</v>
      </c>
      <c r="E204" s="98" t="s">
        <v>29</v>
      </c>
      <c r="F204" s="10"/>
      <c r="G204" s="10" t="s">
        <v>559</v>
      </c>
    </row>
    <row r="205" ht="15.75" customHeight="1">
      <c r="B205" s="53"/>
      <c r="C205" s="10" t="s">
        <v>92</v>
      </c>
      <c r="D205" s="10" t="s">
        <v>92</v>
      </c>
      <c r="E205" s="98" t="s">
        <v>29</v>
      </c>
      <c r="F205" s="10"/>
      <c r="G205" s="10" t="s">
        <v>559</v>
      </c>
    </row>
    <row r="206" ht="15.75" customHeight="1">
      <c r="B206" s="53"/>
      <c r="C206" s="10" t="s">
        <v>87</v>
      </c>
      <c r="D206" s="10" t="s">
        <v>87</v>
      </c>
      <c r="E206" s="98" t="s">
        <v>29</v>
      </c>
      <c r="F206" s="10"/>
      <c r="G206" s="10" t="s">
        <v>559</v>
      </c>
    </row>
    <row r="207" ht="15.75" customHeight="1">
      <c r="B207" s="53"/>
      <c r="C207" s="10" t="s">
        <v>89</v>
      </c>
      <c r="D207" s="10" t="s">
        <v>89</v>
      </c>
      <c r="E207" s="98" t="s">
        <v>29</v>
      </c>
      <c r="F207" s="10"/>
      <c r="G207" s="10" t="s">
        <v>559</v>
      </c>
    </row>
    <row r="208" ht="15.75" customHeight="1">
      <c r="B208" s="53"/>
      <c r="C208" s="10" t="s">
        <v>88</v>
      </c>
      <c r="D208" s="10" t="s">
        <v>88</v>
      </c>
      <c r="E208" s="98" t="s">
        <v>29</v>
      </c>
      <c r="F208" s="10"/>
      <c r="G208" s="10" t="s">
        <v>559</v>
      </c>
    </row>
    <row r="209" ht="15.75" customHeight="1">
      <c r="B209" s="53"/>
      <c r="C209" s="10" t="s">
        <v>587</v>
      </c>
      <c r="D209" s="10" t="s">
        <v>587</v>
      </c>
      <c r="E209" s="98" t="s">
        <v>29</v>
      </c>
      <c r="F209" s="10"/>
      <c r="G209" s="10" t="s">
        <v>559</v>
      </c>
    </row>
    <row r="210" ht="15.75" customHeight="1">
      <c r="B210" s="53"/>
      <c r="C210" s="10" t="s">
        <v>86</v>
      </c>
      <c r="D210" s="10" t="s">
        <v>86</v>
      </c>
      <c r="E210" s="98" t="s">
        <v>29</v>
      </c>
      <c r="F210" s="10"/>
      <c r="G210" s="10" t="s">
        <v>559</v>
      </c>
    </row>
    <row r="211" ht="15.75" customHeight="1">
      <c r="B211" s="53"/>
      <c r="C211" s="10" t="s">
        <v>588</v>
      </c>
      <c r="D211" s="10" t="s">
        <v>589</v>
      </c>
      <c r="E211" s="98" t="s">
        <v>29</v>
      </c>
      <c r="F211" s="10"/>
      <c r="G211" s="10" t="s">
        <v>559</v>
      </c>
    </row>
    <row r="212" ht="15.75" customHeight="1">
      <c r="B212" s="53"/>
      <c r="C212" s="10" t="s">
        <v>590</v>
      </c>
      <c r="D212" s="10" t="s">
        <v>590</v>
      </c>
      <c r="E212" s="98" t="s">
        <v>29</v>
      </c>
      <c r="F212" s="10"/>
      <c r="G212" s="10" t="s">
        <v>559</v>
      </c>
    </row>
    <row r="213" ht="15.75" customHeight="1">
      <c r="B213" s="53"/>
      <c r="C213" s="10" t="s">
        <v>353</v>
      </c>
      <c r="D213" s="10" t="s">
        <v>82</v>
      </c>
      <c r="E213" s="98" t="s">
        <v>29</v>
      </c>
      <c r="F213" s="10"/>
      <c r="G213" s="10" t="s">
        <v>559</v>
      </c>
    </row>
    <row r="214" ht="15.75" customHeight="1">
      <c r="B214" s="53"/>
      <c r="C214" s="10" t="s">
        <v>240</v>
      </c>
      <c r="D214" s="10" t="s">
        <v>82</v>
      </c>
      <c r="E214" s="98" t="s">
        <v>29</v>
      </c>
      <c r="F214" s="10"/>
      <c r="G214" s="10" t="s">
        <v>559</v>
      </c>
    </row>
    <row r="215" ht="15.75" customHeight="1">
      <c r="B215" s="53"/>
      <c r="C215" s="10" t="s">
        <v>241</v>
      </c>
      <c r="D215" s="10" t="s">
        <v>82</v>
      </c>
      <c r="E215" s="98" t="s">
        <v>29</v>
      </c>
      <c r="F215" s="10"/>
      <c r="G215" s="10" t="s">
        <v>559</v>
      </c>
    </row>
    <row r="216" ht="15.75" customHeight="1">
      <c r="B216" s="53"/>
      <c r="C216" s="10" t="s">
        <v>242</v>
      </c>
      <c r="D216" s="10" t="s">
        <v>82</v>
      </c>
      <c r="E216" s="98" t="s">
        <v>29</v>
      </c>
      <c r="F216" s="10"/>
      <c r="G216" s="10" t="s">
        <v>559</v>
      </c>
    </row>
    <row r="217" ht="15.75" customHeight="1">
      <c r="B217" s="53"/>
      <c r="C217" s="10" t="s">
        <v>94</v>
      </c>
      <c r="D217" s="10" t="s">
        <v>94</v>
      </c>
      <c r="E217" s="98" t="s">
        <v>29</v>
      </c>
      <c r="F217" s="10"/>
      <c r="G217" s="10" t="s">
        <v>559</v>
      </c>
    </row>
    <row r="218" ht="15.75" customHeight="1">
      <c r="B218" s="53"/>
      <c r="C218" s="10" t="s">
        <v>98</v>
      </c>
      <c r="D218" s="10" t="s">
        <v>98</v>
      </c>
      <c r="E218" s="98" t="s">
        <v>29</v>
      </c>
      <c r="F218" s="10"/>
      <c r="G218" s="10" t="s">
        <v>559</v>
      </c>
    </row>
    <row r="219" ht="15.75" customHeight="1">
      <c r="B219" s="53"/>
      <c r="C219" s="10" t="s">
        <v>591</v>
      </c>
      <c r="D219" s="10" t="s">
        <v>591</v>
      </c>
      <c r="E219" s="98" t="s">
        <v>29</v>
      </c>
      <c r="F219" s="10"/>
      <c r="G219" s="10" t="s">
        <v>559</v>
      </c>
    </row>
    <row r="220" ht="15.75" customHeight="1">
      <c r="B220" s="53"/>
      <c r="C220" s="10" t="s">
        <v>386</v>
      </c>
      <c r="D220" s="10" t="s">
        <v>386</v>
      </c>
      <c r="E220" s="98" t="s">
        <v>29</v>
      </c>
      <c r="F220" s="10"/>
      <c r="G220" s="10" t="s">
        <v>559</v>
      </c>
    </row>
    <row r="221" ht="15.75" customHeight="1">
      <c r="B221" s="53"/>
      <c r="C221" s="10" t="s">
        <v>592</v>
      </c>
      <c r="D221" s="10" t="s">
        <v>592</v>
      </c>
      <c r="E221" s="98" t="s">
        <v>29</v>
      </c>
      <c r="F221" s="10"/>
      <c r="G221" s="10" t="s">
        <v>559</v>
      </c>
    </row>
    <row r="222" ht="15.75" customHeight="1">
      <c r="B222" s="53"/>
      <c r="C222" s="10" t="s">
        <v>85</v>
      </c>
      <c r="D222" s="10" t="s">
        <v>85</v>
      </c>
      <c r="E222" s="98" t="s">
        <v>29</v>
      </c>
      <c r="F222" s="10"/>
      <c r="G222" s="10" t="s">
        <v>559</v>
      </c>
    </row>
    <row r="223" ht="15.75" customHeight="1">
      <c r="B223" s="53"/>
      <c r="C223" s="10" t="s">
        <v>91</v>
      </c>
      <c r="D223" s="10" t="s">
        <v>91</v>
      </c>
      <c r="E223" s="98" t="s">
        <v>29</v>
      </c>
      <c r="F223" s="10"/>
      <c r="G223" s="10" t="s">
        <v>559</v>
      </c>
    </row>
    <row r="224" ht="15.75" customHeight="1">
      <c r="B224" s="53"/>
      <c r="C224" s="10" t="s">
        <v>90</v>
      </c>
      <c r="D224" s="10" t="s">
        <v>90</v>
      </c>
      <c r="E224" s="98" t="s">
        <v>29</v>
      </c>
      <c r="F224" s="10"/>
      <c r="G224" s="10" t="s">
        <v>559</v>
      </c>
    </row>
    <row r="225" ht="15.75" customHeight="1">
      <c r="B225" s="53"/>
      <c r="C225" s="10" t="s">
        <v>95</v>
      </c>
      <c r="D225" s="10" t="s">
        <v>95</v>
      </c>
      <c r="E225" s="98" t="s">
        <v>29</v>
      </c>
      <c r="F225" s="10"/>
      <c r="G225" s="10" t="s">
        <v>559</v>
      </c>
    </row>
    <row r="226" ht="15.75" customHeight="1">
      <c r="B226" s="53"/>
      <c r="C226" s="10" t="s">
        <v>337</v>
      </c>
      <c r="D226" s="10" t="s">
        <v>337</v>
      </c>
      <c r="E226" s="98" t="s">
        <v>29</v>
      </c>
      <c r="F226" s="10"/>
      <c r="G226" s="10" t="s">
        <v>559</v>
      </c>
    </row>
    <row r="227" ht="15.75" customHeight="1">
      <c r="B227" s="53"/>
      <c r="C227" s="10" t="s">
        <v>593</v>
      </c>
      <c r="D227" s="10" t="s">
        <v>593</v>
      </c>
      <c r="E227" s="98" t="s">
        <v>29</v>
      </c>
      <c r="F227" s="10"/>
      <c r="G227" s="10" t="s">
        <v>559</v>
      </c>
    </row>
    <row r="228" ht="15.75" customHeight="1">
      <c r="B228" s="53"/>
      <c r="C228" s="10" t="s">
        <v>594</v>
      </c>
      <c r="D228" s="10" t="s">
        <v>594</v>
      </c>
      <c r="E228" s="98" t="s">
        <v>29</v>
      </c>
      <c r="F228" s="10"/>
      <c r="G228" s="10" t="s">
        <v>559</v>
      </c>
    </row>
    <row r="229" ht="15.75" customHeight="1">
      <c r="B229" s="53"/>
      <c r="C229" s="10" t="s">
        <v>151</v>
      </c>
      <c r="D229" s="10" t="s">
        <v>151</v>
      </c>
      <c r="E229" s="98" t="s">
        <v>29</v>
      </c>
      <c r="F229" s="10"/>
      <c r="G229" s="10" t="s">
        <v>559</v>
      </c>
    </row>
    <row r="230" ht="15.75" customHeight="1">
      <c r="B230" s="53"/>
      <c r="C230" s="10" t="s">
        <v>595</v>
      </c>
      <c r="D230" s="10" t="s">
        <v>595</v>
      </c>
      <c r="E230" s="98" t="s">
        <v>29</v>
      </c>
      <c r="F230" s="10"/>
      <c r="G230" s="10" t="s">
        <v>559</v>
      </c>
    </row>
    <row r="231" ht="15.75" customHeight="1">
      <c r="B231" s="53"/>
      <c r="C231" s="10" t="s">
        <v>180</v>
      </c>
      <c r="D231" s="10" t="s">
        <v>180</v>
      </c>
      <c r="E231" s="98" t="s">
        <v>29</v>
      </c>
      <c r="F231" s="10"/>
      <c r="G231" s="10" t="s">
        <v>559</v>
      </c>
    </row>
    <row r="232" ht="15.75" customHeight="1">
      <c r="B232" s="53"/>
      <c r="C232" s="10" t="s">
        <v>596</v>
      </c>
      <c r="D232" s="10" t="s">
        <v>596</v>
      </c>
      <c r="E232" s="98" t="s">
        <v>29</v>
      </c>
      <c r="F232" s="10"/>
      <c r="G232" s="10" t="s">
        <v>559</v>
      </c>
    </row>
    <row r="233" ht="15.75" customHeight="1">
      <c r="B233" s="53"/>
      <c r="C233" s="10" t="s">
        <v>100</v>
      </c>
      <c r="D233" s="10" t="s">
        <v>100</v>
      </c>
      <c r="E233" s="98" t="s">
        <v>29</v>
      </c>
      <c r="F233" s="10"/>
      <c r="G233" s="10" t="s">
        <v>559</v>
      </c>
    </row>
    <row r="234" ht="15.75" customHeight="1">
      <c r="B234" s="53"/>
      <c r="C234" s="10" t="s">
        <v>103</v>
      </c>
      <c r="D234" s="10" t="s">
        <v>103</v>
      </c>
      <c r="E234" s="10" t="s">
        <v>32</v>
      </c>
      <c r="F234" s="10"/>
      <c r="G234" s="10" t="s">
        <v>559</v>
      </c>
    </row>
    <row r="235" ht="15.75" customHeight="1">
      <c r="B235" s="53"/>
      <c r="C235" s="10" t="s">
        <v>597</v>
      </c>
      <c r="D235" s="10" t="s">
        <v>597</v>
      </c>
      <c r="E235" s="10" t="s">
        <v>32</v>
      </c>
      <c r="F235" s="10"/>
      <c r="G235" s="10" t="s">
        <v>559</v>
      </c>
    </row>
    <row r="236" ht="15.75" customHeight="1">
      <c r="B236" s="53"/>
      <c r="C236" s="10" t="s">
        <v>106</v>
      </c>
      <c r="D236" s="10" t="s">
        <v>106</v>
      </c>
      <c r="E236" s="10" t="s">
        <v>32</v>
      </c>
      <c r="F236" s="10"/>
      <c r="G236" s="10" t="s">
        <v>559</v>
      </c>
    </row>
    <row r="237" ht="15.75" customHeight="1">
      <c r="B237" s="53"/>
      <c r="C237" s="10" t="s">
        <v>598</v>
      </c>
      <c r="D237" s="10" t="s">
        <v>598</v>
      </c>
      <c r="E237" s="10" t="s">
        <v>32</v>
      </c>
      <c r="F237" s="10"/>
      <c r="G237" s="10" t="s">
        <v>559</v>
      </c>
    </row>
    <row r="238" ht="15.75" customHeight="1">
      <c r="B238" s="53"/>
      <c r="C238" s="10" t="s">
        <v>108</v>
      </c>
      <c r="D238" s="10" t="s">
        <v>108</v>
      </c>
      <c r="E238" s="10" t="s">
        <v>32</v>
      </c>
      <c r="F238" s="10"/>
      <c r="G238" s="10" t="s">
        <v>559</v>
      </c>
    </row>
    <row r="239" ht="15.75" customHeight="1">
      <c r="B239" s="53"/>
      <c r="C239" s="10" t="s">
        <v>107</v>
      </c>
      <c r="D239" s="10" t="s">
        <v>107</v>
      </c>
      <c r="E239" s="10" t="s">
        <v>32</v>
      </c>
      <c r="F239" s="10"/>
      <c r="G239" s="10" t="s">
        <v>559</v>
      </c>
    </row>
    <row r="240" ht="15.75" customHeight="1">
      <c r="B240" s="53"/>
      <c r="C240" s="10" t="s">
        <v>109</v>
      </c>
      <c r="D240" s="10" t="s">
        <v>109</v>
      </c>
      <c r="E240" s="10" t="s">
        <v>34</v>
      </c>
      <c r="F240" s="10"/>
      <c r="G240" s="10" t="s">
        <v>559</v>
      </c>
    </row>
    <row r="241" ht="15.75" customHeight="1">
      <c r="B241" s="53"/>
      <c r="C241" s="10" t="s">
        <v>599</v>
      </c>
      <c r="D241" s="10" t="s">
        <v>599</v>
      </c>
      <c r="E241" s="10" t="s">
        <v>34</v>
      </c>
      <c r="F241" s="10"/>
      <c r="G241" s="10" t="s">
        <v>559</v>
      </c>
    </row>
    <row r="242" ht="15.75" customHeight="1">
      <c r="B242" s="53"/>
      <c r="C242" s="10" t="s">
        <v>600</v>
      </c>
      <c r="D242" s="10" t="s">
        <v>600</v>
      </c>
      <c r="E242" s="10" t="s">
        <v>34</v>
      </c>
      <c r="F242" s="10"/>
      <c r="G242" s="10" t="s">
        <v>559</v>
      </c>
    </row>
    <row r="243" ht="15.75" customHeight="1">
      <c r="B243" s="53"/>
      <c r="C243" s="10" t="s">
        <v>601</v>
      </c>
      <c r="D243" s="10" t="s">
        <v>601</v>
      </c>
      <c r="E243" s="10" t="s">
        <v>34</v>
      </c>
      <c r="F243" s="10"/>
      <c r="G243" s="10" t="s">
        <v>559</v>
      </c>
    </row>
    <row r="244" ht="15.75" customHeight="1">
      <c r="B244" s="53"/>
      <c r="C244" s="10" t="s">
        <v>602</v>
      </c>
      <c r="D244" s="10" t="s">
        <v>602</v>
      </c>
      <c r="E244" s="10" t="s">
        <v>34</v>
      </c>
      <c r="F244" s="10"/>
      <c r="G244" s="10" t="s">
        <v>559</v>
      </c>
    </row>
    <row r="245" ht="15.75" customHeight="1">
      <c r="B245" s="53"/>
      <c r="C245" s="10" t="s">
        <v>603</v>
      </c>
      <c r="D245" s="10" t="s">
        <v>603</v>
      </c>
      <c r="E245" s="10" t="s">
        <v>34</v>
      </c>
      <c r="F245" s="10"/>
      <c r="G245" s="10" t="s">
        <v>559</v>
      </c>
    </row>
    <row r="246" ht="15.75" customHeight="1">
      <c r="B246" s="53"/>
      <c r="C246" s="10" t="s">
        <v>604</v>
      </c>
      <c r="D246" s="10" t="s">
        <v>604</v>
      </c>
      <c r="E246" s="10" t="s">
        <v>34</v>
      </c>
      <c r="F246" s="10"/>
      <c r="G246" s="10" t="s">
        <v>559</v>
      </c>
    </row>
    <row r="247" ht="15.75" customHeight="1">
      <c r="B247" s="53"/>
      <c r="C247" s="10" t="s">
        <v>605</v>
      </c>
      <c r="D247" s="10" t="s">
        <v>605</v>
      </c>
      <c r="E247" s="10" t="s">
        <v>34</v>
      </c>
      <c r="F247" s="10"/>
      <c r="G247" s="10" t="s">
        <v>559</v>
      </c>
    </row>
    <row r="248" ht="15.75" customHeight="1">
      <c r="B248" s="53"/>
      <c r="C248" s="10" t="s">
        <v>110</v>
      </c>
      <c r="D248" s="10" t="s">
        <v>110</v>
      </c>
      <c r="E248" s="10" t="s">
        <v>34</v>
      </c>
      <c r="F248" s="10"/>
      <c r="G248" s="10" t="s">
        <v>559</v>
      </c>
    </row>
    <row r="249" ht="15.75" customHeight="1">
      <c r="B249" s="53"/>
      <c r="C249" s="10" t="s">
        <v>111</v>
      </c>
      <c r="D249" s="10" t="s">
        <v>111</v>
      </c>
      <c r="E249" s="10" t="s">
        <v>34</v>
      </c>
      <c r="F249" s="10"/>
      <c r="G249" s="10" t="s">
        <v>559</v>
      </c>
    </row>
    <row r="250" ht="15.75" customHeight="1">
      <c r="B250" s="53"/>
      <c r="C250" s="10" t="s">
        <v>185</v>
      </c>
      <c r="D250" s="10" t="s">
        <v>185</v>
      </c>
      <c r="E250" s="10" t="s">
        <v>37</v>
      </c>
      <c r="F250" s="10"/>
      <c r="G250" s="10" t="s">
        <v>559</v>
      </c>
    </row>
    <row r="251" ht="15.75" customHeight="1">
      <c r="B251" s="53"/>
      <c r="C251" s="10" t="s">
        <v>187</v>
      </c>
      <c r="D251" s="10" t="s">
        <v>187</v>
      </c>
      <c r="E251" s="10" t="s">
        <v>37</v>
      </c>
      <c r="F251" s="10"/>
      <c r="G251" s="10" t="s">
        <v>559</v>
      </c>
    </row>
    <row r="252" ht="15.75" customHeight="1">
      <c r="B252" s="53"/>
      <c r="C252" s="10" t="s">
        <v>113</v>
      </c>
      <c r="D252" s="10" t="s">
        <v>113</v>
      </c>
      <c r="E252" s="10" t="s">
        <v>37</v>
      </c>
      <c r="F252" s="10"/>
      <c r="G252" s="10" t="s">
        <v>559</v>
      </c>
    </row>
    <row r="253" ht="15.75" customHeight="1">
      <c r="B253" s="53"/>
      <c r="C253" s="10" t="s">
        <v>105</v>
      </c>
      <c r="D253" s="10" t="s">
        <v>606</v>
      </c>
      <c r="E253" s="10" t="s">
        <v>37</v>
      </c>
      <c r="F253" s="10"/>
      <c r="G253" s="10" t="s">
        <v>559</v>
      </c>
    </row>
    <row r="254" ht="15.75" customHeight="1">
      <c r="B254" s="53"/>
      <c r="C254" s="10" t="s">
        <v>607</v>
      </c>
      <c r="D254" s="10" t="s">
        <v>607</v>
      </c>
      <c r="E254" s="10" t="s">
        <v>37</v>
      </c>
      <c r="F254" s="10"/>
      <c r="G254" s="10" t="s">
        <v>559</v>
      </c>
    </row>
    <row r="255" ht="15.75" customHeight="1">
      <c r="B255" s="53"/>
      <c r="C255" s="10" t="s">
        <v>190</v>
      </c>
      <c r="D255" s="10" t="s">
        <v>190</v>
      </c>
      <c r="E255" s="10" t="s">
        <v>39</v>
      </c>
      <c r="F255" s="10"/>
      <c r="G255" s="10" t="s">
        <v>559</v>
      </c>
    </row>
    <row r="256" ht="15.75" customHeight="1">
      <c r="B256" s="53"/>
      <c r="C256" s="10" t="s">
        <v>158</v>
      </c>
      <c r="D256" s="10" t="s">
        <v>158</v>
      </c>
      <c r="E256" s="10" t="s">
        <v>39</v>
      </c>
      <c r="F256" s="10"/>
      <c r="G256" s="10" t="s">
        <v>559</v>
      </c>
    </row>
    <row r="257" ht="15.75" customHeight="1">
      <c r="B257" s="53"/>
      <c r="C257" s="10" t="s">
        <v>188</v>
      </c>
      <c r="D257" s="10" t="s">
        <v>188</v>
      </c>
      <c r="E257" s="10" t="s">
        <v>39</v>
      </c>
      <c r="F257" s="10"/>
      <c r="G257" s="10" t="s">
        <v>559</v>
      </c>
    </row>
    <row r="258" ht="15.75" customHeight="1">
      <c r="B258" s="53"/>
      <c r="C258" s="10" t="s">
        <v>115</v>
      </c>
      <c r="D258" s="10" t="s">
        <v>115</v>
      </c>
      <c r="E258" s="10" t="s">
        <v>39</v>
      </c>
      <c r="F258" s="10"/>
      <c r="G258" s="10" t="s">
        <v>559</v>
      </c>
    </row>
    <row r="259" ht="15.75" customHeight="1">
      <c r="B259" s="53"/>
      <c r="C259" s="10" t="s">
        <v>189</v>
      </c>
      <c r="D259" s="10" t="s">
        <v>189</v>
      </c>
      <c r="E259" s="10" t="s">
        <v>39</v>
      </c>
      <c r="F259" s="10"/>
      <c r="G259" s="10" t="s">
        <v>559</v>
      </c>
    </row>
    <row r="260" ht="15.75" customHeight="1">
      <c r="B260" s="53"/>
      <c r="C260" s="10" t="s">
        <v>118</v>
      </c>
      <c r="D260" s="10" t="s">
        <v>118</v>
      </c>
      <c r="E260" s="10" t="s">
        <v>118</v>
      </c>
      <c r="F260" s="10"/>
      <c r="G260" s="10" t="s">
        <v>559</v>
      </c>
    </row>
    <row r="261" ht="15.75" customHeight="1">
      <c r="B261" s="53"/>
      <c r="C261" s="10" t="s">
        <v>43</v>
      </c>
      <c r="D261" s="10" t="s">
        <v>43</v>
      </c>
      <c r="E261" s="10" t="s">
        <v>43</v>
      </c>
      <c r="F261" s="10"/>
      <c r="G261" s="10" t="s">
        <v>559</v>
      </c>
    </row>
    <row r="262" ht="15.75" customHeight="1">
      <c r="B262" s="53"/>
      <c r="C262" s="10" t="s">
        <v>387</v>
      </c>
      <c r="D262" s="10" t="s">
        <v>387</v>
      </c>
      <c r="E262" s="10" t="s">
        <v>43</v>
      </c>
      <c r="F262" s="10"/>
      <c r="G262" s="10" t="s">
        <v>559</v>
      </c>
    </row>
    <row r="263" ht="15.75" customHeight="1">
      <c r="B263" s="53"/>
      <c r="C263" s="44" t="s">
        <v>229</v>
      </c>
      <c r="D263" s="44" t="s">
        <v>69</v>
      </c>
      <c r="E263" s="44" t="s">
        <v>228</v>
      </c>
      <c r="F263" s="44"/>
      <c r="G263" s="44" t="s">
        <v>559</v>
      </c>
    </row>
    <row r="264" ht="15.75" customHeight="1">
      <c r="B264" s="53"/>
      <c r="C264" s="44" t="s">
        <v>228</v>
      </c>
      <c r="D264" s="44" t="s">
        <v>69</v>
      </c>
      <c r="E264" s="99" t="s">
        <v>228</v>
      </c>
      <c r="F264" s="44"/>
      <c r="G264" s="44" t="s">
        <v>559</v>
      </c>
    </row>
    <row r="265" ht="15.75" customHeight="1">
      <c r="B265" s="53"/>
      <c r="C265" s="44" t="s">
        <v>230</v>
      </c>
      <c r="D265" s="99" t="s">
        <v>69</v>
      </c>
      <c r="E265" s="99" t="s">
        <v>228</v>
      </c>
      <c r="F265" s="44"/>
      <c r="G265" s="44" t="s">
        <v>559</v>
      </c>
    </row>
    <row r="266" ht="15.75" customHeight="1">
      <c r="B266" s="53"/>
      <c r="C266" s="44" t="s">
        <v>232</v>
      </c>
      <c r="D266" s="99" t="s">
        <v>69</v>
      </c>
      <c r="E266" s="99" t="s">
        <v>228</v>
      </c>
      <c r="F266" s="44"/>
      <c r="G266" s="44" t="s">
        <v>559</v>
      </c>
    </row>
    <row r="267" ht="15.75" customHeight="1">
      <c r="B267" s="53"/>
      <c r="C267" s="44" t="s">
        <v>236</v>
      </c>
      <c r="D267" s="99" t="s">
        <v>71</v>
      </c>
      <c r="E267" s="99" t="s">
        <v>236</v>
      </c>
      <c r="F267" s="44"/>
      <c r="G267" s="44" t="s">
        <v>559</v>
      </c>
    </row>
    <row r="268" ht="15.75" customHeight="1">
      <c r="B268" s="53"/>
      <c r="C268" s="44" t="s">
        <v>76</v>
      </c>
      <c r="D268" s="44" t="s">
        <v>76</v>
      </c>
      <c r="E268" s="44" t="s">
        <v>608</v>
      </c>
      <c r="F268" s="44"/>
      <c r="G268" s="44" t="s">
        <v>559</v>
      </c>
    </row>
    <row r="269" ht="15.75" customHeight="1">
      <c r="B269" s="53"/>
      <c r="C269" s="10" t="s">
        <v>609</v>
      </c>
      <c r="D269" s="10" t="s">
        <v>1</v>
      </c>
      <c r="E269" s="10" t="s">
        <v>1</v>
      </c>
      <c r="F269" s="61"/>
      <c r="G269" s="44" t="s">
        <v>559</v>
      </c>
    </row>
    <row r="270" ht="15.75" customHeight="1">
      <c r="B270" s="53"/>
      <c r="C270" s="10" t="s">
        <v>610</v>
      </c>
      <c r="D270" s="10" t="s">
        <v>1</v>
      </c>
      <c r="E270" s="10" t="s">
        <v>1</v>
      </c>
      <c r="F270" s="61"/>
      <c r="G270" s="44" t="s">
        <v>559</v>
      </c>
    </row>
    <row r="271" ht="15.75" customHeight="1">
      <c r="B271" s="53"/>
      <c r="C271" s="10" t="s">
        <v>611</v>
      </c>
      <c r="D271" s="10" t="s">
        <v>1</v>
      </c>
      <c r="E271" s="10" t="s">
        <v>1</v>
      </c>
      <c r="F271" s="61"/>
      <c r="G271" s="44" t="s">
        <v>559</v>
      </c>
    </row>
    <row r="272" ht="15.75" customHeight="1">
      <c r="B272" s="53"/>
      <c r="C272" s="38" t="s">
        <v>612</v>
      </c>
      <c r="D272" s="10" t="s">
        <v>1</v>
      </c>
      <c r="E272" s="10" t="s">
        <v>1</v>
      </c>
      <c r="F272" s="61"/>
      <c r="G272" s="44" t="s">
        <v>559</v>
      </c>
    </row>
    <row r="273" ht="15.75" customHeight="1">
      <c r="B273" s="53"/>
      <c r="C273" s="38" t="s">
        <v>377</v>
      </c>
      <c r="D273" s="10" t="s">
        <v>1</v>
      </c>
      <c r="E273" s="10" t="s">
        <v>1</v>
      </c>
      <c r="F273" s="61"/>
      <c r="G273" s="44" t="s">
        <v>559</v>
      </c>
    </row>
    <row r="274" ht="15.75" customHeight="1">
      <c r="B274" s="53"/>
      <c r="C274" s="38" t="s">
        <v>378</v>
      </c>
      <c r="D274" s="10" t="s">
        <v>1</v>
      </c>
      <c r="E274" s="10" t="s">
        <v>1</v>
      </c>
      <c r="F274" s="61"/>
      <c r="G274" s="44" t="s">
        <v>559</v>
      </c>
    </row>
    <row r="275" ht="15.75" customHeight="1">
      <c r="B275" s="53"/>
      <c r="C275" s="38" t="s">
        <v>379</v>
      </c>
      <c r="D275" s="10" t="s">
        <v>1</v>
      </c>
      <c r="E275" s="10" t="s">
        <v>1</v>
      </c>
      <c r="F275" s="61"/>
      <c r="G275" s="44" t="s">
        <v>559</v>
      </c>
    </row>
    <row r="276" ht="15.75" customHeight="1">
      <c r="B276" s="53"/>
      <c r="C276" s="61"/>
      <c r="D276" s="10" t="s">
        <v>1</v>
      </c>
      <c r="E276" s="10" t="s">
        <v>1</v>
      </c>
      <c r="F276" s="61"/>
      <c r="G276" s="44" t="s">
        <v>559</v>
      </c>
    </row>
    <row r="277" ht="15.75" customHeight="1">
      <c r="B277" s="53"/>
      <c r="C277" s="10" t="s">
        <v>613</v>
      </c>
      <c r="D277" s="10" t="s">
        <v>1</v>
      </c>
      <c r="E277" s="10" t="s">
        <v>1</v>
      </c>
      <c r="F277" s="61"/>
      <c r="G277" s="44" t="s">
        <v>559</v>
      </c>
    </row>
    <row r="278" ht="15.75" customHeight="1">
      <c r="B278" s="53"/>
      <c r="C278" s="10" t="s">
        <v>614</v>
      </c>
      <c r="D278" s="10" t="s">
        <v>1</v>
      </c>
      <c r="E278" s="10" t="s">
        <v>1</v>
      </c>
      <c r="F278" s="61"/>
      <c r="G278" s="44" t="s">
        <v>559</v>
      </c>
    </row>
    <row r="279" ht="15.75" customHeight="1">
      <c r="B279" s="53"/>
      <c r="C279" s="10" t="s">
        <v>615</v>
      </c>
      <c r="D279" s="10" t="s">
        <v>1</v>
      </c>
      <c r="E279" s="10" t="s">
        <v>1</v>
      </c>
      <c r="F279" s="61"/>
      <c r="G279" s="44" t="s">
        <v>559</v>
      </c>
    </row>
    <row r="280" ht="15.75" customHeight="1">
      <c r="B280" s="53"/>
      <c r="C280" s="10" t="s">
        <v>616</v>
      </c>
      <c r="D280" s="10" t="s">
        <v>1</v>
      </c>
      <c r="E280" s="10" t="s">
        <v>1</v>
      </c>
      <c r="F280" s="61"/>
      <c r="G280" s="44" t="s">
        <v>559</v>
      </c>
    </row>
    <row r="281" ht="15.75" customHeight="1">
      <c r="B281" s="53"/>
      <c r="C281" s="10" t="s">
        <v>617</v>
      </c>
      <c r="D281" s="10" t="s">
        <v>1</v>
      </c>
      <c r="E281" s="10" t="s">
        <v>1</v>
      </c>
      <c r="F281" s="61"/>
      <c r="G281" s="44" t="s">
        <v>559</v>
      </c>
    </row>
    <row r="282" ht="15.75" customHeight="1">
      <c r="B282" s="53"/>
      <c r="C282" s="10" t="s">
        <v>618</v>
      </c>
      <c r="D282" s="10" t="s">
        <v>1</v>
      </c>
      <c r="E282" s="10" t="s">
        <v>1</v>
      </c>
      <c r="F282" s="61"/>
      <c r="G282" s="44" t="s">
        <v>559</v>
      </c>
    </row>
    <row r="283" ht="15.75" customHeight="1">
      <c r="B283" s="53"/>
      <c r="C283" s="10" t="s">
        <v>619</v>
      </c>
      <c r="D283" s="10" t="s">
        <v>1</v>
      </c>
      <c r="E283" s="10" t="s">
        <v>1</v>
      </c>
      <c r="F283" s="61"/>
      <c r="G283" s="44" t="s">
        <v>559</v>
      </c>
    </row>
    <row r="284" ht="15.75" customHeight="1">
      <c r="B284" s="53"/>
      <c r="C284" s="10" t="s">
        <v>620</v>
      </c>
      <c r="D284" s="10" t="s">
        <v>1</v>
      </c>
      <c r="E284" s="10" t="s">
        <v>1</v>
      </c>
      <c r="F284" s="61"/>
      <c r="G284" s="44" t="s">
        <v>559</v>
      </c>
    </row>
    <row r="285" ht="15.75" customHeight="1">
      <c r="B285" s="53"/>
      <c r="C285" s="10" t="s">
        <v>621</v>
      </c>
      <c r="D285" s="100" t="s">
        <v>69</v>
      </c>
      <c r="E285" s="100" t="s">
        <v>228</v>
      </c>
      <c r="F285" s="61"/>
      <c r="G285" s="44" t="s">
        <v>559</v>
      </c>
    </row>
    <row r="286" ht="15.75" customHeight="1">
      <c r="B286" s="53"/>
      <c r="C286" s="38" t="s">
        <v>380</v>
      </c>
      <c r="D286" s="100" t="s">
        <v>69</v>
      </c>
      <c r="E286" s="100" t="s">
        <v>228</v>
      </c>
      <c r="F286" s="61"/>
      <c r="G286" s="44"/>
    </row>
    <row r="287" ht="15.75" customHeight="1">
      <c r="B287" s="53"/>
      <c r="C287" s="38" t="s">
        <v>381</v>
      </c>
      <c r="D287" s="100" t="s">
        <v>69</v>
      </c>
      <c r="E287" s="100" t="s">
        <v>228</v>
      </c>
      <c r="F287" s="61"/>
      <c r="G287" s="44"/>
    </row>
    <row r="288" ht="15.75" customHeight="1">
      <c r="B288" s="53"/>
      <c r="C288" s="38" t="s">
        <v>382</v>
      </c>
      <c r="D288" s="100" t="s">
        <v>69</v>
      </c>
      <c r="E288" s="100" t="s">
        <v>228</v>
      </c>
      <c r="F288" s="61"/>
      <c r="G288" s="44"/>
    </row>
    <row r="289" ht="15.75" customHeight="1">
      <c r="B289" s="53"/>
      <c r="C289" s="38" t="s">
        <v>383</v>
      </c>
      <c r="D289" s="100" t="s">
        <v>69</v>
      </c>
      <c r="E289" s="100" t="s">
        <v>228</v>
      </c>
      <c r="F289" s="61"/>
      <c r="G289" s="44"/>
    </row>
    <row r="290" ht="15.75" customHeight="1">
      <c r="B290" s="53"/>
      <c r="C290" s="38" t="s">
        <v>384</v>
      </c>
      <c r="D290" s="100" t="s">
        <v>69</v>
      </c>
      <c r="E290" s="100" t="s">
        <v>228</v>
      </c>
      <c r="F290" s="61"/>
      <c r="G290" s="44"/>
    </row>
    <row r="291" ht="15.75" customHeight="1">
      <c r="B291" s="53"/>
      <c r="C291" s="38" t="s">
        <v>385</v>
      </c>
      <c r="D291" s="100" t="s">
        <v>69</v>
      </c>
      <c r="E291" s="100" t="s">
        <v>228</v>
      </c>
      <c r="F291" s="61"/>
      <c r="G291" s="44"/>
    </row>
    <row r="292" ht="15.75" customHeight="1">
      <c r="B292" s="53"/>
      <c r="C292" s="10" t="s">
        <v>622</v>
      </c>
      <c r="D292" s="100" t="s">
        <v>69</v>
      </c>
      <c r="E292" s="100" t="s">
        <v>228</v>
      </c>
      <c r="F292" s="61"/>
      <c r="G292" s="44" t="s">
        <v>559</v>
      </c>
    </row>
    <row r="293" ht="15.75" customHeight="1">
      <c r="B293" s="53"/>
      <c r="C293" s="10" t="s">
        <v>623</v>
      </c>
      <c r="D293" s="100" t="s">
        <v>69</v>
      </c>
      <c r="E293" s="100" t="s">
        <v>228</v>
      </c>
      <c r="F293" s="61"/>
      <c r="G293" s="44" t="s">
        <v>559</v>
      </c>
    </row>
    <row r="294" ht="15.75" customHeight="1">
      <c r="B294" s="53"/>
      <c r="C294" s="10" t="s">
        <v>624</v>
      </c>
      <c r="D294" s="100" t="s">
        <v>69</v>
      </c>
      <c r="E294" s="100" t="s">
        <v>228</v>
      </c>
      <c r="F294" s="61"/>
      <c r="G294" s="44" t="s">
        <v>559</v>
      </c>
    </row>
    <row r="295" ht="15.75" customHeight="1">
      <c r="B295" s="53"/>
      <c r="C295" s="10" t="s">
        <v>625</v>
      </c>
      <c r="D295" s="100" t="s">
        <v>69</v>
      </c>
      <c r="E295" s="100" t="s">
        <v>228</v>
      </c>
      <c r="F295" s="61"/>
      <c r="G295" s="44" t="s">
        <v>559</v>
      </c>
    </row>
    <row r="296" ht="15.75" customHeight="1">
      <c r="B296" s="53"/>
      <c r="C296" s="10" t="s">
        <v>626</v>
      </c>
      <c r="D296" s="100" t="s">
        <v>69</v>
      </c>
      <c r="E296" s="100" t="s">
        <v>228</v>
      </c>
      <c r="F296" s="61"/>
      <c r="G296" s="44" t="s">
        <v>559</v>
      </c>
    </row>
    <row r="297" ht="15.75" customHeight="1">
      <c r="B297" s="53"/>
      <c r="C297" s="10" t="s">
        <v>627</v>
      </c>
      <c r="D297" s="100" t="s">
        <v>69</v>
      </c>
      <c r="E297" s="100" t="s">
        <v>228</v>
      </c>
      <c r="F297" s="61"/>
      <c r="G297" s="44" t="s">
        <v>559</v>
      </c>
    </row>
    <row r="298" ht="15.75" customHeight="1">
      <c r="B298" s="53"/>
      <c r="C298" s="10" t="s">
        <v>628</v>
      </c>
      <c r="D298" s="100" t="s">
        <v>69</v>
      </c>
      <c r="E298" s="100" t="s">
        <v>228</v>
      </c>
      <c r="F298" s="61"/>
      <c r="G298" s="44" t="s">
        <v>559</v>
      </c>
    </row>
    <row r="299" ht="15.75" customHeight="1">
      <c r="B299" s="53"/>
      <c r="C299" s="99" t="s">
        <v>629</v>
      </c>
      <c r="D299" s="38" t="s">
        <v>73</v>
      </c>
      <c r="E299" s="98" t="s">
        <v>29</v>
      </c>
      <c r="F299" s="61"/>
      <c r="G299" s="44" t="s">
        <v>559</v>
      </c>
    </row>
    <row r="300" ht="15.75" customHeight="1">
      <c r="B300" s="53"/>
      <c r="C300" s="99" t="s">
        <v>630</v>
      </c>
      <c r="D300" s="38" t="s">
        <v>630</v>
      </c>
      <c r="E300" s="98" t="s">
        <v>29</v>
      </c>
      <c r="F300" s="61"/>
      <c r="G300" s="44" t="s">
        <v>559</v>
      </c>
    </row>
    <row r="301" ht="15.75" customHeight="1">
      <c r="B301" s="53"/>
      <c r="C301" s="99" t="s">
        <v>631</v>
      </c>
      <c r="D301" s="38" t="s">
        <v>83</v>
      </c>
      <c r="E301" s="98" t="s">
        <v>29</v>
      </c>
      <c r="F301" s="61"/>
      <c r="G301" s="44" t="s">
        <v>559</v>
      </c>
    </row>
    <row r="302" ht="15.75" customHeight="1">
      <c r="B302" s="53"/>
      <c r="C302" s="99" t="s">
        <v>140</v>
      </c>
      <c r="D302" s="38" t="s">
        <v>77</v>
      </c>
      <c r="E302" s="98" t="s">
        <v>29</v>
      </c>
      <c r="F302" s="61"/>
      <c r="G302" s="44" t="s">
        <v>559</v>
      </c>
    </row>
    <row r="303" ht="15.75" customHeight="1">
      <c r="B303" s="53"/>
      <c r="C303" s="10" t="s">
        <v>632</v>
      </c>
      <c r="D303" s="38" t="s">
        <v>85</v>
      </c>
      <c r="E303" s="98" t="s">
        <v>29</v>
      </c>
      <c r="F303" s="61"/>
      <c r="G303" s="44" t="s">
        <v>559</v>
      </c>
    </row>
    <row r="304" ht="15.75" customHeight="1">
      <c r="B304" s="53"/>
      <c r="C304" s="10" t="s">
        <v>633</v>
      </c>
      <c r="D304" s="38" t="s">
        <v>80</v>
      </c>
      <c r="E304" s="98" t="s">
        <v>29</v>
      </c>
      <c r="F304" s="61"/>
      <c r="G304" s="44" t="s">
        <v>559</v>
      </c>
    </row>
    <row r="305" ht="15.75" customHeight="1">
      <c r="B305" s="53"/>
      <c r="C305" s="10" t="s">
        <v>634</v>
      </c>
      <c r="D305" s="38" t="s">
        <v>81</v>
      </c>
      <c r="E305" s="98" t="s">
        <v>29</v>
      </c>
      <c r="F305" s="61"/>
      <c r="G305" s="44" t="s">
        <v>559</v>
      </c>
    </row>
    <row r="306" ht="15.75" customHeight="1">
      <c r="B306" s="53"/>
      <c r="C306" s="10" t="s">
        <v>635</v>
      </c>
      <c r="D306" s="38" t="s">
        <v>635</v>
      </c>
      <c r="E306" s="98" t="s">
        <v>29</v>
      </c>
      <c r="F306" s="61"/>
      <c r="G306" s="44" t="s">
        <v>559</v>
      </c>
    </row>
    <row r="307" ht="15.75" customHeight="1">
      <c r="B307" s="53"/>
      <c r="C307" s="10" t="s">
        <v>636</v>
      </c>
      <c r="D307" s="38" t="s">
        <v>101</v>
      </c>
      <c r="E307" s="98" t="s">
        <v>29</v>
      </c>
      <c r="F307" s="61"/>
      <c r="G307" s="44" t="s">
        <v>559</v>
      </c>
    </row>
    <row r="308" ht="15.75" customHeight="1">
      <c r="B308" s="53"/>
      <c r="C308" s="38" t="s">
        <v>637</v>
      </c>
      <c r="D308" s="38" t="s">
        <v>92</v>
      </c>
      <c r="E308" s="98" t="s">
        <v>29</v>
      </c>
      <c r="F308" s="61"/>
      <c r="G308" s="44" t="s">
        <v>559</v>
      </c>
    </row>
    <row r="309" ht="15.75" customHeight="1">
      <c r="B309" s="53"/>
      <c r="C309" s="10" t="s">
        <v>638</v>
      </c>
      <c r="D309" s="38" t="s">
        <v>92</v>
      </c>
      <c r="E309" s="98" t="s">
        <v>29</v>
      </c>
      <c r="F309" s="61"/>
      <c r="G309" s="44" t="s">
        <v>559</v>
      </c>
    </row>
    <row r="310" ht="15.75" customHeight="1">
      <c r="B310" s="53"/>
      <c r="C310" s="10" t="s">
        <v>639</v>
      </c>
      <c r="D310" s="38" t="s">
        <v>83</v>
      </c>
      <c r="E310" s="98" t="s">
        <v>29</v>
      </c>
      <c r="F310" s="61"/>
      <c r="G310" s="44" t="s">
        <v>559</v>
      </c>
    </row>
    <row r="311" ht="15.75" customHeight="1">
      <c r="B311" s="53"/>
      <c r="C311" s="38" t="s">
        <v>227</v>
      </c>
      <c r="D311" s="38" t="s">
        <v>68</v>
      </c>
      <c r="E311" s="10" t="s">
        <v>227</v>
      </c>
      <c r="F311" s="61"/>
      <c r="G311" s="44" t="s">
        <v>559</v>
      </c>
    </row>
    <row r="312" ht="15.75" customHeight="1">
      <c r="B312" s="53"/>
      <c r="C312" s="10" t="s">
        <v>104</v>
      </c>
      <c r="D312" s="38" t="s">
        <v>104</v>
      </c>
      <c r="E312" s="10" t="s">
        <v>32</v>
      </c>
      <c r="F312" s="61"/>
      <c r="G312" s="44" t="s">
        <v>559</v>
      </c>
    </row>
    <row r="313" ht="15.75" customHeight="1">
      <c r="B313" s="53"/>
      <c r="C313" s="38" t="s">
        <v>380</v>
      </c>
      <c r="D313" s="100" t="s">
        <v>69</v>
      </c>
      <c r="E313" s="100" t="s">
        <v>228</v>
      </c>
      <c r="F313" s="61"/>
      <c r="G313" s="44" t="s">
        <v>559</v>
      </c>
    </row>
    <row r="314" ht="15.75" customHeight="1">
      <c r="B314" s="53"/>
      <c r="C314" s="38" t="s">
        <v>381</v>
      </c>
      <c r="D314" s="100" t="s">
        <v>69</v>
      </c>
      <c r="E314" s="100" t="s">
        <v>228</v>
      </c>
      <c r="F314" s="61"/>
      <c r="G314" s="44" t="s">
        <v>559</v>
      </c>
    </row>
    <row r="315" ht="15.75" customHeight="1">
      <c r="B315" s="53"/>
      <c r="C315" s="38" t="s">
        <v>382</v>
      </c>
      <c r="D315" s="100" t="s">
        <v>69</v>
      </c>
      <c r="E315" s="100" t="s">
        <v>228</v>
      </c>
      <c r="F315" s="61"/>
      <c r="G315" s="44" t="s">
        <v>559</v>
      </c>
    </row>
    <row r="316" ht="15.75" customHeight="1">
      <c r="B316" s="53"/>
      <c r="C316" s="38" t="s">
        <v>383</v>
      </c>
      <c r="D316" s="100" t="s">
        <v>69</v>
      </c>
      <c r="E316" s="100" t="s">
        <v>228</v>
      </c>
      <c r="F316" s="61"/>
      <c r="G316" s="44" t="s">
        <v>559</v>
      </c>
    </row>
    <row r="317" ht="15.75" customHeight="1">
      <c r="B317" s="53"/>
      <c r="C317" s="38" t="s">
        <v>384</v>
      </c>
      <c r="D317" s="100" t="s">
        <v>69</v>
      </c>
      <c r="E317" s="100" t="s">
        <v>228</v>
      </c>
      <c r="F317" s="61"/>
      <c r="G317" s="44" t="s">
        <v>559</v>
      </c>
    </row>
    <row r="318" ht="15.75" customHeight="1">
      <c r="B318" s="53"/>
      <c r="C318" s="38" t="s">
        <v>385</v>
      </c>
      <c r="D318" s="100" t="s">
        <v>69</v>
      </c>
      <c r="E318" s="100" t="s">
        <v>228</v>
      </c>
      <c r="F318" s="61"/>
      <c r="G318" s="44" t="s">
        <v>559</v>
      </c>
    </row>
    <row r="319" ht="15.75" customHeight="1">
      <c r="B319" s="53"/>
      <c r="C319" s="18" t="s">
        <v>131</v>
      </c>
      <c r="D319" s="10" t="s">
        <v>1</v>
      </c>
      <c r="E319" s="10" t="s">
        <v>1</v>
      </c>
      <c r="F319" s="61"/>
      <c r="G319" s="44" t="s">
        <v>559</v>
      </c>
    </row>
    <row r="320" ht="15.75" customHeight="1">
      <c r="B320" s="53"/>
      <c r="C320" s="18" t="s">
        <v>132</v>
      </c>
      <c r="D320" s="10" t="s">
        <v>1</v>
      </c>
      <c r="E320" s="10" t="s">
        <v>1</v>
      </c>
      <c r="F320" s="61"/>
      <c r="G320" s="44" t="s">
        <v>559</v>
      </c>
    </row>
    <row r="321" ht="15.75" customHeight="1">
      <c r="B321" s="53"/>
      <c r="C321" s="18" t="s">
        <v>133</v>
      </c>
      <c r="D321" s="10" t="s">
        <v>1</v>
      </c>
      <c r="E321" s="10" t="s">
        <v>1</v>
      </c>
      <c r="F321" s="61"/>
      <c r="G321" s="44" t="s">
        <v>559</v>
      </c>
    </row>
    <row r="322" ht="15.75" customHeight="1">
      <c r="B322" s="53"/>
      <c r="C322" s="18" t="s">
        <v>146</v>
      </c>
      <c r="D322" s="10" t="s">
        <v>1</v>
      </c>
      <c r="E322" s="10" t="s">
        <v>1</v>
      </c>
      <c r="F322" s="61"/>
      <c r="G322" s="44" t="s">
        <v>559</v>
      </c>
    </row>
    <row r="323" ht="15.75" customHeight="1">
      <c r="B323" s="53"/>
      <c r="C323" s="18" t="s">
        <v>134</v>
      </c>
      <c r="D323" s="10" t="s">
        <v>1</v>
      </c>
      <c r="E323" s="10" t="s">
        <v>1</v>
      </c>
      <c r="F323" s="61"/>
      <c r="G323" s="44" t="s">
        <v>559</v>
      </c>
    </row>
    <row r="324" ht="15.75" customHeight="1">
      <c r="B324" s="53"/>
      <c r="C324" s="18" t="s">
        <v>135</v>
      </c>
      <c r="D324" s="10" t="s">
        <v>1</v>
      </c>
      <c r="E324" s="10" t="s">
        <v>1</v>
      </c>
      <c r="F324" s="61"/>
      <c r="G324" s="44" t="s">
        <v>559</v>
      </c>
    </row>
    <row r="325" ht="15.75" customHeight="1">
      <c r="B325" s="53"/>
      <c r="C325" s="18" t="s">
        <v>136</v>
      </c>
      <c r="D325" s="10" t="s">
        <v>1</v>
      </c>
      <c r="E325" s="10" t="s">
        <v>1</v>
      </c>
      <c r="F325" s="61"/>
      <c r="G325" s="44" t="s">
        <v>559</v>
      </c>
    </row>
    <row r="326" ht="15.75" customHeight="1">
      <c r="B326" s="53"/>
      <c r="C326" s="38" t="s">
        <v>141</v>
      </c>
      <c r="D326" s="38" t="s">
        <v>78</v>
      </c>
      <c r="E326" s="38" t="s">
        <v>238</v>
      </c>
      <c r="F326" s="61"/>
      <c r="G326" s="44" t="s">
        <v>559</v>
      </c>
    </row>
    <row r="327" ht="15.75" customHeight="1">
      <c r="B327" s="53"/>
      <c r="C327" s="38" t="s">
        <v>82</v>
      </c>
      <c r="D327" s="38" t="s">
        <v>82</v>
      </c>
      <c r="E327" s="38" t="s">
        <v>238</v>
      </c>
      <c r="F327" s="61"/>
      <c r="G327" s="44" t="s">
        <v>559</v>
      </c>
    </row>
    <row r="328" ht="15.75" customHeight="1">
      <c r="B328" s="53"/>
      <c r="C328" s="38" t="s">
        <v>142</v>
      </c>
      <c r="D328" s="38" t="s">
        <v>86</v>
      </c>
      <c r="E328" s="38" t="s">
        <v>238</v>
      </c>
      <c r="F328" s="61"/>
      <c r="G328" s="44" t="s">
        <v>559</v>
      </c>
    </row>
    <row r="329" ht="15.75" customHeight="1">
      <c r="B329" s="53"/>
      <c r="C329" s="38" t="s">
        <v>93</v>
      </c>
      <c r="D329" s="18" t="s">
        <v>129</v>
      </c>
      <c r="E329" s="38" t="s">
        <v>238</v>
      </c>
      <c r="F329" s="61"/>
      <c r="G329" s="44" t="s">
        <v>559</v>
      </c>
    </row>
    <row r="330" ht="15.75" customHeight="1">
      <c r="B330" s="53"/>
      <c r="C330" s="18" t="s">
        <v>147</v>
      </c>
      <c r="D330" s="38" t="s">
        <v>100</v>
      </c>
      <c r="E330" s="38" t="s">
        <v>238</v>
      </c>
      <c r="F330" s="61"/>
      <c r="G330" s="44" t="s">
        <v>559</v>
      </c>
    </row>
    <row r="331" ht="15.75" customHeight="1">
      <c r="B331" s="53"/>
      <c r="C331" s="18" t="s">
        <v>99</v>
      </c>
      <c r="D331" s="38" t="s">
        <v>99</v>
      </c>
      <c r="E331" s="38" t="s">
        <v>238</v>
      </c>
      <c r="F331" s="61"/>
      <c r="G331" s="44" t="s">
        <v>559</v>
      </c>
    </row>
    <row r="332" ht="15.75" customHeight="1">
      <c r="B332" s="53"/>
      <c r="C332" s="38" t="s">
        <v>130</v>
      </c>
      <c r="D332" s="38" t="s">
        <v>1</v>
      </c>
      <c r="E332" s="38" t="s">
        <v>1</v>
      </c>
      <c r="F332" s="61"/>
      <c r="G332" s="44" t="s">
        <v>559</v>
      </c>
    </row>
    <row r="333" ht="15.75" customHeight="1">
      <c r="B333" s="53"/>
      <c r="C333" s="38" t="s">
        <v>70</v>
      </c>
      <c r="D333" s="101" t="s">
        <v>69</v>
      </c>
      <c r="E333" s="100" t="s">
        <v>228</v>
      </c>
      <c r="F333" s="61"/>
      <c r="G333" s="44" t="s">
        <v>559</v>
      </c>
    </row>
    <row r="334" ht="15.75" customHeight="1">
      <c r="B334" s="53"/>
      <c r="C334" s="38" t="s">
        <v>139</v>
      </c>
      <c r="D334" s="38" t="s">
        <v>73</v>
      </c>
      <c r="E334" s="38" t="s">
        <v>238</v>
      </c>
      <c r="F334" s="61"/>
      <c r="G334" s="44" t="s">
        <v>559</v>
      </c>
    </row>
    <row r="335" ht="15.75" customHeight="1">
      <c r="B335" s="53"/>
      <c r="C335" s="65" t="s">
        <v>340</v>
      </c>
      <c r="D335" s="38" t="s">
        <v>135</v>
      </c>
      <c r="E335" s="100" t="s">
        <v>228</v>
      </c>
      <c r="F335" s="61"/>
      <c r="G335" s="38" t="s">
        <v>559</v>
      </c>
    </row>
    <row r="336" ht="15.75" customHeight="1">
      <c r="B336" s="53"/>
      <c r="C336" s="38" t="s">
        <v>342</v>
      </c>
      <c r="D336" s="38" t="s">
        <v>100</v>
      </c>
      <c r="E336" s="38" t="s">
        <v>238</v>
      </c>
      <c r="F336" s="61"/>
      <c r="G336" s="38" t="s">
        <v>559</v>
      </c>
    </row>
    <row r="337" ht="15.75" customHeight="1">
      <c r="B337" s="53"/>
      <c r="C337" s="38" t="s">
        <v>332</v>
      </c>
      <c r="D337" s="38" t="s">
        <v>69</v>
      </c>
      <c r="E337" s="38" t="s">
        <v>228</v>
      </c>
      <c r="F337" s="61"/>
      <c r="G337" s="38" t="s">
        <v>559</v>
      </c>
    </row>
    <row r="338" ht="15.75" customHeight="1">
      <c r="B338" s="53"/>
      <c r="C338" s="65" t="s">
        <v>163</v>
      </c>
      <c r="D338" s="38" t="s">
        <v>69</v>
      </c>
      <c r="E338" s="38" t="s">
        <v>228</v>
      </c>
      <c r="F338" s="61"/>
      <c r="G338" s="38" t="s">
        <v>559</v>
      </c>
    </row>
    <row r="339" ht="15.75" customHeight="1">
      <c r="B339" s="53"/>
      <c r="C339" s="38" t="s">
        <v>334</v>
      </c>
      <c r="D339" s="38" t="s">
        <v>95</v>
      </c>
      <c r="E339" s="38" t="s">
        <v>29</v>
      </c>
      <c r="F339" s="61"/>
      <c r="G339" s="38" t="s">
        <v>559</v>
      </c>
    </row>
    <row r="340" ht="15.75" customHeight="1">
      <c r="B340" s="53"/>
      <c r="C340" s="38" t="s">
        <v>335</v>
      </c>
      <c r="D340" s="38" t="s">
        <v>82</v>
      </c>
      <c r="E340" s="38" t="s">
        <v>29</v>
      </c>
      <c r="F340" s="61"/>
      <c r="G340" s="61"/>
    </row>
    <row r="341" ht="15.75" customHeight="1">
      <c r="B341" s="53"/>
      <c r="C341" s="61"/>
      <c r="D341" s="61"/>
      <c r="E341" s="61"/>
      <c r="F341" s="61"/>
      <c r="G341" s="61"/>
    </row>
    <row r="342" ht="15.75" customHeight="1">
      <c r="B342" s="53"/>
      <c r="C342" s="61"/>
      <c r="D342" s="61"/>
      <c r="E342" s="61"/>
      <c r="F342" s="61"/>
      <c r="G342" s="61"/>
    </row>
    <row r="343" ht="15.75" customHeight="1">
      <c r="B343" s="53"/>
      <c r="C343" s="61"/>
      <c r="D343" s="61"/>
      <c r="E343" s="61"/>
      <c r="F343" s="61"/>
      <c r="G343" s="61"/>
    </row>
    <row r="344" ht="15.75" customHeight="1">
      <c r="B344" s="53"/>
      <c r="C344" s="61"/>
      <c r="D344" s="61"/>
      <c r="E344" s="61"/>
      <c r="F344" s="61"/>
      <c r="G344" s="61"/>
    </row>
    <row r="345" ht="15.75" customHeight="1">
      <c r="B345" s="53"/>
      <c r="C345" s="61"/>
      <c r="D345" s="61"/>
      <c r="E345" s="61"/>
      <c r="F345" s="61"/>
      <c r="G345" s="61"/>
    </row>
    <row r="346" ht="15.75" customHeight="1">
      <c r="B346" s="53"/>
      <c r="C346" s="61"/>
      <c r="D346" s="61"/>
      <c r="E346" s="61"/>
      <c r="F346" s="61"/>
      <c r="G346" s="61"/>
    </row>
    <row r="347" ht="15.75" customHeight="1">
      <c r="B347" s="53"/>
      <c r="C347" s="61"/>
      <c r="D347" s="61"/>
      <c r="E347" s="61"/>
      <c r="F347" s="61"/>
      <c r="G347" s="61"/>
    </row>
    <row r="348" ht="15.75" customHeight="1">
      <c r="B348" s="53"/>
      <c r="C348" s="61"/>
      <c r="D348" s="61"/>
      <c r="E348" s="61"/>
      <c r="F348" s="61"/>
      <c r="G348" s="61"/>
    </row>
    <row r="349" ht="15.75" customHeight="1">
      <c r="B349" s="53"/>
      <c r="C349" s="61"/>
      <c r="D349" s="61"/>
      <c r="E349" s="61"/>
      <c r="F349" s="61"/>
      <c r="G349" s="61"/>
    </row>
    <row r="350" ht="15.75" customHeight="1">
      <c r="B350" s="53"/>
      <c r="C350" s="61"/>
      <c r="D350" s="61"/>
      <c r="E350" s="61"/>
      <c r="F350" s="61"/>
      <c r="G350" s="61"/>
    </row>
    <row r="351" ht="15.75" customHeight="1">
      <c r="B351" s="53"/>
      <c r="C351" s="61"/>
      <c r="D351" s="61"/>
      <c r="E351" s="61"/>
      <c r="F351" s="61"/>
      <c r="G351" s="61"/>
    </row>
    <row r="352" ht="15.75" customHeight="1">
      <c r="B352" s="53"/>
      <c r="C352" s="61"/>
      <c r="D352" s="61"/>
      <c r="E352" s="61"/>
      <c r="F352" s="61"/>
      <c r="G352" s="61"/>
    </row>
    <row r="353" ht="15.75" customHeight="1">
      <c r="B353" s="53"/>
      <c r="C353" s="61"/>
      <c r="D353" s="61"/>
      <c r="E353" s="61"/>
      <c r="F353" s="61"/>
      <c r="G353" s="61"/>
    </row>
    <row r="354" ht="15.75" customHeight="1">
      <c r="B354" s="53"/>
      <c r="C354" s="61"/>
      <c r="D354" s="61"/>
      <c r="E354" s="61"/>
      <c r="F354" s="61"/>
      <c r="G354" s="61"/>
    </row>
    <row r="355" ht="15.75" customHeight="1">
      <c r="B355" s="53"/>
      <c r="C355" s="61"/>
      <c r="D355" s="61"/>
      <c r="E355" s="61"/>
      <c r="F355" s="61"/>
      <c r="G355" s="61"/>
    </row>
    <row r="356" ht="15.75" customHeight="1">
      <c r="B356" s="53"/>
      <c r="C356" s="61"/>
      <c r="D356" s="61"/>
      <c r="E356" s="61"/>
      <c r="F356" s="61"/>
      <c r="G356" s="61"/>
    </row>
    <row r="357" ht="15.75" customHeight="1">
      <c r="B357" s="53"/>
      <c r="C357" s="61"/>
      <c r="D357" s="61"/>
      <c r="E357" s="61"/>
      <c r="F357" s="61"/>
      <c r="G357" s="61"/>
    </row>
    <row r="358" ht="15.75" customHeight="1">
      <c r="B358" s="53"/>
      <c r="C358" s="61"/>
      <c r="D358" s="61"/>
      <c r="E358" s="61"/>
      <c r="F358" s="61"/>
      <c r="G358" s="61"/>
    </row>
    <row r="359" ht="15.75" customHeight="1">
      <c r="B359" s="53"/>
      <c r="C359" s="61"/>
      <c r="D359" s="61"/>
      <c r="E359" s="61"/>
      <c r="F359" s="61"/>
      <c r="G359" s="61"/>
    </row>
    <row r="360" ht="15.75" customHeight="1">
      <c r="B360" s="53"/>
      <c r="C360" s="61"/>
      <c r="D360" s="61"/>
      <c r="E360" s="61"/>
      <c r="F360" s="61"/>
      <c r="G360" s="61"/>
    </row>
    <row r="361" ht="15.75" customHeight="1">
      <c r="B361" s="53"/>
      <c r="C361" s="61"/>
      <c r="D361" s="61"/>
      <c r="E361" s="61"/>
      <c r="F361" s="61"/>
      <c r="G361" s="61"/>
    </row>
    <row r="362" ht="15.75" customHeight="1">
      <c r="B362" s="53"/>
      <c r="C362" s="61"/>
      <c r="D362" s="61"/>
      <c r="E362" s="61"/>
      <c r="F362" s="61"/>
      <c r="G362" s="61"/>
    </row>
    <row r="363" ht="15.75" customHeight="1">
      <c r="B363" s="53"/>
      <c r="C363" s="61"/>
      <c r="D363" s="61"/>
      <c r="E363" s="61"/>
      <c r="F363" s="61"/>
      <c r="G363" s="61"/>
    </row>
    <row r="364" ht="15.75" customHeight="1">
      <c r="B364" s="53"/>
      <c r="C364" s="61"/>
      <c r="D364" s="61"/>
      <c r="E364" s="61"/>
      <c r="F364" s="61"/>
      <c r="G364" s="61"/>
    </row>
    <row r="365" ht="15.75" customHeight="1">
      <c r="B365" s="53"/>
      <c r="C365" s="61"/>
      <c r="D365" s="61"/>
      <c r="E365" s="61"/>
      <c r="F365" s="61"/>
      <c r="G365" s="61"/>
    </row>
    <row r="366" ht="15.75" customHeight="1">
      <c r="B366" s="53"/>
      <c r="C366" s="61"/>
      <c r="D366" s="61"/>
      <c r="E366" s="61"/>
      <c r="F366" s="61"/>
      <c r="G366" s="61"/>
    </row>
    <row r="367" ht="15.75" customHeight="1">
      <c r="B367" s="53"/>
      <c r="C367" s="61"/>
      <c r="D367" s="61"/>
      <c r="E367" s="61"/>
      <c r="F367" s="61"/>
      <c r="G367" s="61"/>
    </row>
    <row r="368" ht="15.75" customHeight="1">
      <c r="B368" s="53"/>
      <c r="C368" s="61"/>
      <c r="D368" s="61"/>
      <c r="E368" s="61"/>
      <c r="F368" s="61"/>
      <c r="G368" s="61"/>
    </row>
    <row r="369" ht="15.75" customHeight="1">
      <c r="B369" s="53"/>
      <c r="C369" s="61"/>
      <c r="D369" s="61"/>
      <c r="E369" s="61"/>
      <c r="F369" s="61"/>
      <c r="G369" s="61"/>
    </row>
    <row r="370" ht="15.75" customHeight="1">
      <c r="B370" s="53"/>
      <c r="C370" s="61"/>
      <c r="D370" s="61"/>
      <c r="E370" s="61"/>
      <c r="F370" s="61"/>
      <c r="G370" s="61"/>
    </row>
    <row r="371" ht="15.75" customHeight="1">
      <c r="B371" s="53"/>
      <c r="C371" s="61"/>
      <c r="D371" s="61"/>
      <c r="E371" s="61"/>
      <c r="F371" s="61"/>
      <c r="G371" s="61"/>
    </row>
    <row r="372" ht="15.75" customHeight="1">
      <c r="B372" s="53"/>
      <c r="C372" s="61"/>
      <c r="D372" s="61"/>
      <c r="E372" s="61"/>
      <c r="F372" s="61"/>
      <c r="G372" s="61"/>
    </row>
    <row r="373" ht="15.75" customHeight="1">
      <c r="B373" s="53"/>
      <c r="C373" s="61"/>
      <c r="D373" s="61"/>
      <c r="E373" s="61"/>
      <c r="F373" s="61"/>
      <c r="G373" s="61"/>
    </row>
    <row r="374" ht="15.75" customHeight="1">
      <c r="B374" s="53"/>
      <c r="C374" s="61"/>
      <c r="D374" s="61"/>
      <c r="E374" s="61"/>
      <c r="F374" s="61"/>
      <c r="G374" s="61"/>
    </row>
    <row r="375" ht="15.75" customHeight="1">
      <c r="B375" s="53"/>
      <c r="C375" s="61"/>
      <c r="D375" s="61"/>
      <c r="E375" s="61"/>
      <c r="F375" s="61"/>
      <c r="G375" s="61"/>
    </row>
    <row r="376" ht="15.75" customHeight="1">
      <c r="B376" s="53"/>
      <c r="C376" s="61"/>
      <c r="D376" s="61"/>
      <c r="E376" s="61"/>
      <c r="F376" s="61"/>
      <c r="G376" s="61"/>
    </row>
    <row r="377" ht="15.75" customHeight="1">
      <c r="B377" s="53"/>
      <c r="C377" s="61"/>
      <c r="D377" s="61"/>
      <c r="E377" s="61"/>
      <c r="F377" s="61"/>
      <c r="G377" s="61"/>
    </row>
    <row r="378" ht="15.75" customHeight="1">
      <c r="B378" s="53"/>
      <c r="C378" s="61"/>
      <c r="D378" s="61"/>
      <c r="E378" s="61"/>
      <c r="F378" s="61"/>
      <c r="G378" s="61"/>
    </row>
    <row r="379" ht="15.75" customHeight="1">
      <c r="B379" s="53"/>
      <c r="C379" s="61"/>
      <c r="D379" s="61"/>
      <c r="E379" s="61"/>
      <c r="F379" s="61"/>
      <c r="G379" s="61"/>
    </row>
    <row r="380" ht="15.75" customHeight="1">
      <c r="B380" s="53"/>
      <c r="C380" s="61"/>
      <c r="D380" s="61"/>
      <c r="E380" s="61"/>
      <c r="F380" s="61"/>
      <c r="G380" s="61"/>
    </row>
    <row r="381" ht="15.75" customHeight="1">
      <c r="B381" s="53"/>
      <c r="C381" s="61"/>
      <c r="D381" s="61"/>
      <c r="E381" s="61"/>
      <c r="F381" s="61"/>
      <c r="G381" s="61"/>
    </row>
    <row r="382" ht="15.75" customHeight="1">
      <c r="B382" s="53"/>
      <c r="C382" s="61"/>
      <c r="D382" s="61"/>
      <c r="E382" s="61"/>
      <c r="F382" s="61"/>
      <c r="G382" s="61"/>
    </row>
    <row r="383" ht="15.75" customHeight="1">
      <c r="B383" s="53"/>
      <c r="C383" s="61"/>
      <c r="D383" s="61"/>
      <c r="E383" s="61"/>
      <c r="F383" s="61"/>
      <c r="G383" s="61"/>
    </row>
    <row r="384" ht="15.75" customHeight="1">
      <c r="B384" s="53"/>
      <c r="C384" s="61"/>
      <c r="D384" s="61"/>
      <c r="E384" s="61"/>
      <c r="F384" s="61"/>
      <c r="G384" s="61"/>
    </row>
    <row r="385" ht="15.75" customHeight="1">
      <c r="B385" s="53"/>
      <c r="C385" s="61"/>
      <c r="D385" s="61"/>
      <c r="E385" s="61"/>
      <c r="F385" s="61"/>
      <c r="G385" s="61"/>
    </row>
    <row r="386" ht="15.75" customHeight="1">
      <c r="B386" s="53"/>
      <c r="C386" s="61"/>
      <c r="D386" s="61"/>
      <c r="E386" s="61"/>
      <c r="F386" s="61"/>
      <c r="G386" s="61"/>
    </row>
    <row r="387" ht="15.75" customHeight="1">
      <c r="B387" s="53"/>
      <c r="C387" s="61"/>
      <c r="D387" s="61"/>
      <c r="E387" s="61"/>
      <c r="F387" s="61"/>
      <c r="G387" s="61"/>
    </row>
    <row r="388" ht="15.75" customHeight="1">
      <c r="B388" s="53"/>
      <c r="C388" s="61"/>
      <c r="D388" s="61"/>
      <c r="E388" s="61"/>
      <c r="F388" s="61"/>
      <c r="G388" s="61"/>
    </row>
    <row r="389" ht="15.75" customHeight="1">
      <c r="B389" s="53"/>
      <c r="C389" s="61"/>
      <c r="D389" s="61"/>
      <c r="E389" s="61"/>
      <c r="F389" s="61"/>
      <c r="G389" s="61"/>
    </row>
    <row r="390" ht="15.75" customHeight="1">
      <c r="B390" s="53"/>
      <c r="C390" s="61"/>
      <c r="D390" s="61"/>
      <c r="E390" s="61"/>
      <c r="F390" s="61"/>
      <c r="G390" s="61"/>
    </row>
    <row r="391" ht="15.75" customHeight="1">
      <c r="B391" s="53"/>
      <c r="C391" s="61"/>
      <c r="D391" s="61"/>
      <c r="E391" s="61"/>
      <c r="F391" s="61"/>
      <c r="G391" s="61"/>
    </row>
    <row r="392" ht="15.75" customHeight="1">
      <c r="B392" s="53"/>
      <c r="C392" s="61"/>
      <c r="D392" s="61"/>
      <c r="E392" s="61"/>
      <c r="F392" s="61"/>
      <c r="G392" s="61"/>
    </row>
    <row r="393" ht="15.75" customHeight="1">
      <c r="B393" s="53"/>
      <c r="C393" s="61"/>
      <c r="D393" s="61"/>
      <c r="E393" s="61"/>
      <c r="F393" s="61"/>
      <c r="G393" s="61"/>
    </row>
    <row r="394" ht="15.75" customHeight="1">
      <c r="B394" s="53"/>
      <c r="C394" s="61"/>
      <c r="D394" s="61"/>
      <c r="E394" s="61"/>
      <c r="F394" s="61"/>
      <c r="G394" s="61"/>
    </row>
    <row r="395" ht="15.75" customHeight="1">
      <c r="B395" s="53"/>
      <c r="C395" s="61"/>
      <c r="D395" s="61"/>
      <c r="E395" s="61"/>
      <c r="F395" s="61"/>
      <c r="G395" s="61"/>
    </row>
    <row r="396" ht="15.75" customHeight="1">
      <c r="B396" s="53"/>
      <c r="C396" s="61"/>
      <c r="D396" s="61"/>
      <c r="E396" s="61"/>
      <c r="F396" s="61"/>
      <c r="G396" s="61"/>
    </row>
    <row r="397" ht="15.75" customHeight="1">
      <c r="B397" s="53"/>
      <c r="C397" s="61"/>
      <c r="D397" s="61"/>
      <c r="E397" s="61"/>
      <c r="F397" s="61"/>
      <c r="G397" s="61"/>
    </row>
    <row r="398" ht="15.75" customHeight="1">
      <c r="B398" s="53"/>
      <c r="C398" s="61"/>
      <c r="D398" s="61"/>
      <c r="E398" s="61"/>
      <c r="F398" s="61"/>
      <c r="G398" s="61"/>
    </row>
    <row r="399" ht="15.75" customHeight="1">
      <c r="B399" s="53"/>
      <c r="C399" s="61"/>
      <c r="D399" s="61"/>
      <c r="E399" s="61"/>
      <c r="F399" s="61"/>
      <c r="G399" s="61"/>
    </row>
    <row r="400" ht="15.75" customHeight="1">
      <c r="B400" s="53"/>
      <c r="C400" s="61"/>
      <c r="D400" s="61"/>
      <c r="E400" s="61"/>
      <c r="F400" s="61"/>
      <c r="G400" s="61"/>
    </row>
    <row r="401" ht="15.75" customHeight="1">
      <c r="B401" s="53"/>
      <c r="C401" s="61"/>
      <c r="D401" s="61"/>
      <c r="E401" s="61"/>
      <c r="F401" s="61"/>
      <c r="G401" s="61"/>
    </row>
    <row r="402" ht="15.75" customHeight="1">
      <c r="B402" s="53"/>
      <c r="C402" s="61"/>
      <c r="D402" s="61"/>
      <c r="E402" s="61"/>
      <c r="F402" s="61"/>
      <c r="G402" s="61"/>
    </row>
    <row r="403" ht="15.75" customHeight="1">
      <c r="B403" s="53"/>
      <c r="C403" s="61"/>
      <c r="D403" s="61"/>
      <c r="E403" s="61"/>
      <c r="F403" s="61"/>
      <c r="G403" s="61"/>
    </row>
    <row r="404" ht="15.75" customHeight="1">
      <c r="B404" s="53"/>
      <c r="C404" s="61"/>
      <c r="D404" s="61"/>
      <c r="E404" s="61"/>
      <c r="F404" s="61"/>
      <c r="G404" s="61"/>
    </row>
    <row r="405" ht="15.75" customHeight="1">
      <c r="B405" s="53"/>
      <c r="C405" s="61"/>
      <c r="D405" s="61"/>
      <c r="E405" s="61"/>
      <c r="F405" s="61"/>
      <c r="G405" s="61"/>
    </row>
    <row r="406" ht="15.75" customHeight="1">
      <c r="B406" s="53"/>
      <c r="C406" s="61"/>
      <c r="D406" s="61"/>
      <c r="E406" s="61"/>
      <c r="F406" s="61"/>
      <c r="G406" s="61"/>
    </row>
    <row r="407" ht="15.75" customHeight="1">
      <c r="B407" s="53"/>
      <c r="C407" s="61"/>
      <c r="D407" s="61"/>
      <c r="E407" s="61"/>
      <c r="F407" s="61"/>
      <c r="G407" s="61"/>
    </row>
    <row r="408" ht="15.75" customHeight="1">
      <c r="B408" s="53"/>
      <c r="C408" s="61"/>
      <c r="D408" s="61"/>
      <c r="E408" s="61"/>
      <c r="F408" s="61"/>
      <c r="G408" s="61"/>
    </row>
    <row r="409" ht="15.75" customHeight="1">
      <c r="B409" s="53"/>
      <c r="C409" s="61"/>
      <c r="D409" s="61"/>
      <c r="E409" s="61"/>
      <c r="F409" s="61"/>
      <c r="G409" s="61"/>
    </row>
    <row r="410" ht="15.75" customHeight="1">
      <c r="B410" s="53"/>
      <c r="C410" s="61"/>
      <c r="D410" s="61"/>
      <c r="E410" s="61"/>
      <c r="F410" s="61"/>
      <c r="G410" s="61"/>
    </row>
    <row r="411" ht="15.75" customHeight="1">
      <c r="B411" s="53"/>
      <c r="C411" s="61"/>
      <c r="D411" s="61"/>
      <c r="E411" s="61"/>
      <c r="F411" s="61"/>
      <c r="G411" s="61"/>
    </row>
    <row r="412" ht="15.75" customHeight="1">
      <c r="B412" s="53"/>
      <c r="C412" s="61"/>
      <c r="D412" s="61"/>
      <c r="E412" s="61"/>
      <c r="F412" s="61"/>
      <c r="G412" s="61"/>
    </row>
    <row r="413" ht="15.75" customHeight="1">
      <c r="B413" s="53"/>
      <c r="C413" s="61"/>
      <c r="D413" s="61"/>
      <c r="E413" s="61"/>
      <c r="F413" s="61"/>
      <c r="G413" s="61"/>
    </row>
    <row r="414" ht="15.75" customHeight="1">
      <c r="B414" s="53"/>
      <c r="C414" s="61"/>
      <c r="D414" s="61"/>
      <c r="E414" s="61"/>
      <c r="F414" s="61"/>
      <c r="G414" s="61"/>
    </row>
    <row r="415" ht="15.75" customHeight="1">
      <c r="B415" s="53"/>
      <c r="C415" s="61"/>
      <c r="D415" s="61"/>
      <c r="E415" s="61"/>
      <c r="F415" s="61"/>
      <c r="G415" s="61"/>
    </row>
    <row r="416" ht="15.75" customHeight="1">
      <c r="B416" s="53"/>
      <c r="C416" s="61"/>
      <c r="D416" s="61"/>
      <c r="E416" s="61"/>
      <c r="F416" s="61"/>
      <c r="G416" s="61"/>
    </row>
    <row r="417" ht="15.75" customHeight="1">
      <c r="B417" s="53"/>
      <c r="C417" s="61"/>
      <c r="D417" s="61"/>
      <c r="E417" s="61"/>
      <c r="F417" s="61"/>
      <c r="G417" s="61"/>
    </row>
    <row r="418" ht="15.75" customHeight="1">
      <c r="B418" s="53"/>
      <c r="C418" s="61"/>
      <c r="D418" s="61"/>
      <c r="E418" s="61"/>
      <c r="F418" s="61"/>
      <c r="G418" s="61"/>
    </row>
    <row r="419" ht="15.75" customHeight="1">
      <c r="B419" s="53"/>
      <c r="C419" s="61"/>
      <c r="D419" s="61"/>
      <c r="E419" s="61"/>
      <c r="F419" s="61"/>
      <c r="G419" s="61"/>
    </row>
    <row r="420" ht="15.75" customHeight="1">
      <c r="B420" s="53"/>
      <c r="C420" s="61"/>
      <c r="D420" s="61"/>
      <c r="E420" s="61"/>
      <c r="F420" s="61"/>
      <c r="G420" s="61"/>
    </row>
    <row r="421" ht="15.75" customHeight="1">
      <c r="B421" s="53"/>
      <c r="C421" s="61"/>
      <c r="D421" s="61"/>
      <c r="E421" s="61"/>
      <c r="F421" s="61"/>
      <c r="G421" s="61"/>
    </row>
    <row r="422" ht="15.75" customHeight="1">
      <c r="B422" s="53"/>
      <c r="C422" s="61"/>
      <c r="D422" s="61"/>
      <c r="E422" s="61"/>
      <c r="F422" s="61"/>
      <c r="G422" s="61"/>
    </row>
    <row r="423" ht="15.75" customHeight="1">
      <c r="B423" s="53"/>
      <c r="C423" s="61"/>
      <c r="D423" s="61"/>
      <c r="E423" s="61"/>
      <c r="F423" s="61"/>
      <c r="G423" s="61"/>
    </row>
    <row r="424" ht="15.75" customHeight="1">
      <c r="B424" s="53"/>
      <c r="C424" s="61"/>
      <c r="D424" s="61"/>
      <c r="E424" s="61"/>
      <c r="F424" s="61"/>
      <c r="G424" s="61"/>
    </row>
    <row r="425" ht="15.75" customHeight="1">
      <c r="B425" s="53"/>
      <c r="C425" s="61"/>
      <c r="D425" s="61"/>
      <c r="E425" s="61"/>
      <c r="F425" s="61"/>
      <c r="G425" s="61"/>
    </row>
    <row r="426" ht="15.75" customHeight="1">
      <c r="B426" s="53"/>
      <c r="C426" s="61"/>
      <c r="D426" s="61"/>
      <c r="E426" s="61"/>
      <c r="F426" s="61"/>
      <c r="G426" s="61"/>
    </row>
    <row r="427" ht="15.75" customHeight="1">
      <c r="B427" s="53"/>
      <c r="C427" s="61"/>
      <c r="D427" s="61"/>
      <c r="E427" s="61"/>
      <c r="F427" s="61"/>
      <c r="G427" s="61"/>
    </row>
    <row r="428" ht="15.75" customHeight="1">
      <c r="B428" s="53"/>
      <c r="C428" s="61"/>
      <c r="D428" s="61"/>
      <c r="E428" s="61"/>
      <c r="F428" s="61"/>
      <c r="G428" s="61"/>
    </row>
    <row r="429" ht="15.75" customHeight="1">
      <c r="B429" s="53"/>
      <c r="C429" s="61"/>
      <c r="D429" s="61"/>
      <c r="E429" s="61"/>
      <c r="F429" s="61"/>
      <c r="G429" s="61"/>
    </row>
    <row r="430" ht="15.75" customHeight="1">
      <c r="B430" s="53"/>
      <c r="C430" s="61"/>
      <c r="D430" s="61"/>
      <c r="E430" s="61"/>
      <c r="F430" s="61"/>
      <c r="G430" s="61"/>
    </row>
    <row r="431" ht="15.75" customHeight="1">
      <c r="B431" s="53"/>
      <c r="C431" s="61"/>
      <c r="D431" s="61"/>
      <c r="E431" s="61"/>
      <c r="F431" s="61"/>
      <c r="G431" s="61"/>
    </row>
    <row r="432" ht="15.75" customHeight="1">
      <c r="B432" s="53"/>
      <c r="C432" s="61"/>
      <c r="D432" s="61"/>
      <c r="E432" s="61"/>
      <c r="F432" s="61"/>
      <c r="G432" s="61"/>
    </row>
    <row r="433" ht="15.75" customHeight="1">
      <c r="B433" s="53"/>
      <c r="C433" s="61"/>
      <c r="D433" s="61"/>
      <c r="E433" s="61"/>
      <c r="F433" s="61"/>
      <c r="G433" s="61"/>
    </row>
    <row r="434" ht="15.75" customHeight="1">
      <c r="B434" s="53"/>
      <c r="C434" s="61"/>
      <c r="D434" s="61"/>
      <c r="E434" s="61"/>
      <c r="F434" s="61"/>
      <c r="G434" s="61"/>
    </row>
    <row r="435" ht="15.75" customHeight="1">
      <c r="B435" s="53"/>
      <c r="C435" s="61"/>
      <c r="D435" s="61"/>
      <c r="E435" s="61"/>
      <c r="F435" s="61"/>
      <c r="G435" s="61"/>
    </row>
    <row r="436" ht="15.75" customHeight="1">
      <c r="B436" s="53"/>
      <c r="C436" s="61"/>
      <c r="D436" s="61"/>
      <c r="E436" s="61"/>
      <c r="F436" s="61"/>
      <c r="G436" s="61"/>
    </row>
    <row r="437" ht="15.75" customHeight="1">
      <c r="B437" s="53"/>
      <c r="C437" s="61"/>
      <c r="D437" s="61"/>
      <c r="E437" s="61"/>
      <c r="F437" s="61"/>
      <c r="G437" s="61"/>
    </row>
    <row r="438" ht="15.75" customHeight="1">
      <c r="B438" s="53"/>
      <c r="C438" s="61"/>
      <c r="D438" s="61"/>
      <c r="E438" s="61"/>
      <c r="F438" s="61"/>
      <c r="G438" s="61"/>
    </row>
    <row r="439" ht="15.75" customHeight="1">
      <c r="B439" s="53"/>
      <c r="C439" s="61"/>
      <c r="D439" s="61"/>
      <c r="E439" s="61"/>
      <c r="F439" s="61"/>
      <c r="G439" s="61"/>
    </row>
    <row r="440" ht="15.75" customHeight="1">
      <c r="B440" s="53"/>
      <c r="C440" s="61"/>
      <c r="D440" s="61"/>
      <c r="E440" s="61"/>
      <c r="F440" s="61"/>
      <c r="G440" s="61"/>
    </row>
    <row r="441" ht="15.75" customHeight="1">
      <c r="B441" s="53"/>
      <c r="C441" s="61"/>
      <c r="D441" s="61"/>
      <c r="E441" s="61"/>
      <c r="F441" s="61"/>
      <c r="G441" s="61"/>
    </row>
    <row r="442" ht="15.75" customHeight="1">
      <c r="B442" s="53"/>
      <c r="C442" s="61"/>
      <c r="D442" s="61"/>
      <c r="E442" s="61"/>
      <c r="F442" s="61"/>
      <c r="G442" s="61"/>
    </row>
    <row r="443" ht="15.75" customHeight="1">
      <c r="B443" s="53"/>
      <c r="C443" s="61"/>
      <c r="D443" s="61"/>
      <c r="E443" s="61"/>
      <c r="F443" s="61"/>
      <c r="G443" s="61"/>
    </row>
    <row r="444" ht="15.75" customHeight="1">
      <c r="B444" s="53"/>
      <c r="C444" s="61"/>
      <c r="D444" s="61"/>
      <c r="E444" s="61"/>
      <c r="F444" s="61"/>
      <c r="G444" s="61"/>
    </row>
    <row r="445" ht="15.75" customHeight="1">
      <c r="B445" s="53"/>
      <c r="C445" s="61"/>
      <c r="D445" s="61"/>
      <c r="E445" s="61"/>
      <c r="F445" s="61"/>
      <c r="G445" s="61"/>
    </row>
    <row r="446" ht="15.75" customHeight="1">
      <c r="B446" s="53"/>
      <c r="C446" s="61"/>
      <c r="D446" s="61"/>
      <c r="E446" s="61"/>
      <c r="F446" s="61"/>
      <c r="G446" s="61"/>
    </row>
    <row r="447" ht="15.75" customHeight="1">
      <c r="B447" s="53"/>
      <c r="C447" s="61"/>
      <c r="D447" s="61"/>
      <c r="E447" s="61"/>
      <c r="F447" s="61"/>
      <c r="G447" s="61"/>
    </row>
    <row r="448" ht="15.75" customHeight="1">
      <c r="B448" s="53"/>
      <c r="C448" s="61"/>
      <c r="D448" s="61"/>
      <c r="E448" s="61"/>
      <c r="F448" s="61"/>
      <c r="G448" s="61"/>
    </row>
    <row r="449" ht="15.75" customHeight="1">
      <c r="B449" s="53"/>
      <c r="C449" s="61"/>
      <c r="D449" s="61"/>
      <c r="E449" s="61"/>
      <c r="F449" s="61"/>
      <c r="G449" s="61"/>
    </row>
    <row r="450" ht="15.75" customHeight="1">
      <c r="B450" s="53"/>
      <c r="C450" s="61"/>
      <c r="D450" s="61"/>
      <c r="E450" s="61"/>
      <c r="F450" s="61"/>
      <c r="G450" s="61"/>
    </row>
    <row r="451" ht="15.75" customHeight="1">
      <c r="B451" s="53"/>
      <c r="C451" s="61"/>
      <c r="D451" s="61"/>
      <c r="E451" s="61"/>
      <c r="F451" s="61"/>
      <c r="G451" s="61"/>
    </row>
    <row r="452" ht="15.75" customHeight="1">
      <c r="B452" s="53"/>
      <c r="C452" s="61"/>
      <c r="D452" s="61"/>
      <c r="E452" s="61"/>
      <c r="F452" s="61"/>
      <c r="G452" s="61"/>
    </row>
    <row r="453" ht="15.75" customHeight="1">
      <c r="B453" s="53"/>
      <c r="C453" s="61"/>
      <c r="D453" s="61"/>
      <c r="E453" s="61"/>
      <c r="F453" s="61"/>
      <c r="G453" s="61"/>
    </row>
    <row r="454" ht="15.75" customHeight="1">
      <c r="B454" s="53"/>
      <c r="C454" s="61"/>
      <c r="D454" s="61"/>
      <c r="E454" s="61"/>
      <c r="F454" s="61"/>
      <c r="G454" s="61"/>
    </row>
    <row r="455" ht="15.75" customHeight="1">
      <c r="B455" s="53"/>
      <c r="C455" s="61"/>
      <c r="D455" s="61"/>
      <c r="E455" s="61"/>
      <c r="F455" s="61"/>
      <c r="G455" s="61"/>
    </row>
    <row r="456" ht="15.75" customHeight="1">
      <c r="B456" s="53"/>
      <c r="C456" s="61"/>
      <c r="D456" s="61"/>
      <c r="E456" s="61"/>
      <c r="F456" s="61"/>
      <c r="G456" s="61"/>
    </row>
    <row r="457" ht="15.75" customHeight="1">
      <c r="B457" s="53"/>
      <c r="C457" s="61"/>
      <c r="D457" s="61"/>
      <c r="E457" s="61"/>
      <c r="F457" s="61"/>
      <c r="G457" s="61"/>
    </row>
    <row r="458" ht="15.75" customHeight="1">
      <c r="B458" s="53"/>
      <c r="C458" s="61"/>
      <c r="D458" s="61"/>
      <c r="E458" s="61"/>
      <c r="F458" s="61"/>
      <c r="G458" s="61"/>
    </row>
    <row r="459" ht="15.75" customHeight="1">
      <c r="B459" s="53"/>
      <c r="C459" s="61"/>
      <c r="D459" s="61"/>
      <c r="E459" s="61"/>
      <c r="F459" s="61"/>
      <c r="G459" s="61"/>
    </row>
    <row r="460" ht="15.75" customHeight="1">
      <c r="B460" s="53"/>
      <c r="C460" s="61"/>
      <c r="D460" s="61"/>
      <c r="E460" s="61"/>
      <c r="F460" s="61"/>
      <c r="G460" s="61"/>
    </row>
    <row r="461" ht="15.75" customHeight="1">
      <c r="B461" s="53"/>
      <c r="C461" s="61"/>
      <c r="D461" s="61"/>
      <c r="E461" s="61"/>
      <c r="F461" s="61"/>
      <c r="G461" s="61"/>
    </row>
    <row r="462" ht="15.75" customHeight="1">
      <c r="B462" s="53"/>
      <c r="C462" s="61"/>
      <c r="D462" s="61"/>
      <c r="E462" s="61"/>
      <c r="F462" s="61"/>
      <c r="G462" s="61"/>
    </row>
    <row r="463" ht="15.75" customHeight="1">
      <c r="B463" s="53"/>
      <c r="C463" s="61"/>
      <c r="D463" s="61"/>
      <c r="E463" s="61"/>
      <c r="F463" s="61"/>
      <c r="G463" s="61"/>
    </row>
    <row r="464" ht="15.75" customHeight="1">
      <c r="B464" s="53"/>
      <c r="C464" s="61"/>
      <c r="D464" s="61"/>
      <c r="E464" s="61"/>
      <c r="F464" s="61"/>
      <c r="G464" s="61"/>
    </row>
    <row r="465" ht="15.75" customHeight="1">
      <c r="B465" s="53"/>
      <c r="C465" s="61"/>
      <c r="D465" s="61"/>
      <c r="E465" s="61"/>
      <c r="F465" s="61"/>
      <c r="G465" s="61"/>
    </row>
    <row r="466" ht="15.75" customHeight="1">
      <c r="B466" s="53"/>
      <c r="C466" s="61"/>
      <c r="D466" s="61"/>
      <c r="E466" s="61"/>
      <c r="F466" s="61"/>
      <c r="G466" s="61"/>
    </row>
    <row r="467" ht="15.75" customHeight="1">
      <c r="B467" s="53"/>
      <c r="C467" s="61"/>
      <c r="D467" s="61"/>
      <c r="E467" s="61"/>
      <c r="F467" s="61"/>
      <c r="G467" s="61"/>
    </row>
    <row r="468" ht="15.75" customHeight="1">
      <c r="B468" s="53"/>
      <c r="C468" s="61"/>
      <c r="D468" s="61"/>
      <c r="E468" s="61"/>
      <c r="F468" s="61"/>
      <c r="G468" s="61"/>
    </row>
    <row r="469" ht="15.75" customHeight="1">
      <c r="B469" s="53"/>
      <c r="C469" s="61"/>
      <c r="D469" s="61"/>
      <c r="E469" s="61"/>
      <c r="F469" s="61"/>
      <c r="G469" s="61"/>
    </row>
    <row r="470" ht="15.75" customHeight="1">
      <c r="B470" s="53"/>
      <c r="C470" s="61"/>
      <c r="D470" s="61"/>
      <c r="E470" s="61"/>
      <c r="F470" s="61"/>
      <c r="G470" s="61"/>
    </row>
    <row r="471" ht="15.75" customHeight="1">
      <c r="B471" s="53"/>
      <c r="C471" s="61"/>
      <c r="D471" s="61"/>
      <c r="E471" s="61"/>
      <c r="F471" s="61"/>
      <c r="G471" s="61"/>
    </row>
    <row r="472" ht="15.75" customHeight="1">
      <c r="B472" s="53"/>
      <c r="C472" s="61"/>
      <c r="D472" s="61"/>
      <c r="E472" s="61"/>
      <c r="F472" s="61"/>
      <c r="G472" s="61"/>
    </row>
    <row r="473" ht="15.75" customHeight="1">
      <c r="B473" s="53"/>
      <c r="C473" s="61"/>
      <c r="D473" s="61"/>
      <c r="E473" s="61"/>
      <c r="F473" s="61"/>
      <c r="G473" s="61"/>
    </row>
    <row r="474" ht="15.75" customHeight="1">
      <c r="B474" s="53"/>
      <c r="C474" s="61"/>
      <c r="D474" s="61"/>
      <c r="E474" s="61"/>
      <c r="F474" s="61"/>
      <c r="G474" s="61"/>
    </row>
    <row r="475" ht="15.75" customHeight="1">
      <c r="B475" s="53"/>
      <c r="C475" s="61"/>
      <c r="D475" s="61"/>
      <c r="E475" s="61"/>
      <c r="F475" s="61"/>
      <c r="G475" s="61"/>
    </row>
    <row r="476" ht="15.75" customHeight="1">
      <c r="B476" s="53"/>
      <c r="C476" s="61"/>
      <c r="D476" s="61"/>
      <c r="E476" s="61"/>
      <c r="F476" s="61"/>
      <c r="G476" s="61"/>
    </row>
    <row r="477" ht="15.75" customHeight="1">
      <c r="B477" s="53"/>
      <c r="C477" s="61"/>
      <c r="D477" s="61"/>
      <c r="E477" s="61"/>
      <c r="F477" s="61"/>
      <c r="G477" s="61"/>
    </row>
    <row r="478" ht="15.75" customHeight="1">
      <c r="B478" s="53"/>
      <c r="C478" s="61"/>
      <c r="D478" s="61"/>
      <c r="E478" s="61"/>
      <c r="F478" s="61"/>
      <c r="G478" s="61"/>
    </row>
    <row r="479" ht="15.75" customHeight="1">
      <c r="B479" s="53"/>
      <c r="C479" s="61"/>
      <c r="D479" s="61"/>
      <c r="E479" s="61"/>
      <c r="F479" s="61"/>
      <c r="G479" s="61"/>
    </row>
    <row r="480" ht="15.75" customHeight="1">
      <c r="B480" s="53"/>
      <c r="C480" s="61"/>
      <c r="D480" s="61"/>
      <c r="E480" s="61"/>
      <c r="F480" s="61"/>
      <c r="G480" s="61"/>
    </row>
    <row r="481" ht="15.75" customHeight="1">
      <c r="B481" s="53"/>
      <c r="C481" s="61"/>
      <c r="D481" s="61"/>
      <c r="E481" s="61"/>
      <c r="F481" s="61"/>
      <c r="G481" s="61"/>
    </row>
    <row r="482" ht="15.75" customHeight="1">
      <c r="B482" s="53"/>
      <c r="C482" s="61"/>
      <c r="D482" s="61"/>
      <c r="E482" s="61"/>
      <c r="F482" s="61"/>
      <c r="G482" s="61"/>
    </row>
    <row r="483" ht="15.75" customHeight="1">
      <c r="B483" s="53"/>
      <c r="C483" s="61"/>
      <c r="D483" s="61"/>
      <c r="E483" s="61"/>
      <c r="F483" s="61"/>
      <c r="G483" s="61"/>
    </row>
    <row r="484" ht="15.75" customHeight="1">
      <c r="B484" s="53"/>
      <c r="C484" s="61"/>
      <c r="D484" s="61"/>
      <c r="E484" s="61"/>
      <c r="F484" s="61"/>
      <c r="G484" s="61"/>
    </row>
    <row r="485" ht="15.75" customHeight="1">
      <c r="B485" s="53"/>
      <c r="C485" s="61"/>
      <c r="D485" s="61"/>
      <c r="E485" s="61"/>
      <c r="F485" s="61"/>
      <c r="G485" s="61"/>
    </row>
    <row r="486" ht="15.75" customHeight="1">
      <c r="B486" s="53"/>
      <c r="C486" s="61"/>
      <c r="D486" s="61"/>
      <c r="E486" s="61"/>
      <c r="F486" s="61"/>
      <c r="G486" s="61"/>
    </row>
    <row r="487" ht="15.75" customHeight="1">
      <c r="B487" s="53"/>
      <c r="C487" s="61"/>
      <c r="D487" s="61"/>
      <c r="E487" s="61"/>
      <c r="F487" s="61"/>
      <c r="G487" s="61"/>
    </row>
    <row r="488" ht="15.75" customHeight="1">
      <c r="B488" s="53"/>
      <c r="C488" s="61"/>
      <c r="D488" s="61"/>
      <c r="E488" s="61"/>
      <c r="F488" s="61"/>
      <c r="G488" s="61"/>
    </row>
    <row r="489" ht="15.75" customHeight="1">
      <c r="B489" s="53"/>
      <c r="C489" s="61"/>
      <c r="D489" s="61"/>
      <c r="E489" s="61"/>
      <c r="F489" s="61"/>
      <c r="G489" s="61"/>
    </row>
    <row r="490" ht="15.75" customHeight="1">
      <c r="B490" s="53"/>
      <c r="C490" s="61"/>
      <c r="D490" s="61"/>
      <c r="E490" s="61"/>
      <c r="F490" s="61"/>
      <c r="G490" s="61"/>
    </row>
    <row r="491" ht="15.75" customHeight="1">
      <c r="B491" s="53"/>
      <c r="C491" s="61"/>
      <c r="D491" s="61"/>
      <c r="E491" s="61"/>
      <c r="F491" s="61"/>
      <c r="G491" s="61"/>
    </row>
    <row r="492" ht="15.75" customHeight="1">
      <c r="B492" s="53"/>
      <c r="C492" s="61"/>
      <c r="D492" s="61"/>
      <c r="E492" s="61"/>
      <c r="F492" s="61"/>
      <c r="G492" s="61"/>
    </row>
    <row r="493" ht="15.75" customHeight="1">
      <c r="B493" s="53"/>
      <c r="C493" s="61"/>
      <c r="D493" s="61"/>
      <c r="E493" s="61"/>
      <c r="F493" s="61"/>
      <c r="G493" s="61"/>
    </row>
    <row r="494" ht="15.75" customHeight="1">
      <c r="B494" s="53"/>
      <c r="C494" s="61"/>
      <c r="D494" s="61"/>
      <c r="E494" s="61"/>
      <c r="F494" s="61"/>
      <c r="G494" s="61"/>
    </row>
    <row r="495" ht="15.75" customHeight="1">
      <c r="B495" s="53"/>
      <c r="C495" s="61"/>
      <c r="D495" s="61"/>
      <c r="E495" s="61"/>
      <c r="F495" s="61"/>
      <c r="G495" s="61"/>
    </row>
    <row r="496" ht="15.75" customHeight="1">
      <c r="B496" s="53"/>
      <c r="C496" s="61"/>
      <c r="D496" s="61"/>
      <c r="E496" s="61"/>
      <c r="F496" s="61"/>
      <c r="G496" s="61"/>
    </row>
    <row r="497" ht="15.75" customHeight="1">
      <c r="B497" s="53"/>
      <c r="C497" s="61"/>
      <c r="D497" s="61"/>
      <c r="E497" s="61"/>
      <c r="F497" s="61"/>
      <c r="G497" s="61"/>
    </row>
    <row r="498" ht="15.75" customHeight="1">
      <c r="B498" s="53"/>
      <c r="C498" s="61"/>
      <c r="D498" s="61"/>
      <c r="E498" s="61"/>
      <c r="F498" s="61"/>
      <c r="G498" s="61"/>
    </row>
    <row r="499" ht="15.75" customHeight="1">
      <c r="B499" s="53"/>
      <c r="C499" s="61"/>
      <c r="D499" s="61"/>
      <c r="E499" s="61"/>
      <c r="F499" s="61"/>
      <c r="G499" s="61"/>
    </row>
    <row r="500" ht="15.75" customHeight="1">
      <c r="B500" s="53"/>
      <c r="C500" s="61"/>
      <c r="D500" s="61"/>
      <c r="E500" s="61"/>
      <c r="F500" s="61"/>
      <c r="G500" s="61"/>
    </row>
    <row r="501" ht="15.75" customHeight="1">
      <c r="B501" s="53"/>
      <c r="C501" s="61"/>
      <c r="D501" s="61"/>
      <c r="E501" s="61"/>
      <c r="F501" s="61"/>
      <c r="G501" s="61"/>
    </row>
    <row r="502" ht="15.75" customHeight="1">
      <c r="B502" s="53"/>
      <c r="C502" s="61"/>
      <c r="D502" s="61"/>
      <c r="E502" s="61"/>
      <c r="F502" s="61"/>
      <c r="G502" s="61"/>
    </row>
    <row r="503" ht="15.75" customHeight="1">
      <c r="B503" s="53"/>
      <c r="C503" s="61"/>
      <c r="D503" s="61"/>
      <c r="E503" s="61"/>
      <c r="F503" s="61"/>
      <c r="G503" s="61"/>
    </row>
    <row r="504" ht="15.75" customHeight="1">
      <c r="B504" s="53"/>
      <c r="C504" s="61"/>
      <c r="D504" s="61"/>
      <c r="E504" s="61"/>
      <c r="F504" s="61"/>
      <c r="G504" s="61"/>
    </row>
    <row r="505" ht="15.75" customHeight="1">
      <c r="B505" s="53"/>
      <c r="C505" s="61"/>
      <c r="D505" s="61"/>
      <c r="E505" s="61"/>
      <c r="F505" s="61"/>
      <c r="G505" s="61"/>
    </row>
    <row r="506" ht="15.75" customHeight="1">
      <c r="B506" s="53"/>
      <c r="C506" s="61"/>
      <c r="D506" s="61"/>
      <c r="E506" s="61"/>
      <c r="F506" s="61"/>
      <c r="G506" s="61"/>
    </row>
    <row r="507" ht="15.75" customHeight="1">
      <c r="B507" s="53"/>
      <c r="C507" s="61"/>
      <c r="D507" s="61"/>
      <c r="E507" s="61"/>
      <c r="F507" s="61"/>
      <c r="G507" s="61"/>
    </row>
    <row r="508" ht="15.75" customHeight="1">
      <c r="B508" s="53"/>
      <c r="C508" s="61"/>
      <c r="D508" s="61"/>
      <c r="E508" s="61"/>
      <c r="F508" s="61"/>
      <c r="G508" s="61"/>
    </row>
    <row r="509" ht="15.75" customHeight="1">
      <c r="B509" s="53"/>
      <c r="C509" s="61"/>
      <c r="D509" s="61"/>
      <c r="E509" s="61"/>
      <c r="F509" s="61"/>
      <c r="G509" s="61"/>
    </row>
    <row r="510" ht="15.75" customHeight="1">
      <c r="B510" s="53"/>
      <c r="C510" s="61"/>
      <c r="D510" s="61"/>
      <c r="E510" s="61"/>
      <c r="F510" s="61"/>
      <c r="G510" s="61"/>
    </row>
    <row r="511" ht="15.75" customHeight="1">
      <c r="B511" s="53"/>
      <c r="C511" s="61"/>
      <c r="D511" s="61"/>
      <c r="E511" s="61"/>
      <c r="F511" s="61"/>
      <c r="G511" s="61"/>
    </row>
    <row r="512" ht="15.75" customHeight="1">
      <c r="B512" s="53"/>
      <c r="C512" s="61"/>
      <c r="D512" s="61"/>
      <c r="E512" s="61"/>
      <c r="F512" s="61"/>
      <c r="G512" s="61"/>
    </row>
    <row r="513" ht="15.75" customHeight="1">
      <c r="B513" s="53"/>
      <c r="C513" s="61"/>
      <c r="D513" s="61"/>
      <c r="E513" s="61"/>
      <c r="F513" s="61"/>
      <c r="G513" s="61"/>
    </row>
    <row r="514" ht="15.75" customHeight="1">
      <c r="B514" s="53"/>
      <c r="C514" s="61"/>
      <c r="D514" s="61"/>
      <c r="E514" s="61"/>
      <c r="F514" s="61"/>
      <c r="G514" s="61"/>
    </row>
    <row r="515" ht="15.75" customHeight="1">
      <c r="B515" s="53"/>
      <c r="C515" s="61"/>
      <c r="D515" s="61"/>
      <c r="E515" s="61"/>
      <c r="F515" s="61"/>
      <c r="G515" s="61"/>
    </row>
    <row r="516" ht="15.75" customHeight="1">
      <c r="B516" s="53"/>
      <c r="C516" s="61"/>
      <c r="D516" s="61"/>
      <c r="E516" s="61"/>
      <c r="F516" s="61"/>
      <c r="G516" s="61"/>
    </row>
    <row r="517" ht="15.75" customHeight="1">
      <c r="B517" s="53"/>
      <c r="C517" s="61"/>
      <c r="D517" s="61"/>
      <c r="E517" s="61"/>
      <c r="F517" s="61"/>
      <c r="G517" s="61"/>
    </row>
    <row r="518" ht="15.75" customHeight="1">
      <c r="B518" s="53"/>
      <c r="C518" s="61"/>
      <c r="D518" s="61"/>
      <c r="E518" s="61"/>
      <c r="F518" s="61"/>
      <c r="G518" s="61"/>
    </row>
    <row r="519" ht="15.75" customHeight="1">
      <c r="B519" s="53"/>
      <c r="C519" s="61"/>
      <c r="D519" s="61"/>
      <c r="E519" s="61"/>
      <c r="F519" s="61"/>
      <c r="G519" s="61"/>
    </row>
    <row r="520" ht="15.75" customHeight="1">
      <c r="B520" s="53"/>
      <c r="C520" s="61"/>
      <c r="D520" s="61"/>
      <c r="E520" s="61"/>
      <c r="F520" s="61"/>
      <c r="G520" s="61"/>
    </row>
    <row r="521" ht="15.75" customHeight="1">
      <c r="B521" s="53"/>
      <c r="C521" s="61"/>
      <c r="D521" s="61"/>
      <c r="E521" s="61"/>
      <c r="F521" s="61"/>
      <c r="G521" s="61"/>
    </row>
    <row r="522" ht="15.75" customHeight="1">
      <c r="B522" s="53"/>
      <c r="C522" s="61"/>
      <c r="D522" s="61"/>
      <c r="E522" s="61"/>
      <c r="F522" s="61"/>
      <c r="G522" s="61"/>
    </row>
    <row r="523" ht="15.75" customHeight="1">
      <c r="B523" s="53"/>
      <c r="C523" s="61"/>
      <c r="D523" s="61"/>
      <c r="E523" s="61"/>
      <c r="F523" s="61"/>
      <c r="G523" s="61"/>
    </row>
    <row r="524" ht="15.75" customHeight="1">
      <c r="B524" s="53"/>
      <c r="C524" s="61"/>
      <c r="D524" s="61"/>
      <c r="E524" s="61"/>
      <c r="F524" s="61"/>
      <c r="G524" s="61"/>
    </row>
    <row r="525" ht="15.75" customHeight="1">
      <c r="B525" s="53"/>
      <c r="C525" s="61"/>
      <c r="D525" s="61"/>
      <c r="E525" s="61"/>
      <c r="F525" s="61"/>
      <c r="G525" s="61"/>
    </row>
    <row r="526" ht="15.75" customHeight="1">
      <c r="B526" s="53"/>
      <c r="C526" s="61"/>
      <c r="D526" s="61"/>
      <c r="E526" s="61"/>
      <c r="F526" s="61"/>
      <c r="G526" s="61"/>
    </row>
    <row r="527" ht="15.75" customHeight="1">
      <c r="B527" s="53"/>
      <c r="C527" s="61"/>
      <c r="D527" s="61"/>
      <c r="E527" s="61"/>
      <c r="F527" s="61"/>
      <c r="G527" s="61"/>
    </row>
    <row r="528" ht="15.75" customHeight="1">
      <c r="B528" s="53"/>
      <c r="C528" s="61"/>
      <c r="D528" s="61"/>
      <c r="E528" s="61"/>
      <c r="F528" s="61"/>
      <c r="G528" s="61"/>
    </row>
    <row r="529" ht="15.75" customHeight="1">
      <c r="B529" s="53"/>
      <c r="C529" s="61"/>
      <c r="D529" s="61"/>
      <c r="E529" s="61"/>
      <c r="F529" s="61"/>
      <c r="G529" s="61"/>
    </row>
    <row r="530" ht="15.75" customHeight="1">
      <c r="B530" s="53"/>
      <c r="C530" s="61"/>
      <c r="D530" s="61"/>
      <c r="E530" s="61"/>
      <c r="F530" s="61"/>
      <c r="G530" s="61"/>
    </row>
    <row r="531" ht="15.75" customHeight="1">
      <c r="B531" s="53"/>
      <c r="C531" s="61"/>
      <c r="D531" s="61"/>
      <c r="E531" s="61"/>
      <c r="F531" s="61"/>
      <c r="G531" s="61"/>
    </row>
    <row r="532" ht="15.75" customHeight="1">
      <c r="B532" s="53"/>
      <c r="C532" s="61"/>
      <c r="D532" s="61"/>
      <c r="E532" s="61"/>
      <c r="F532" s="61"/>
      <c r="G532" s="61"/>
    </row>
    <row r="533" ht="15.75" customHeight="1">
      <c r="B533" s="53"/>
      <c r="C533" s="61"/>
      <c r="D533" s="61"/>
      <c r="E533" s="61"/>
      <c r="F533" s="61"/>
      <c r="G533" s="61"/>
    </row>
    <row r="534" ht="15.75" customHeight="1">
      <c r="B534" s="53"/>
      <c r="C534" s="61"/>
      <c r="D534" s="61"/>
      <c r="E534" s="61"/>
      <c r="F534" s="61"/>
      <c r="G534" s="61"/>
    </row>
    <row r="535" ht="15.75" customHeight="1">
      <c r="B535" s="53"/>
      <c r="C535" s="61"/>
      <c r="D535" s="61"/>
      <c r="E535" s="61"/>
      <c r="F535" s="61"/>
      <c r="G535" s="61"/>
    </row>
    <row r="536" ht="15.75" customHeight="1">
      <c r="B536" s="53"/>
      <c r="C536" s="61"/>
      <c r="D536" s="61"/>
      <c r="E536" s="61"/>
      <c r="F536" s="61"/>
      <c r="G536" s="61"/>
    </row>
    <row r="537" ht="15.75" customHeight="1">
      <c r="B537" s="53"/>
      <c r="C537" s="61"/>
      <c r="D537" s="61"/>
      <c r="E537" s="61"/>
      <c r="F537" s="61"/>
      <c r="G537" s="61"/>
    </row>
    <row r="538" ht="15.75" customHeight="1">
      <c r="B538" s="53"/>
      <c r="C538" s="61"/>
      <c r="D538" s="61"/>
      <c r="E538" s="61"/>
      <c r="F538" s="61"/>
      <c r="G538" s="61"/>
    </row>
    <row r="539" ht="15.75" customHeight="1">
      <c r="B539" s="53"/>
      <c r="C539" s="61"/>
      <c r="D539" s="61"/>
      <c r="E539" s="61"/>
      <c r="F539" s="61"/>
      <c r="G539" s="61"/>
    </row>
    <row r="540" ht="15.75" customHeight="1">
      <c r="B540" s="53"/>
      <c r="C540" s="61"/>
      <c r="D540" s="61"/>
      <c r="E540" s="61"/>
      <c r="F540" s="61"/>
      <c r="G540" s="61"/>
    </row>
    <row r="541" ht="15.75" customHeight="1">
      <c r="C541" s="61"/>
      <c r="D541" s="61"/>
      <c r="E541" s="61"/>
      <c r="F541" s="61"/>
      <c r="G541" s="61"/>
    </row>
    <row r="542" ht="15.75" customHeight="1">
      <c r="C542" s="61"/>
      <c r="D542" s="61"/>
      <c r="E542" s="61"/>
      <c r="F542" s="61"/>
      <c r="G542" s="61"/>
    </row>
    <row r="543" ht="15.75" customHeight="1">
      <c r="C543" s="61"/>
      <c r="D543" s="61"/>
      <c r="E543" s="61"/>
      <c r="F543" s="61"/>
      <c r="G543" s="61"/>
    </row>
    <row r="544" ht="15.75" customHeight="1">
      <c r="C544" s="61"/>
      <c r="D544" s="61"/>
      <c r="E544" s="61"/>
      <c r="F544" s="61"/>
      <c r="G544" s="61"/>
    </row>
    <row r="545" ht="15.75" customHeight="1">
      <c r="C545" s="61"/>
      <c r="D545" s="61"/>
      <c r="E545" s="61"/>
      <c r="F545" s="61"/>
      <c r="G545" s="61"/>
    </row>
    <row r="546" ht="15.75" customHeight="1">
      <c r="C546" s="61"/>
      <c r="D546" s="61"/>
      <c r="E546" s="61"/>
      <c r="F546" s="61"/>
      <c r="G546" s="61"/>
    </row>
    <row r="547" ht="15.75" customHeight="1">
      <c r="C547" s="61"/>
      <c r="D547" s="61"/>
      <c r="E547" s="61"/>
      <c r="F547" s="61"/>
      <c r="G547" s="61"/>
    </row>
    <row r="548" ht="15.75" customHeight="1">
      <c r="C548" s="61"/>
      <c r="D548" s="61"/>
      <c r="E548" s="61"/>
      <c r="F548" s="61"/>
      <c r="G548" s="61"/>
    </row>
    <row r="549" ht="15.75" customHeight="1">
      <c r="C549" s="61"/>
      <c r="D549" s="61"/>
      <c r="E549" s="61"/>
      <c r="F549" s="61"/>
      <c r="G549" s="61"/>
    </row>
    <row r="550" ht="15.75" customHeight="1">
      <c r="C550" s="61"/>
      <c r="D550" s="61"/>
      <c r="E550" s="61"/>
      <c r="F550" s="61"/>
      <c r="G550" s="61"/>
    </row>
    <row r="551" ht="15.75" customHeight="1">
      <c r="C551" s="61"/>
      <c r="D551" s="61"/>
      <c r="E551" s="61"/>
      <c r="F551" s="61"/>
      <c r="G551" s="61"/>
    </row>
    <row r="552" ht="15.75" customHeight="1">
      <c r="C552" s="61"/>
      <c r="D552" s="61"/>
      <c r="E552" s="61"/>
      <c r="F552" s="61"/>
      <c r="G552" s="61"/>
    </row>
    <row r="553" ht="15.75" customHeight="1">
      <c r="C553" s="61"/>
      <c r="D553" s="61"/>
      <c r="E553" s="61"/>
      <c r="F553" s="61"/>
      <c r="G553" s="61"/>
    </row>
    <row r="554" ht="15.75" customHeight="1">
      <c r="C554" s="61"/>
      <c r="D554" s="61"/>
      <c r="E554" s="61"/>
      <c r="F554" s="61"/>
      <c r="G554" s="61"/>
    </row>
    <row r="555" ht="15.75" customHeight="1">
      <c r="C555" s="61"/>
      <c r="D555" s="61"/>
      <c r="E555" s="61"/>
      <c r="F555" s="61"/>
      <c r="G555" s="61"/>
    </row>
    <row r="556" ht="15.75" customHeight="1">
      <c r="C556" s="61"/>
      <c r="D556" s="61"/>
      <c r="E556" s="61"/>
      <c r="F556" s="61"/>
      <c r="G556" s="61"/>
    </row>
    <row r="557" ht="15.75" customHeight="1">
      <c r="C557" s="61"/>
      <c r="D557" s="61"/>
      <c r="E557" s="61"/>
      <c r="F557" s="61"/>
      <c r="G557" s="61"/>
    </row>
    <row r="558" ht="15.75" customHeight="1">
      <c r="C558" s="61"/>
      <c r="D558" s="61"/>
      <c r="E558" s="61"/>
      <c r="F558" s="61"/>
      <c r="G558" s="61"/>
    </row>
    <row r="559" ht="15.75" customHeight="1">
      <c r="C559" s="61"/>
      <c r="D559" s="61"/>
      <c r="E559" s="61"/>
      <c r="F559" s="61"/>
      <c r="G559" s="61"/>
    </row>
    <row r="560" ht="15.75" customHeight="1">
      <c r="C560" s="61"/>
      <c r="D560" s="61"/>
      <c r="E560" s="61"/>
      <c r="F560" s="61"/>
      <c r="G560" s="61"/>
    </row>
    <row r="561" ht="15.75" customHeight="1">
      <c r="C561" s="61"/>
      <c r="D561" s="61"/>
      <c r="E561" s="61"/>
      <c r="F561" s="61"/>
      <c r="G561" s="61"/>
    </row>
    <row r="562" ht="15.75" customHeight="1">
      <c r="C562" s="61"/>
      <c r="D562" s="61"/>
      <c r="E562" s="61"/>
      <c r="F562" s="61"/>
      <c r="G562" s="61"/>
    </row>
    <row r="563" ht="15.75" customHeight="1">
      <c r="C563" s="61"/>
      <c r="D563" s="61"/>
      <c r="E563" s="61"/>
      <c r="F563" s="61"/>
      <c r="G563" s="61"/>
    </row>
    <row r="564" ht="15.75" customHeight="1">
      <c r="C564" s="61"/>
      <c r="D564" s="61"/>
      <c r="E564" s="61"/>
      <c r="F564" s="61"/>
      <c r="G564" s="61"/>
    </row>
    <row r="565" ht="15.75" customHeight="1">
      <c r="C565" s="61"/>
      <c r="D565" s="61"/>
      <c r="E565" s="61"/>
      <c r="F565" s="61"/>
      <c r="G565" s="61"/>
    </row>
    <row r="566" ht="15.75" customHeight="1">
      <c r="C566" s="61"/>
      <c r="D566" s="61"/>
      <c r="E566" s="61"/>
      <c r="F566" s="61"/>
      <c r="G566" s="61"/>
    </row>
    <row r="567" ht="15.75" customHeight="1">
      <c r="C567" s="61"/>
      <c r="D567" s="61"/>
      <c r="E567" s="61"/>
      <c r="F567" s="61"/>
      <c r="G567" s="61"/>
    </row>
    <row r="568" ht="15.75" customHeight="1">
      <c r="C568" s="61"/>
      <c r="D568" s="61"/>
      <c r="E568" s="61"/>
      <c r="F568" s="61"/>
      <c r="G568" s="61"/>
    </row>
    <row r="569" ht="15.75" customHeight="1">
      <c r="C569" s="61"/>
      <c r="D569" s="61"/>
      <c r="E569" s="61"/>
      <c r="F569" s="61"/>
      <c r="G569" s="61"/>
    </row>
    <row r="570" ht="15.75" customHeight="1">
      <c r="C570" s="61"/>
      <c r="D570" s="61"/>
      <c r="E570" s="61"/>
      <c r="F570" s="61"/>
      <c r="G570" s="61"/>
    </row>
    <row r="571" ht="15.75" customHeight="1">
      <c r="C571" s="61"/>
      <c r="D571" s="61"/>
      <c r="E571" s="61"/>
      <c r="F571" s="61"/>
      <c r="G571" s="61"/>
    </row>
    <row r="572" ht="15.75" customHeight="1">
      <c r="C572" s="61"/>
      <c r="D572" s="61"/>
      <c r="E572" s="61"/>
      <c r="F572" s="61"/>
      <c r="G572" s="61"/>
    </row>
    <row r="573" ht="15.75" customHeight="1">
      <c r="C573" s="61"/>
      <c r="D573" s="61"/>
      <c r="E573" s="61"/>
      <c r="F573" s="61"/>
      <c r="G573" s="61"/>
    </row>
    <row r="574" ht="15.75" customHeight="1">
      <c r="C574" s="61"/>
      <c r="D574" s="61"/>
      <c r="E574" s="61"/>
      <c r="F574" s="61"/>
      <c r="G574" s="61"/>
    </row>
    <row r="575" ht="15.75" customHeight="1">
      <c r="C575" s="61"/>
      <c r="D575" s="61"/>
      <c r="E575" s="61"/>
      <c r="F575" s="61"/>
      <c r="G575" s="61"/>
    </row>
    <row r="576" ht="15.75" customHeight="1">
      <c r="C576" s="61"/>
      <c r="D576" s="61"/>
      <c r="E576" s="61"/>
      <c r="F576" s="61"/>
      <c r="G576" s="61"/>
    </row>
    <row r="577" ht="15.75" customHeight="1">
      <c r="C577" s="61"/>
      <c r="D577" s="61"/>
      <c r="E577" s="61"/>
      <c r="F577" s="61"/>
      <c r="G577" s="61"/>
    </row>
    <row r="578" ht="15.75" customHeight="1">
      <c r="C578" s="61"/>
      <c r="D578" s="61"/>
      <c r="E578" s="61"/>
      <c r="F578" s="61"/>
      <c r="G578" s="61"/>
    </row>
    <row r="579" ht="15.75" customHeight="1">
      <c r="C579" s="61"/>
      <c r="D579" s="61"/>
      <c r="E579" s="61"/>
      <c r="F579" s="61"/>
      <c r="G579" s="61"/>
    </row>
    <row r="580" ht="15.75" customHeight="1">
      <c r="C580" s="61"/>
      <c r="D580" s="61"/>
      <c r="E580" s="61"/>
      <c r="F580" s="61"/>
      <c r="G580" s="61"/>
    </row>
    <row r="581" ht="15.75" customHeight="1">
      <c r="C581" s="61"/>
      <c r="D581" s="61"/>
      <c r="E581" s="61"/>
      <c r="F581" s="61"/>
      <c r="G581" s="61"/>
    </row>
    <row r="582" ht="15.75" customHeight="1">
      <c r="C582" s="61"/>
      <c r="D582" s="61"/>
      <c r="E582" s="61"/>
      <c r="F582" s="61"/>
      <c r="G582" s="61"/>
    </row>
    <row r="583" ht="15.75" customHeight="1">
      <c r="C583" s="61"/>
      <c r="D583" s="61"/>
      <c r="E583" s="61"/>
      <c r="F583" s="61"/>
      <c r="G583" s="61"/>
    </row>
    <row r="584" ht="15.75" customHeight="1">
      <c r="C584" s="61"/>
      <c r="D584" s="61"/>
      <c r="E584" s="61"/>
      <c r="F584" s="61"/>
      <c r="G584" s="61"/>
    </row>
    <row r="585" ht="15.75" customHeight="1">
      <c r="C585" s="61"/>
      <c r="D585" s="61"/>
      <c r="E585" s="61"/>
      <c r="F585" s="61"/>
      <c r="G585" s="61"/>
    </row>
    <row r="586" ht="15.75" customHeight="1">
      <c r="C586" s="61"/>
      <c r="D586" s="61"/>
      <c r="E586" s="61"/>
      <c r="F586" s="61"/>
      <c r="G586" s="61"/>
    </row>
    <row r="587" ht="15.75" customHeight="1">
      <c r="C587" s="61"/>
      <c r="D587" s="61"/>
      <c r="E587" s="61"/>
      <c r="F587" s="61"/>
      <c r="G587" s="61"/>
    </row>
    <row r="588" ht="15.75" customHeight="1">
      <c r="C588" s="61"/>
      <c r="D588" s="61"/>
      <c r="E588" s="61"/>
      <c r="F588" s="61"/>
      <c r="G588" s="61"/>
    </row>
    <row r="589" ht="15.75" customHeight="1">
      <c r="C589" s="61"/>
      <c r="D589" s="61"/>
      <c r="E589" s="61"/>
      <c r="F589" s="61"/>
      <c r="G589" s="61"/>
    </row>
    <row r="590" ht="15.75" customHeight="1">
      <c r="C590" s="61"/>
      <c r="D590" s="61"/>
      <c r="E590" s="61"/>
      <c r="F590" s="61"/>
      <c r="G590" s="61"/>
    </row>
    <row r="591" ht="15.75" customHeight="1">
      <c r="C591" s="61"/>
      <c r="D591" s="61"/>
      <c r="E591" s="61"/>
      <c r="F591" s="61"/>
      <c r="G591" s="61"/>
    </row>
    <row r="592" ht="15.75" customHeight="1">
      <c r="C592" s="61"/>
      <c r="D592" s="61"/>
      <c r="E592" s="61"/>
      <c r="F592" s="61"/>
      <c r="G592" s="61"/>
    </row>
    <row r="593" ht="15.75" customHeight="1">
      <c r="C593" s="61"/>
      <c r="D593" s="61"/>
      <c r="E593" s="61"/>
      <c r="F593" s="61"/>
      <c r="G593" s="61"/>
    </row>
    <row r="594" ht="15.75" customHeight="1">
      <c r="C594" s="61"/>
      <c r="D594" s="61"/>
      <c r="E594" s="61"/>
      <c r="F594" s="61"/>
      <c r="G594" s="61"/>
    </row>
    <row r="595" ht="15.75" customHeight="1">
      <c r="C595" s="61"/>
      <c r="D595" s="61"/>
      <c r="E595" s="61"/>
      <c r="F595" s="61"/>
      <c r="G595" s="61"/>
    </row>
    <row r="596" ht="15.75" customHeight="1">
      <c r="C596" s="61"/>
      <c r="D596" s="61"/>
      <c r="E596" s="61"/>
      <c r="F596" s="61"/>
      <c r="G596" s="61"/>
    </row>
    <row r="597" ht="15.75" customHeight="1">
      <c r="C597" s="61"/>
      <c r="D597" s="61"/>
      <c r="E597" s="61"/>
      <c r="F597" s="61"/>
      <c r="G597" s="61"/>
    </row>
    <row r="598" ht="15.75" customHeight="1">
      <c r="C598" s="61"/>
      <c r="D598" s="61"/>
      <c r="E598" s="61"/>
      <c r="F598" s="61"/>
      <c r="G598" s="61"/>
    </row>
    <row r="599" ht="15.75" customHeight="1">
      <c r="C599" s="61"/>
      <c r="D599" s="61"/>
      <c r="E599" s="61"/>
      <c r="F599" s="61"/>
      <c r="G599" s="61"/>
    </row>
    <row r="600" ht="15.75" customHeight="1">
      <c r="C600" s="61"/>
      <c r="D600" s="61"/>
      <c r="E600" s="61"/>
      <c r="F600" s="61"/>
      <c r="G600" s="61"/>
    </row>
    <row r="601" ht="15.75" customHeight="1">
      <c r="C601" s="61"/>
      <c r="D601" s="61"/>
      <c r="E601" s="61"/>
      <c r="F601" s="61"/>
      <c r="G601" s="61"/>
    </row>
    <row r="602" ht="15.75" customHeight="1">
      <c r="C602" s="61"/>
      <c r="D602" s="61"/>
      <c r="E602" s="61"/>
      <c r="F602" s="61"/>
      <c r="G602" s="61"/>
    </row>
    <row r="603" ht="15.75" customHeight="1">
      <c r="C603" s="61"/>
      <c r="D603" s="61"/>
      <c r="E603" s="61"/>
      <c r="F603" s="61"/>
      <c r="G603" s="61"/>
    </row>
    <row r="604" ht="15.75" customHeight="1">
      <c r="C604" s="61"/>
      <c r="D604" s="61"/>
      <c r="E604" s="61"/>
      <c r="F604" s="61"/>
      <c r="G604" s="61"/>
    </row>
    <row r="605" ht="15.75" customHeight="1">
      <c r="C605" s="61"/>
      <c r="D605" s="61"/>
      <c r="E605" s="61"/>
      <c r="F605" s="61"/>
      <c r="G605" s="61"/>
    </row>
    <row r="606" ht="15.75" customHeight="1">
      <c r="C606" s="61"/>
      <c r="D606" s="61"/>
      <c r="E606" s="61"/>
      <c r="F606" s="61"/>
      <c r="G606" s="61"/>
    </row>
    <row r="607" ht="15.75" customHeight="1">
      <c r="C607" s="61"/>
      <c r="D607" s="61"/>
      <c r="E607" s="61"/>
      <c r="F607" s="61"/>
      <c r="G607" s="61"/>
    </row>
    <row r="608" ht="15.75" customHeight="1">
      <c r="C608" s="61"/>
      <c r="D608" s="61"/>
      <c r="E608" s="61"/>
      <c r="F608" s="61"/>
      <c r="G608" s="61"/>
    </row>
    <row r="609" ht="15.75" customHeight="1">
      <c r="C609" s="61"/>
      <c r="D609" s="61"/>
      <c r="E609" s="61"/>
      <c r="F609" s="61"/>
      <c r="G609" s="61"/>
    </row>
    <row r="610" ht="15.75" customHeight="1">
      <c r="C610" s="61"/>
      <c r="D610" s="61"/>
      <c r="E610" s="61"/>
      <c r="F610" s="61"/>
      <c r="G610" s="61"/>
    </row>
    <row r="611" ht="15.75" customHeight="1">
      <c r="C611" s="61"/>
      <c r="D611" s="61"/>
      <c r="E611" s="61"/>
      <c r="F611" s="61"/>
      <c r="G611" s="61"/>
    </row>
    <row r="612" ht="15.75" customHeight="1">
      <c r="C612" s="61"/>
      <c r="D612" s="61"/>
      <c r="E612" s="61"/>
      <c r="F612" s="61"/>
      <c r="G612" s="61"/>
    </row>
    <row r="613" ht="15.75" customHeight="1">
      <c r="C613" s="61"/>
      <c r="D613" s="61"/>
      <c r="E613" s="61"/>
      <c r="F613" s="61"/>
      <c r="G613" s="61"/>
    </row>
    <row r="614" ht="15.75" customHeight="1">
      <c r="C614" s="61"/>
      <c r="D614" s="61"/>
      <c r="E614" s="61"/>
      <c r="F614" s="61"/>
      <c r="G614" s="61"/>
    </row>
    <row r="615" ht="15.75" customHeight="1">
      <c r="C615" s="61"/>
      <c r="D615" s="61"/>
      <c r="E615" s="61"/>
      <c r="F615" s="61"/>
      <c r="G615" s="61"/>
    </row>
    <row r="616" ht="15.75" customHeight="1">
      <c r="C616" s="61"/>
      <c r="D616" s="61"/>
      <c r="E616" s="61"/>
      <c r="F616" s="61"/>
      <c r="G616" s="61"/>
    </row>
    <row r="617" ht="15.75" customHeight="1">
      <c r="C617" s="61"/>
      <c r="D617" s="61"/>
      <c r="E617" s="61"/>
      <c r="F617" s="61"/>
      <c r="G617" s="61"/>
    </row>
    <row r="618" ht="15.75" customHeight="1">
      <c r="C618" s="61"/>
      <c r="D618" s="61"/>
      <c r="E618" s="61"/>
      <c r="F618" s="61"/>
      <c r="G618" s="61"/>
    </row>
    <row r="619" ht="15.75" customHeight="1">
      <c r="C619" s="61"/>
      <c r="D619" s="61"/>
      <c r="E619" s="61"/>
      <c r="F619" s="61"/>
      <c r="G619" s="61"/>
    </row>
    <row r="620" ht="15.75" customHeight="1">
      <c r="C620" s="61"/>
      <c r="D620" s="61"/>
      <c r="E620" s="61"/>
      <c r="F620" s="61"/>
      <c r="G620" s="61"/>
    </row>
    <row r="621" ht="15.75" customHeight="1">
      <c r="C621" s="61"/>
      <c r="D621" s="61"/>
      <c r="E621" s="61"/>
      <c r="F621" s="61"/>
      <c r="G621" s="61"/>
    </row>
    <row r="622" ht="15.75" customHeight="1">
      <c r="C622" s="61"/>
      <c r="D622" s="61"/>
      <c r="E622" s="61"/>
      <c r="F622" s="61"/>
      <c r="G622" s="61"/>
    </row>
    <row r="623" ht="15.75" customHeight="1">
      <c r="C623" s="61"/>
      <c r="D623" s="61"/>
      <c r="E623" s="61"/>
      <c r="F623" s="61"/>
      <c r="G623" s="61"/>
    </row>
    <row r="624" ht="15.75" customHeight="1">
      <c r="C624" s="61"/>
      <c r="D624" s="61"/>
      <c r="E624" s="61"/>
      <c r="F624" s="61"/>
      <c r="G624" s="61"/>
    </row>
    <row r="625" ht="15.75" customHeight="1">
      <c r="C625" s="61"/>
      <c r="D625" s="61"/>
      <c r="E625" s="61"/>
      <c r="F625" s="61"/>
      <c r="G625" s="61"/>
    </row>
    <row r="626" ht="15.75" customHeight="1">
      <c r="C626" s="61"/>
      <c r="D626" s="61"/>
      <c r="E626" s="61"/>
      <c r="F626" s="61"/>
      <c r="G626" s="61"/>
    </row>
    <row r="627" ht="15.75" customHeight="1">
      <c r="C627" s="61"/>
      <c r="D627" s="61"/>
      <c r="E627" s="61"/>
      <c r="F627" s="61"/>
      <c r="G627" s="61"/>
    </row>
    <row r="628" ht="15.75" customHeight="1">
      <c r="C628" s="61"/>
      <c r="D628" s="61"/>
      <c r="E628" s="61"/>
      <c r="F628" s="61"/>
      <c r="G628" s="61"/>
    </row>
    <row r="629" ht="15.75" customHeight="1">
      <c r="C629" s="61"/>
      <c r="D629" s="61"/>
      <c r="E629" s="61"/>
      <c r="F629" s="61"/>
      <c r="G629" s="61"/>
    </row>
    <row r="630" ht="15.75" customHeight="1">
      <c r="C630" s="61"/>
      <c r="D630" s="61"/>
      <c r="E630" s="61"/>
      <c r="F630" s="61"/>
      <c r="G630" s="61"/>
    </row>
    <row r="631" ht="15.75" customHeight="1">
      <c r="C631" s="61"/>
      <c r="D631" s="61"/>
      <c r="E631" s="61"/>
      <c r="F631" s="61"/>
      <c r="G631" s="61"/>
    </row>
    <row r="632" ht="15.75" customHeight="1">
      <c r="C632" s="61"/>
      <c r="D632" s="61"/>
      <c r="E632" s="61"/>
      <c r="F632" s="61"/>
      <c r="G632" s="61"/>
    </row>
    <row r="633" ht="15.75" customHeight="1">
      <c r="C633" s="61"/>
      <c r="D633" s="61"/>
      <c r="E633" s="61"/>
      <c r="F633" s="61"/>
      <c r="G633" s="61"/>
    </row>
    <row r="634" ht="15.75" customHeight="1">
      <c r="C634" s="61"/>
      <c r="D634" s="61"/>
      <c r="E634" s="61"/>
      <c r="F634" s="61"/>
      <c r="G634" s="61"/>
    </row>
    <row r="635" ht="15.75" customHeight="1">
      <c r="C635" s="61"/>
      <c r="D635" s="61"/>
      <c r="E635" s="61"/>
      <c r="F635" s="61"/>
      <c r="G635" s="61"/>
    </row>
    <row r="636" ht="15.75" customHeight="1">
      <c r="C636" s="61"/>
      <c r="D636" s="61"/>
      <c r="E636" s="61"/>
      <c r="F636" s="61"/>
      <c r="G636" s="61"/>
    </row>
    <row r="637" ht="15.75" customHeight="1">
      <c r="C637" s="61"/>
      <c r="D637" s="61"/>
      <c r="E637" s="61"/>
      <c r="F637" s="61"/>
      <c r="G637" s="61"/>
    </row>
    <row r="638" ht="15.75" customHeight="1">
      <c r="C638" s="61"/>
      <c r="D638" s="61"/>
      <c r="E638" s="61"/>
      <c r="F638" s="61"/>
      <c r="G638" s="61"/>
    </row>
    <row r="639" ht="15.75" customHeight="1">
      <c r="C639" s="61"/>
      <c r="D639" s="61"/>
      <c r="E639" s="61"/>
      <c r="F639" s="61"/>
      <c r="G639" s="61"/>
    </row>
    <row r="640" ht="15.75" customHeight="1">
      <c r="C640" s="61"/>
      <c r="D640" s="61"/>
      <c r="E640" s="61"/>
      <c r="F640" s="61"/>
      <c r="G640" s="61"/>
    </row>
    <row r="641" ht="15.75" customHeight="1">
      <c r="C641" s="61"/>
      <c r="D641" s="61"/>
      <c r="E641" s="61"/>
      <c r="F641" s="61"/>
      <c r="G641" s="61"/>
    </row>
    <row r="642" ht="15.75" customHeight="1">
      <c r="C642" s="61"/>
      <c r="D642" s="61"/>
      <c r="E642" s="61"/>
      <c r="F642" s="61"/>
      <c r="G642" s="61"/>
    </row>
    <row r="643" ht="15.75" customHeight="1">
      <c r="C643" s="61"/>
      <c r="D643" s="61"/>
      <c r="E643" s="61"/>
      <c r="F643" s="61"/>
      <c r="G643" s="61"/>
    </row>
    <row r="644" ht="15.75" customHeight="1">
      <c r="C644" s="61"/>
      <c r="D644" s="61"/>
      <c r="E644" s="61"/>
      <c r="F644" s="61"/>
      <c r="G644" s="61"/>
    </row>
    <row r="645" ht="15.75" customHeight="1">
      <c r="C645" s="61"/>
      <c r="D645" s="61"/>
      <c r="E645" s="61"/>
      <c r="F645" s="61"/>
      <c r="G645" s="61"/>
    </row>
    <row r="646" ht="15.75" customHeight="1">
      <c r="C646" s="61"/>
      <c r="D646" s="61"/>
      <c r="E646" s="61"/>
      <c r="F646" s="61"/>
      <c r="G646" s="61"/>
    </row>
    <row r="647" ht="15.75" customHeight="1">
      <c r="C647" s="61"/>
      <c r="D647" s="61"/>
      <c r="E647" s="61"/>
      <c r="F647" s="61"/>
      <c r="G647" s="61"/>
    </row>
    <row r="648" ht="15.75" customHeight="1">
      <c r="C648" s="61"/>
      <c r="D648" s="61"/>
      <c r="E648" s="61"/>
      <c r="F648" s="61"/>
      <c r="G648" s="61"/>
    </row>
    <row r="649" ht="15.75" customHeight="1">
      <c r="C649" s="61"/>
      <c r="D649" s="61"/>
      <c r="E649" s="61"/>
      <c r="F649" s="61"/>
      <c r="G649" s="61"/>
    </row>
    <row r="650" ht="15.75" customHeight="1">
      <c r="C650" s="61"/>
      <c r="D650" s="61"/>
      <c r="E650" s="61"/>
      <c r="F650" s="61"/>
      <c r="G650" s="61"/>
    </row>
    <row r="651" ht="15.75" customHeight="1">
      <c r="C651" s="61"/>
      <c r="D651" s="61"/>
      <c r="E651" s="61"/>
      <c r="F651" s="61"/>
      <c r="G651" s="61"/>
    </row>
    <row r="652" ht="15.75" customHeight="1">
      <c r="C652" s="61"/>
      <c r="D652" s="61"/>
      <c r="E652" s="61"/>
      <c r="F652" s="61"/>
      <c r="G652" s="61"/>
    </row>
    <row r="653" ht="15.75" customHeight="1">
      <c r="C653" s="61"/>
      <c r="D653" s="61"/>
      <c r="E653" s="61"/>
      <c r="F653" s="61"/>
      <c r="G653" s="61"/>
    </row>
    <row r="654" ht="15.75" customHeight="1">
      <c r="C654" s="61"/>
      <c r="D654" s="61"/>
      <c r="E654" s="61"/>
      <c r="F654" s="61"/>
      <c r="G654" s="61"/>
    </row>
    <row r="655" ht="15.75" customHeight="1">
      <c r="C655" s="61"/>
      <c r="D655" s="61"/>
      <c r="E655" s="61"/>
      <c r="F655" s="61"/>
      <c r="G655" s="61"/>
    </row>
    <row r="656" ht="15.75" customHeight="1">
      <c r="C656" s="61"/>
      <c r="D656" s="61"/>
      <c r="E656" s="61"/>
      <c r="F656" s="61"/>
      <c r="G656" s="61"/>
    </row>
    <row r="657" ht="15.75" customHeight="1">
      <c r="C657" s="61"/>
      <c r="D657" s="61"/>
      <c r="E657" s="61"/>
      <c r="F657" s="61"/>
      <c r="G657" s="61"/>
    </row>
    <row r="658" ht="15.75" customHeight="1">
      <c r="C658" s="61"/>
      <c r="D658" s="61"/>
      <c r="E658" s="61"/>
      <c r="F658" s="61"/>
      <c r="G658" s="61"/>
    </row>
    <row r="659" ht="15.75" customHeight="1">
      <c r="C659" s="61"/>
      <c r="D659" s="61"/>
      <c r="E659" s="61"/>
      <c r="F659" s="61"/>
      <c r="G659" s="61"/>
    </row>
    <row r="660" ht="15.75" customHeight="1">
      <c r="C660" s="61"/>
      <c r="D660" s="61"/>
      <c r="E660" s="61"/>
      <c r="F660" s="61"/>
      <c r="G660" s="61"/>
    </row>
    <row r="661" ht="15.75" customHeight="1">
      <c r="C661" s="61"/>
      <c r="D661" s="61"/>
      <c r="E661" s="61"/>
      <c r="F661" s="61"/>
      <c r="G661" s="61"/>
    </row>
    <row r="662" ht="15.75" customHeight="1">
      <c r="C662" s="61"/>
      <c r="D662" s="61"/>
      <c r="E662" s="61"/>
      <c r="F662" s="61"/>
      <c r="G662" s="61"/>
    </row>
    <row r="663" ht="15.75" customHeight="1">
      <c r="C663" s="61"/>
      <c r="D663" s="61"/>
      <c r="E663" s="61"/>
      <c r="F663" s="61"/>
      <c r="G663" s="61"/>
    </row>
    <row r="664" ht="15.75" customHeight="1">
      <c r="C664" s="61"/>
      <c r="D664" s="61"/>
      <c r="E664" s="61"/>
      <c r="F664" s="61"/>
      <c r="G664" s="61"/>
    </row>
    <row r="665" ht="15.75" customHeight="1">
      <c r="C665" s="61"/>
      <c r="D665" s="61"/>
      <c r="E665" s="61"/>
      <c r="F665" s="61"/>
      <c r="G665" s="61"/>
    </row>
    <row r="666" ht="15.75" customHeight="1">
      <c r="C666" s="61"/>
      <c r="D666" s="61"/>
      <c r="E666" s="61"/>
      <c r="F666" s="61"/>
      <c r="G666" s="61"/>
    </row>
    <row r="667" ht="15.75" customHeight="1">
      <c r="C667" s="61"/>
      <c r="D667" s="61"/>
      <c r="E667" s="61"/>
      <c r="F667" s="61"/>
      <c r="G667" s="61"/>
    </row>
    <row r="668" ht="15.75" customHeight="1">
      <c r="C668" s="61"/>
      <c r="D668" s="61"/>
      <c r="E668" s="61"/>
      <c r="F668" s="61"/>
      <c r="G668" s="61"/>
    </row>
    <row r="669" ht="15.75" customHeight="1">
      <c r="C669" s="61"/>
      <c r="D669" s="61"/>
      <c r="E669" s="61"/>
      <c r="F669" s="61"/>
      <c r="G669" s="61"/>
    </row>
    <row r="670" ht="15.75" customHeight="1">
      <c r="C670" s="61"/>
      <c r="D670" s="61"/>
      <c r="E670" s="61"/>
      <c r="F670" s="61"/>
      <c r="G670" s="61"/>
    </row>
    <row r="671" ht="15.75" customHeight="1">
      <c r="C671" s="61"/>
      <c r="D671" s="61"/>
      <c r="E671" s="61"/>
      <c r="F671" s="61"/>
      <c r="G671" s="61"/>
    </row>
    <row r="672" ht="15.75" customHeight="1">
      <c r="C672" s="61"/>
      <c r="D672" s="61"/>
      <c r="E672" s="61"/>
      <c r="F672" s="61"/>
      <c r="G672" s="61"/>
    </row>
    <row r="673" ht="15.75" customHeight="1">
      <c r="C673" s="61"/>
      <c r="D673" s="61"/>
      <c r="E673" s="61"/>
      <c r="F673" s="61"/>
      <c r="G673" s="61"/>
    </row>
    <row r="674" ht="15.75" customHeight="1">
      <c r="C674" s="61"/>
      <c r="D674" s="61"/>
      <c r="E674" s="61"/>
      <c r="F674" s="61"/>
      <c r="G674" s="61"/>
    </row>
    <row r="675" ht="15.75" customHeight="1">
      <c r="C675" s="61"/>
      <c r="D675" s="61"/>
      <c r="E675" s="61"/>
      <c r="F675" s="61"/>
      <c r="G675" s="61"/>
    </row>
    <row r="676" ht="15.75" customHeight="1">
      <c r="C676" s="61"/>
      <c r="D676" s="61"/>
      <c r="E676" s="61"/>
      <c r="F676" s="61"/>
      <c r="G676" s="61"/>
    </row>
    <row r="677" ht="15.75" customHeight="1">
      <c r="C677" s="61"/>
      <c r="D677" s="61"/>
      <c r="E677" s="61"/>
      <c r="F677" s="61"/>
      <c r="G677" s="61"/>
    </row>
    <row r="678" ht="15.75" customHeight="1">
      <c r="C678" s="61"/>
      <c r="D678" s="61"/>
      <c r="E678" s="61"/>
      <c r="F678" s="61"/>
      <c r="G678" s="61"/>
    </row>
    <row r="679" ht="15.75" customHeight="1">
      <c r="C679" s="61"/>
      <c r="D679" s="61"/>
      <c r="E679" s="61"/>
      <c r="F679" s="61"/>
      <c r="G679" s="61"/>
    </row>
    <row r="680" ht="15.75" customHeight="1">
      <c r="C680" s="61"/>
      <c r="D680" s="61"/>
      <c r="E680" s="61"/>
      <c r="F680" s="61"/>
      <c r="G680" s="61"/>
    </row>
    <row r="681" ht="15.75" customHeight="1">
      <c r="C681" s="61"/>
      <c r="D681" s="61"/>
      <c r="E681" s="61"/>
      <c r="F681" s="61"/>
      <c r="G681" s="61"/>
    </row>
    <row r="682" ht="15.75" customHeight="1">
      <c r="C682" s="61"/>
      <c r="D682" s="61"/>
      <c r="E682" s="61"/>
      <c r="F682" s="61"/>
      <c r="G682" s="61"/>
    </row>
    <row r="683" ht="15.75" customHeight="1">
      <c r="C683" s="61"/>
      <c r="D683" s="61"/>
      <c r="E683" s="61"/>
      <c r="F683" s="61"/>
      <c r="G683" s="61"/>
    </row>
    <row r="684" ht="15.75" customHeight="1">
      <c r="C684" s="61"/>
      <c r="D684" s="61"/>
      <c r="E684" s="61"/>
      <c r="F684" s="61"/>
      <c r="G684" s="61"/>
    </row>
    <row r="685" ht="15.75" customHeight="1">
      <c r="C685" s="61"/>
      <c r="D685" s="61"/>
      <c r="E685" s="61"/>
      <c r="F685" s="61"/>
      <c r="G685" s="61"/>
    </row>
    <row r="686" ht="15.75" customHeight="1">
      <c r="C686" s="61"/>
      <c r="D686" s="61"/>
      <c r="E686" s="61"/>
      <c r="F686" s="61"/>
      <c r="G686" s="61"/>
    </row>
    <row r="687" ht="15.75" customHeight="1">
      <c r="C687" s="61"/>
      <c r="D687" s="61"/>
      <c r="E687" s="61"/>
      <c r="F687" s="61"/>
      <c r="G687" s="61"/>
    </row>
    <row r="688" ht="15.75" customHeight="1">
      <c r="C688" s="61"/>
      <c r="D688" s="61"/>
      <c r="E688" s="61"/>
      <c r="F688" s="61"/>
      <c r="G688" s="61"/>
    </row>
    <row r="689" ht="15.75" customHeight="1">
      <c r="C689" s="61"/>
      <c r="D689" s="61"/>
      <c r="E689" s="61"/>
      <c r="F689" s="61"/>
      <c r="G689" s="61"/>
    </row>
    <row r="690" ht="15.75" customHeight="1">
      <c r="C690" s="61"/>
      <c r="D690" s="61"/>
      <c r="E690" s="61"/>
      <c r="F690" s="61"/>
      <c r="G690" s="61"/>
    </row>
    <row r="691" ht="15.75" customHeight="1">
      <c r="C691" s="61"/>
      <c r="D691" s="61"/>
      <c r="E691" s="61"/>
      <c r="F691" s="61"/>
      <c r="G691" s="61"/>
    </row>
    <row r="692" ht="15.75" customHeight="1">
      <c r="C692" s="61"/>
      <c r="D692" s="61"/>
      <c r="E692" s="61"/>
      <c r="F692" s="61"/>
      <c r="G692" s="61"/>
    </row>
    <row r="693" ht="15.75" customHeight="1">
      <c r="C693" s="61"/>
      <c r="D693" s="61"/>
      <c r="E693" s="61"/>
      <c r="F693" s="61"/>
      <c r="G693" s="61"/>
    </row>
    <row r="694" ht="15.75" customHeight="1">
      <c r="C694" s="61"/>
      <c r="D694" s="61"/>
      <c r="E694" s="61"/>
      <c r="F694" s="61"/>
      <c r="G694" s="61"/>
    </row>
    <row r="695" ht="15.75" customHeight="1">
      <c r="C695" s="61"/>
      <c r="D695" s="61"/>
      <c r="E695" s="61"/>
      <c r="F695" s="61"/>
      <c r="G695" s="61"/>
    </row>
    <row r="696" ht="15.75" customHeight="1">
      <c r="C696" s="61"/>
      <c r="D696" s="61"/>
      <c r="E696" s="61"/>
      <c r="F696" s="61"/>
      <c r="G696" s="61"/>
    </row>
    <row r="697" ht="15.75" customHeight="1">
      <c r="C697" s="61"/>
      <c r="D697" s="61"/>
      <c r="E697" s="61"/>
      <c r="F697" s="61"/>
      <c r="G697" s="61"/>
    </row>
    <row r="698" ht="15.75" customHeight="1">
      <c r="C698" s="61"/>
      <c r="D698" s="61"/>
      <c r="E698" s="61"/>
      <c r="F698" s="61"/>
      <c r="G698" s="61"/>
    </row>
    <row r="699" ht="15.75" customHeight="1">
      <c r="C699" s="61"/>
      <c r="D699" s="61"/>
      <c r="E699" s="61"/>
      <c r="F699" s="61"/>
      <c r="G699" s="61"/>
    </row>
    <row r="700" ht="15.75" customHeight="1">
      <c r="C700" s="61"/>
      <c r="D700" s="61"/>
      <c r="E700" s="61"/>
      <c r="F700" s="61"/>
      <c r="G700" s="61"/>
    </row>
    <row r="701" ht="15.75" customHeight="1">
      <c r="C701" s="61"/>
      <c r="D701" s="61"/>
      <c r="E701" s="61"/>
      <c r="F701" s="61"/>
      <c r="G701" s="61"/>
    </row>
    <row r="702" ht="15.75" customHeight="1">
      <c r="C702" s="61"/>
      <c r="D702" s="61"/>
      <c r="E702" s="61"/>
      <c r="F702" s="61"/>
      <c r="G702" s="61"/>
    </row>
    <row r="703" ht="15.75" customHeight="1">
      <c r="C703" s="61"/>
      <c r="D703" s="61"/>
      <c r="E703" s="61"/>
      <c r="F703" s="61"/>
      <c r="G703" s="61"/>
    </row>
    <row r="704" ht="15.75" customHeight="1">
      <c r="C704" s="61"/>
      <c r="D704" s="61"/>
      <c r="E704" s="61"/>
      <c r="F704" s="61"/>
      <c r="G704" s="61"/>
    </row>
    <row r="705" ht="15.75" customHeight="1">
      <c r="C705" s="61"/>
      <c r="D705" s="61"/>
      <c r="E705" s="61"/>
      <c r="F705" s="61"/>
      <c r="G705" s="61"/>
    </row>
    <row r="706" ht="15.75" customHeight="1">
      <c r="C706" s="61"/>
      <c r="D706" s="61"/>
      <c r="E706" s="61"/>
      <c r="F706" s="61"/>
      <c r="G706" s="61"/>
    </row>
    <row r="707" ht="15.75" customHeight="1">
      <c r="C707" s="61"/>
      <c r="D707" s="61"/>
      <c r="E707" s="61"/>
      <c r="F707" s="61"/>
      <c r="G707" s="61"/>
    </row>
    <row r="708" ht="15.75" customHeight="1">
      <c r="C708" s="61"/>
      <c r="D708" s="61"/>
      <c r="E708" s="61"/>
      <c r="F708" s="61"/>
      <c r="G708" s="61"/>
    </row>
    <row r="709" ht="15.75" customHeight="1">
      <c r="C709" s="61"/>
      <c r="D709" s="61"/>
      <c r="E709" s="61"/>
      <c r="F709" s="61"/>
      <c r="G709" s="61"/>
    </row>
    <row r="710" ht="15.75" customHeight="1">
      <c r="C710" s="61"/>
      <c r="D710" s="61"/>
      <c r="E710" s="61"/>
      <c r="F710" s="61"/>
      <c r="G710" s="61"/>
    </row>
    <row r="711" ht="15.75" customHeight="1">
      <c r="C711" s="61"/>
      <c r="D711" s="61"/>
      <c r="E711" s="61"/>
      <c r="F711" s="61"/>
      <c r="G711" s="61"/>
    </row>
    <row r="712" ht="15.75" customHeight="1">
      <c r="C712" s="61"/>
      <c r="D712" s="61"/>
      <c r="E712" s="61"/>
      <c r="F712" s="61"/>
      <c r="G712" s="61"/>
    </row>
    <row r="713" ht="15.75" customHeight="1">
      <c r="C713" s="61"/>
      <c r="D713" s="61"/>
      <c r="E713" s="61"/>
      <c r="F713" s="61"/>
      <c r="G713" s="61"/>
    </row>
    <row r="714" ht="15.75" customHeight="1">
      <c r="C714" s="61"/>
      <c r="D714" s="61"/>
      <c r="E714" s="61"/>
      <c r="F714" s="61"/>
      <c r="G714" s="61"/>
    </row>
    <row r="715" ht="15.75" customHeight="1">
      <c r="C715" s="61"/>
      <c r="D715" s="61"/>
      <c r="E715" s="61"/>
      <c r="F715" s="61"/>
      <c r="G715" s="61"/>
    </row>
    <row r="716" ht="15.75" customHeight="1">
      <c r="C716" s="61"/>
      <c r="D716" s="61"/>
      <c r="E716" s="61"/>
      <c r="F716" s="61"/>
      <c r="G716" s="61"/>
    </row>
    <row r="717" ht="15.75" customHeight="1">
      <c r="C717" s="61"/>
      <c r="D717" s="61"/>
      <c r="E717" s="61"/>
      <c r="F717" s="61"/>
      <c r="G717" s="61"/>
    </row>
    <row r="718" ht="15.75" customHeight="1">
      <c r="C718" s="61"/>
      <c r="D718" s="61"/>
      <c r="E718" s="61"/>
      <c r="F718" s="61"/>
      <c r="G718" s="61"/>
    </row>
    <row r="719" ht="15.75" customHeight="1">
      <c r="C719" s="61"/>
      <c r="D719" s="61"/>
      <c r="E719" s="61"/>
      <c r="F719" s="61"/>
      <c r="G719" s="61"/>
    </row>
    <row r="720" ht="15.75" customHeight="1">
      <c r="C720" s="61"/>
      <c r="D720" s="61"/>
      <c r="E720" s="61"/>
      <c r="F720" s="61"/>
      <c r="G720" s="61"/>
    </row>
    <row r="721" ht="15.75" customHeight="1">
      <c r="C721" s="61"/>
      <c r="D721" s="61"/>
      <c r="E721" s="61"/>
      <c r="F721" s="61"/>
      <c r="G721" s="61"/>
    </row>
    <row r="722" ht="15.75" customHeight="1">
      <c r="C722" s="61"/>
      <c r="D722" s="61"/>
      <c r="E722" s="61"/>
      <c r="F722" s="61"/>
      <c r="G722" s="61"/>
    </row>
    <row r="723" ht="15.75" customHeight="1">
      <c r="C723" s="61"/>
      <c r="D723" s="61"/>
      <c r="E723" s="61"/>
      <c r="F723" s="61"/>
      <c r="G723" s="61"/>
    </row>
    <row r="724" ht="15.75" customHeight="1">
      <c r="C724" s="61"/>
      <c r="D724" s="61"/>
      <c r="E724" s="61"/>
      <c r="F724" s="61"/>
      <c r="G724" s="61"/>
    </row>
    <row r="725" ht="15.75" customHeight="1">
      <c r="C725" s="61"/>
      <c r="D725" s="61"/>
      <c r="E725" s="61"/>
      <c r="F725" s="61"/>
      <c r="G725" s="61"/>
    </row>
    <row r="726" ht="15.75" customHeight="1">
      <c r="C726" s="61"/>
      <c r="D726" s="61"/>
      <c r="E726" s="61"/>
      <c r="F726" s="61"/>
      <c r="G726" s="61"/>
    </row>
    <row r="727" ht="15.75" customHeight="1">
      <c r="C727" s="61"/>
      <c r="D727" s="61"/>
      <c r="E727" s="61"/>
      <c r="F727" s="61"/>
      <c r="G727" s="61"/>
    </row>
    <row r="728" ht="15.75" customHeight="1">
      <c r="C728" s="61"/>
      <c r="D728" s="61"/>
      <c r="E728" s="61"/>
      <c r="F728" s="61"/>
      <c r="G728" s="61"/>
    </row>
    <row r="729" ht="15.75" customHeight="1">
      <c r="C729" s="61"/>
      <c r="D729" s="61"/>
      <c r="E729" s="61"/>
      <c r="F729" s="61"/>
      <c r="G729" s="61"/>
    </row>
    <row r="730" ht="15.75" customHeight="1">
      <c r="C730" s="61"/>
      <c r="D730" s="61"/>
      <c r="E730" s="61"/>
      <c r="F730" s="61"/>
      <c r="G730" s="61"/>
    </row>
    <row r="731" ht="15.75" customHeight="1">
      <c r="C731" s="61"/>
      <c r="D731" s="61"/>
      <c r="E731" s="61"/>
      <c r="F731" s="61"/>
      <c r="G731" s="61"/>
    </row>
    <row r="732" ht="15.75" customHeight="1">
      <c r="C732" s="61"/>
      <c r="D732" s="61"/>
      <c r="E732" s="61"/>
      <c r="F732" s="61"/>
      <c r="G732" s="61"/>
    </row>
    <row r="733" ht="15.75" customHeight="1">
      <c r="C733" s="61"/>
      <c r="D733" s="61"/>
      <c r="E733" s="61"/>
      <c r="F733" s="61"/>
      <c r="G733" s="61"/>
    </row>
    <row r="734" ht="15.75" customHeight="1">
      <c r="C734" s="61"/>
      <c r="D734" s="61"/>
      <c r="E734" s="61"/>
      <c r="F734" s="61"/>
      <c r="G734" s="61"/>
    </row>
    <row r="735" ht="15.75" customHeight="1">
      <c r="C735" s="61"/>
      <c r="D735" s="61"/>
      <c r="E735" s="61"/>
      <c r="F735" s="61"/>
      <c r="G735" s="61"/>
    </row>
    <row r="736" ht="15.75" customHeight="1">
      <c r="C736" s="61"/>
      <c r="D736" s="61"/>
      <c r="E736" s="61"/>
      <c r="F736" s="61"/>
      <c r="G736" s="61"/>
    </row>
    <row r="737" ht="15.75" customHeight="1">
      <c r="C737" s="61"/>
      <c r="D737" s="61"/>
      <c r="E737" s="61"/>
      <c r="F737" s="61"/>
      <c r="G737" s="61"/>
    </row>
    <row r="738" ht="15.75" customHeight="1">
      <c r="C738" s="61"/>
      <c r="D738" s="61"/>
      <c r="E738" s="61"/>
      <c r="F738" s="61"/>
      <c r="G738" s="61"/>
    </row>
    <row r="739" ht="15.75" customHeight="1">
      <c r="C739" s="61"/>
      <c r="D739" s="61"/>
      <c r="E739" s="61"/>
      <c r="F739" s="61"/>
      <c r="G739" s="61"/>
    </row>
    <row r="740" ht="15.75" customHeight="1">
      <c r="C740" s="61"/>
      <c r="D740" s="61"/>
      <c r="E740" s="61"/>
      <c r="F740" s="61"/>
      <c r="G740" s="61"/>
    </row>
    <row r="741" ht="15.75" customHeight="1">
      <c r="C741" s="61"/>
      <c r="D741" s="61"/>
      <c r="E741" s="61"/>
      <c r="F741" s="61"/>
      <c r="G741" s="61"/>
    </row>
    <row r="742" ht="15.75" customHeight="1">
      <c r="C742" s="61"/>
      <c r="D742" s="61"/>
      <c r="E742" s="61"/>
      <c r="F742" s="61"/>
      <c r="G742" s="61"/>
    </row>
    <row r="743" ht="15.75" customHeight="1">
      <c r="C743" s="61"/>
      <c r="D743" s="61"/>
      <c r="E743" s="61"/>
      <c r="F743" s="61"/>
      <c r="G743" s="61"/>
    </row>
    <row r="744" ht="15.75" customHeight="1">
      <c r="C744" s="61"/>
      <c r="D744" s="61"/>
      <c r="E744" s="61"/>
      <c r="F744" s="61"/>
      <c r="G744" s="61"/>
    </row>
    <row r="745" ht="15.75" customHeight="1">
      <c r="C745" s="61"/>
      <c r="D745" s="61"/>
      <c r="E745" s="61"/>
      <c r="F745" s="61"/>
      <c r="G745" s="61"/>
    </row>
    <row r="746" ht="15.75" customHeight="1">
      <c r="C746" s="61"/>
      <c r="D746" s="61"/>
      <c r="E746" s="61"/>
      <c r="F746" s="61"/>
      <c r="G746" s="61"/>
    </row>
    <row r="747" ht="15.75" customHeight="1">
      <c r="C747" s="61"/>
      <c r="D747" s="61"/>
      <c r="E747" s="61"/>
      <c r="F747" s="61"/>
      <c r="G747" s="61"/>
    </row>
    <row r="748" ht="15.75" customHeight="1">
      <c r="C748" s="61"/>
      <c r="D748" s="61"/>
      <c r="E748" s="61"/>
      <c r="F748" s="61"/>
      <c r="G748" s="61"/>
    </row>
    <row r="749" ht="15.75" customHeight="1">
      <c r="C749" s="61"/>
      <c r="D749" s="61"/>
      <c r="E749" s="61"/>
      <c r="F749" s="61"/>
      <c r="G749" s="61"/>
    </row>
    <row r="750" ht="15.75" customHeight="1">
      <c r="C750" s="61"/>
      <c r="D750" s="61"/>
      <c r="E750" s="61"/>
      <c r="F750" s="61"/>
      <c r="G750" s="61"/>
    </row>
    <row r="751" ht="15.75" customHeight="1">
      <c r="C751" s="61"/>
      <c r="D751" s="61"/>
      <c r="E751" s="61"/>
      <c r="F751" s="61"/>
      <c r="G751" s="61"/>
    </row>
    <row r="752" ht="15.75" customHeight="1">
      <c r="C752" s="61"/>
      <c r="D752" s="61"/>
      <c r="E752" s="61"/>
      <c r="F752" s="61"/>
      <c r="G752" s="61"/>
    </row>
    <row r="753" ht="15.75" customHeight="1">
      <c r="C753" s="61"/>
      <c r="D753" s="61"/>
      <c r="E753" s="61"/>
      <c r="F753" s="61"/>
      <c r="G753" s="61"/>
    </row>
    <row r="754" ht="15.75" customHeight="1">
      <c r="C754" s="61"/>
      <c r="D754" s="61"/>
      <c r="E754" s="61"/>
      <c r="F754" s="61"/>
      <c r="G754" s="61"/>
    </row>
    <row r="755" ht="15.75" customHeight="1">
      <c r="C755" s="61"/>
      <c r="D755" s="61"/>
      <c r="E755" s="61"/>
      <c r="F755" s="61"/>
      <c r="G755" s="61"/>
    </row>
    <row r="756" ht="15.75" customHeight="1">
      <c r="C756" s="61"/>
      <c r="D756" s="61"/>
      <c r="E756" s="61"/>
      <c r="F756" s="61"/>
      <c r="G756" s="61"/>
    </row>
    <row r="757" ht="15.75" customHeight="1">
      <c r="C757" s="61"/>
      <c r="D757" s="61"/>
      <c r="E757" s="61"/>
      <c r="F757" s="61"/>
      <c r="G757" s="61"/>
    </row>
    <row r="758" ht="15.75" customHeight="1">
      <c r="C758" s="61"/>
      <c r="D758" s="61"/>
      <c r="E758" s="61"/>
      <c r="F758" s="61"/>
      <c r="G758" s="61"/>
    </row>
    <row r="759" ht="15.75" customHeight="1">
      <c r="C759" s="61"/>
      <c r="D759" s="61"/>
      <c r="E759" s="61"/>
      <c r="F759" s="61"/>
      <c r="G759" s="61"/>
    </row>
    <row r="760" ht="15.75" customHeight="1">
      <c r="C760" s="61"/>
      <c r="D760" s="61"/>
      <c r="E760" s="61"/>
      <c r="F760" s="61"/>
      <c r="G760" s="61"/>
    </row>
    <row r="761" ht="15.75" customHeight="1">
      <c r="C761" s="61"/>
      <c r="D761" s="61"/>
      <c r="E761" s="61"/>
      <c r="F761" s="61"/>
      <c r="G761" s="61"/>
    </row>
    <row r="762" ht="15.75" customHeight="1">
      <c r="C762" s="61"/>
      <c r="D762" s="61"/>
      <c r="E762" s="61"/>
      <c r="F762" s="61"/>
      <c r="G762" s="61"/>
    </row>
    <row r="763" ht="15.75" customHeight="1">
      <c r="C763" s="61"/>
      <c r="D763" s="61"/>
      <c r="E763" s="61"/>
      <c r="F763" s="61"/>
      <c r="G763" s="61"/>
    </row>
    <row r="764" ht="15.75" customHeight="1">
      <c r="C764" s="61"/>
      <c r="D764" s="61"/>
      <c r="E764" s="61"/>
      <c r="F764" s="61"/>
      <c r="G764" s="61"/>
    </row>
    <row r="765" ht="15.75" customHeight="1">
      <c r="C765" s="61"/>
      <c r="D765" s="61"/>
      <c r="E765" s="61"/>
      <c r="F765" s="61"/>
      <c r="G765" s="61"/>
    </row>
    <row r="766" ht="15.75" customHeight="1">
      <c r="C766" s="61"/>
      <c r="D766" s="61"/>
      <c r="E766" s="61"/>
      <c r="F766" s="61"/>
      <c r="G766" s="61"/>
    </row>
    <row r="767" ht="15.75" customHeight="1">
      <c r="C767" s="61"/>
      <c r="D767" s="61"/>
      <c r="E767" s="61"/>
      <c r="F767" s="61"/>
      <c r="G767" s="61"/>
    </row>
    <row r="768" ht="15.75" customHeight="1">
      <c r="C768" s="61"/>
      <c r="D768" s="61"/>
      <c r="E768" s="61"/>
      <c r="F768" s="61"/>
      <c r="G768" s="61"/>
    </row>
    <row r="769" ht="15.75" customHeight="1">
      <c r="C769" s="61"/>
      <c r="D769" s="61"/>
      <c r="E769" s="61"/>
      <c r="F769" s="61"/>
      <c r="G769" s="61"/>
    </row>
    <row r="770" ht="15.75" customHeight="1">
      <c r="C770" s="61"/>
      <c r="D770" s="61"/>
      <c r="E770" s="61"/>
      <c r="F770" s="61"/>
      <c r="G770" s="61"/>
    </row>
    <row r="771" ht="15.75" customHeight="1">
      <c r="C771" s="61"/>
      <c r="D771" s="61"/>
      <c r="E771" s="61"/>
      <c r="F771" s="61"/>
      <c r="G771" s="61"/>
    </row>
    <row r="772" ht="15.75" customHeight="1">
      <c r="C772" s="61"/>
      <c r="D772" s="61"/>
      <c r="E772" s="61"/>
      <c r="F772" s="61"/>
      <c r="G772" s="61"/>
    </row>
    <row r="773" ht="15.75" customHeight="1">
      <c r="C773" s="61"/>
      <c r="D773" s="61"/>
      <c r="E773" s="61"/>
      <c r="F773" s="61"/>
      <c r="G773" s="61"/>
    </row>
    <row r="774" ht="15.75" customHeight="1">
      <c r="C774" s="61"/>
      <c r="D774" s="61"/>
      <c r="E774" s="61"/>
      <c r="F774" s="61"/>
      <c r="G774" s="61"/>
    </row>
    <row r="775" ht="15.75" customHeight="1">
      <c r="C775" s="61"/>
      <c r="D775" s="61"/>
      <c r="E775" s="61"/>
      <c r="F775" s="61"/>
      <c r="G775" s="61"/>
    </row>
    <row r="776" ht="15.75" customHeight="1">
      <c r="C776" s="61"/>
      <c r="D776" s="61"/>
      <c r="E776" s="61"/>
      <c r="F776" s="61"/>
      <c r="G776" s="61"/>
    </row>
    <row r="777" ht="15.75" customHeight="1">
      <c r="C777" s="61"/>
      <c r="D777" s="61"/>
      <c r="E777" s="61"/>
      <c r="F777" s="61"/>
      <c r="G777" s="61"/>
    </row>
    <row r="778" ht="15.75" customHeight="1">
      <c r="C778" s="61"/>
      <c r="D778" s="61"/>
      <c r="E778" s="61"/>
      <c r="F778" s="61"/>
      <c r="G778" s="61"/>
    </row>
    <row r="779" ht="15.75" customHeight="1">
      <c r="C779" s="61"/>
      <c r="D779" s="61"/>
      <c r="E779" s="61"/>
      <c r="F779" s="61"/>
      <c r="G779" s="61"/>
    </row>
    <row r="780" ht="15.75" customHeight="1">
      <c r="C780" s="61"/>
      <c r="D780" s="61"/>
      <c r="E780" s="61"/>
      <c r="F780" s="61"/>
      <c r="G780" s="61"/>
    </row>
    <row r="781" ht="15.75" customHeight="1">
      <c r="C781" s="61"/>
      <c r="D781" s="61"/>
      <c r="E781" s="61"/>
      <c r="F781" s="61"/>
      <c r="G781" s="61"/>
    </row>
    <row r="782" ht="15.75" customHeight="1">
      <c r="C782" s="61"/>
      <c r="D782" s="61"/>
      <c r="E782" s="61"/>
      <c r="F782" s="61"/>
      <c r="G782" s="61"/>
    </row>
    <row r="783" ht="15.75" customHeight="1">
      <c r="C783" s="61"/>
      <c r="D783" s="61"/>
      <c r="E783" s="61"/>
      <c r="F783" s="61"/>
      <c r="G783" s="61"/>
    </row>
    <row r="784" ht="15.75" customHeight="1">
      <c r="C784" s="61"/>
      <c r="D784" s="61"/>
      <c r="E784" s="61"/>
      <c r="F784" s="61"/>
      <c r="G784" s="61"/>
    </row>
    <row r="785" ht="15.75" customHeight="1">
      <c r="C785" s="61"/>
      <c r="D785" s="61"/>
      <c r="E785" s="61"/>
      <c r="F785" s="61"/>
      <c r="G785" s="61"/>
    </row>
    <row r="786" ht="15.75" customHeight="1">
      <c r="C786" s="61"/>
      <c r="D786" s="61"/>
      <c r="E786" s="61"/>
      <c r="F786" s="61"/>
      <c r="G786" s="61"/>
    </row>
    <row r="787" ht="15.75" customHeight="1">
      <c r="C787" s="61"/>
      <c r="D787" s="61"/>
      <c r="E787" s="61"/>
      <c r="F787" s="61"/>
      <c r="G787" s="61"/>
    </row>
    <row r="788" ht="15.75" customHeight="1">
      <c r="C788" s="61"/>
      <c r="D788" s="61"/>
      <c r="E788" s="61"/>
      <c r="F788" s="61"/>
      <c r="G788" s="61"/>
    </row>
    <row r="789" ht="15.75" customHeight="1">
      <c r="C789" s="61"/>
      <c r="D789" s="61"/>
      <c r="E789" s="61"/>
      <c r="F789" s="61"/>
      <c r="G789" s="61"/>
    </row>
    <row r="790" ht="15.75" customHeight="1">
      <c r="C790" s="61"/>
      <c r="D790" s="61"/>
      <c r="E790" s="61"/>
      <c r="F790" s="61"/>
      <c r="G790" s="61"/>
    </row>
    <row r="791" ht="15.75" customHeight="1">
      <c r="C791" s="61"/>
      <c r="D791" s="61"/>
      <c r="E791" s="61"/>
      <c r="F791" s="61"/>
      <c r="G791" s="61"/>
    </row>
    <row r="792" ht="15.75" customHeight="1">
      <c r="C792" s="61"/>
      <c r="D792" s="61"/>
      <c r="E792" s="61"/>
      <c r="F792" s="61"/>
      <c r="G792" s="61"/>
    </row>
    <row r="793" ht="15.75" customHeight="1">
      <c r="C793" s="61"/>
      <c r="D793" s="61"/>
      <c r="E793" s="61"/>
      <c r="F793" s="61"/>
      <c r="G793" s="61"/>
    </row>
    <row r="794" ht="15.75" customHeight="1">
      <c r="C794" s="61"/>
      <c r="D794" s="61"/>
      <c r="E794" s="61"/>
      <c r="F794" s="61"/>
      <c r="G794" s="61"/>
    </row>
    <row r="795" ht="15.75" customHeight="1">
      <c r="C795" s="61"/>
      <c r="D795" s="61"/>
      <c r="E795" s="61"/>
      <c r="F795" s="61"/>
      <c r="G795" s="61"/>
    </row>
    <row r="796" ht="15.75" customHeight="1">
      <c r="C796" s="61"/>
      <c r="D796" s="61"/>
      <c r="E796" s="61"/>
      <c r="F796" s="61"/>
      <c r="G796" s="61"/>
    </row>
    <row r="797" ht="15.75" customHeight="1">
      <c r="C797" s="61"/>
      <c r="D797" s="61"/>
      <c r="E797" s="61"/>
      <c r="F797" s="61"/>
      <c r="G797" s="61"/>
    </row>
    <row r="798" ht="15.75" customHeight="1">
      <c r="C798" s="61"/>
      <c r="D798" s="61"/>
      <c r="E798" s="61"/>
      <c r="F798" s="61"/>
      <c r="G798" s="61"/>
    </row>
    <row r="799" ht="15.75" customHeight="1">
      <c r="C799" s="61"/>
      <c r="D799" s="61"/>
      <c r="E799" s="61"/>
      <c r="F799" s="61"/>
      <c r="G799" s="61"/>
    </row>
    <row r="800" ht="15.75" customHeight="1">
      <c r="C800" s="61"/>
      <c r="D800" s="61"/>
      <c r="E800" s="61"/>
      <c r="F800" s="61"/>
      <c r="G800" s="61"/>
    </row>
    <row r="801" ht="15.75" customHeight="1">
      <c r="C801" s="61"/>
      <c r="D801" s="61"/>
      <c r="E801" s="61"/>
      <c r="F801" s="61"/>
      <c r="G801" s="61"/>
    </row>
    <row r="802" ht="15.75" customHeight="1">
      <c r="C802" s="61"/>
      <c r="D802" s="61"/>
      <c r="E802" s="61"/>
      <c r="F802" s="61"/>
      <c r="G802" s="61"/>
    </row>
    <row r="803" ht="15.75" customHeight="1">
      <c r="C803" s="61"/>
      <c r="D803" s="61"/>
      <c r="E803" s="61"/>
      <c r="F803" s="61"/>
      <c r="G803" s="61"/>
    </row>
    <row r="804" ht="15.75" customHeight="1">
      <c r="C804" s="61"/>
      <c r="D804" s="61"/>
      <c r="E804" s="61"/>
      <c r="F804" s="61"/>
      <c r="G804" s="61"/>
    </row>
    <row r="805" ht="15.75" customHeight="1">
      <c r="C805" s="61"/>
      <c r="D805" s="61"/>
      <c r="E805" s="61"/>
      <c r="F805" s="61"/>
      <c r="G805" s="61"/>
    </row>
    <row r="806" ht="15.75" customHeight="1">
      <c r="C806" s="61"/>
      <c r="D806" s="61"/>
      <c r="E806" s="61"/>
      <c r="F806" s="61"/>
      <c r="G806" s="61"/>
    </row>
    <row r="807" ht="15.75" customHeight="1">
      <c r="C807" s="61"/>
      <c r="D807" s="61"/>
      <c r="E807" s="61"/>
      <c r="F807" s="61"/>
      <c r="G807" s="61"/>
    </row>
    <row r="808" ht="15.75" customHeight="1">
      <c r="C808" s="61"/>
      <c r="D808" s="61"/>
      <c r="E808" s="61"/>
      <c r="F808" s="61"/>
      <c r="G808" s="61"/>
    </row>
    <row r="809" ht="15.75" customHeight="1">
      <c r="C809" s="61"/>
      <c r="D809" s="61"/>
      <c r="E809" s="61"/>
      <c r="F809" s="61"/>
      <c r="G809" s="61"/>
    </row>
    <row r="810" ht="15.75" customHeight="1">
      <c r="C810" s="61"/>
      <c r="D810" s="61"/>
      <c r="E810" s="61"/>
      <c r="F810" s="61"/>
      <c r="G810" s="61"/>
    </row>
    <row r="811" ht="15.75" customHeight="1">
      <c r="C811" s="61"/>
      <c r="D811" s="61"/>
      <c r="E811" s="61"/>
      <c r="F811" s="61"/>
      <c r="G811" s="61"/>
    </row>
    <row r="812" ht="15.75" customHeight="1">
      <c r="C812" s="61"/>
      <c r="D812" s="61"/>
      <c r="E812" s="61"/>
      <c r="F812" s="61"/>
      <c r="G812" s="61"/>
    </row>
    <row r="813" ht="15.75" customHeight="1">
      <c r="C813" s="61"/>
      <c r="D813" s="61"/>
      <c r="E813" s="61"/>
      <c r="F813" s="61"/>
      <c r="G813" s="61"/>
    </row>
    <row r="814" ht="15.75" customHeight="1">
      <c r="C814" s="61"/>
      <c r="D814" s="61"/>
      <c r="E814" s="61"/>
      <c r="F814" s="61"/>
      <c r="G814" s="61"/>
    </row>
    <row r="815" ht="15.75" customHeight="1">
      <c r="C815" s="61"/>
      <c r="D815" s="61"/>
      <c r="E815" s="61"/>
      <c r="F815" s="61"/>
      <c r="G815" s="61"/>
    </row>
    <row r="816" ht="15.75" customHeight="1">
      <c r="C816" s="61"/>
      <c r="D816" s="61"/>
      <c r="E816" s="61"/>
      <c r="F816" s="61"/>
      <c r="G816" s="61"/>
    </row>
    <row r="817" ht="15.75" customHeight="1">
      <c r="C817" s="61"/>
      <c r="D817" s="61"/>
      <c r="E817" s="61"/>
      <c r="F817" s="61"/>
      <c r="G817" s="61"/>
    </row>
    <row r="818" ht="15.75" customHeight="1">
      <c r="C818" s="61"/>
      <c r="D818" s="61"/>
      <c r="E818" s="61"/>
      <c r="F818" s="61"/>
      <c r="G818" s="61"/>
    </row>
    <row r="819" ht="15.75" customHeight="1">
      <c r="C819" s="61"/>
      <c r="D819" s="61"/>
      <c r="E819" s="61"/>
      <c r="F819" s="61"/>
      <c r="G819" s="61"/>
    </row>
    <row r="820" ht="15.75" customHeight="1">
      <c r="C820" s="61"/>
      <c r="D820" s="61"/>
      <c r="E820" s="61"/>
      <c r="F820" s="61"/>
      <c r="G820" s="61"/>
    </row>
    <row r="821" ht="15.75" customHeight="1">
      <c r="C821" s="61"/>
      <c r="D821" s="61"/>
      <c r="E821" s="61"/>
      <c r="F821" s="61"/>
      <c r="G821" s="61"/>
    </row>
    <row r="822" ht="15.75" customHeight="1">
      <c r="C822" s="61"/>
      <c r="D822" s="61"/>
      <c r="E822" s="61"/>
      <c r="F822" s="61"/>
      <c r="G822" s="61"/>
    </row>
    <row r="823" ht="15.75" customHeight="1">
      <c r="C823" s="61"/>
      <c r="D823" s="61"/>
      <c r="E823" s="61"/>
      <c r="F823" s="61"/>
      <c r="G823" s="61"/>
    </row>
    <row r="824" ht="15.75" customHeight="1">
      <c r="C824" s="61"/>
      <c r="D824" s="61"/>
      <c r="E824" s="61"/>
      <c r="F824" s="61"/>
      <c r="G824" s="61"/>
    </row>
    <row r="825" ht="15.75" customHeight="1">
      <c r="C825" s="61"/>
      <c r="D825" s="61"/>
      <c r="E825" s="61"/>
      <c r="F825" s="61"/>
      <c r="G825" s="61"/>
    </row>
    <row r="826" ht="15.75" customHeight="1">
      <c r="C826" s="61"/>
      <c r="D826" s="61"/>
      <c r="E826" s="61"/>
      <c r="F826" s="61"/>
      <c r="G826" s="61"/>
    </row>
    <row r="827" ht="15.75" customHeight="1">
      <c r="C827" s="61"/>
      <c r="D827" s="61"/>
      <c r="E827" s="61"/>
      <c r="F827" s="61"/>
      <c r="G827" s="61"/>
    </row>
    <row r="828" ht="15.75" customHeight="1">
      <c r="C828" s="61"/>
      <c r="D828" s="61"/>
      <c r="E828" s="61"/>
      <c r="F828" s="61"/>
      <c r="G828" s="61"/>
    </row>
    <row r="829" ht="15.75" customHeight="1">
      <c r="C829" s="61"/>
      <c r="D829" s="61"/>
      <c r="E829" s="61"/>
      <c r="F829" s="61"/>
      <c r="G829" s="61"/>
    </row>
    <row r="830" ht="15.75" customHeight="1">
      <c r="C830" s="61"/>
      <c r="D830" s="61"/>
      <c r="E830" s="61"/>
      <c r="F830" s="61"/>
      <c r="G830" s="61"/>
    </row>
    <row r="831" ht="15.75" customHeight="1">
      <c r="C831" s="61"/>
      <c r="D831" s="61"/>
      <c r="E831" s="61"/>
      <c r="F831" s="61"/>
      <c r="G831" s="61"/>
    </row>
    <row r="832" ht="15.75" customHeight="1">
      <c r="C832" s="61"/>
      <c r="D832" s="61"/>
      <c r="E832" s="61"/>
      <c r="F832" s="61"/>
      <c r="G832" s="61"/>
    </row>
    <row r="833" ht="15.75" customHeight="1">
      <c r="C833" s="61"/>
      <c r="D833" s="61"/>
      <c r="E833" s="61"/>
      <c r="F833" s="61"/>
      <c r="G833" s="61"/>
    </row>
    <row r="834" ht="15.75" customHeight="1">
      <c r="C834" s="61"/>
      <c r="D834" s="61"/>
      <c r="E834" s="61"/>
      <c r="F834" s="61"/>
      <c r="G834" s="61"/>
    </row>
    <row r="835" ht="15.75" customHeight="1">
      <c r="C835" s="61"/>
      <c r="D835" s="61"/>
      <c r="E835" s="61"/>
      <c r="F835" s="61"/>
      <c r="G835" s="61"/>
    </row>
    <row r="836" ht="15.75" customHeight="1">
      <c r="C836" s="61"/>
      <c r="D836" s="61"/>
      <c r="E836" s="61"/>
      <c r="F836" s="61"/>
      <c r="G836" s="61"/>
    </row>
    <row r="837" ht="15.75" customHeight="1">
      <c r="C837" s="61"/>
      <c r="D837" s="61"/>
      <c r="E837" s="61"/>
      <c r="F837" s="61"/>
      <c r="G837" s="61"/>
    </row>
    <row r="838" ht="15.75" customHeight="1">
      <c r="C838" s="61"/>
      <c r="D838" s="61"/>
      <c r="E838" s="61"/>
      <c r="F838" s="61"/>
      <c r="G838" s="61"/>
    </row>
    <row r="839" ht="15.75" customHeight="1">
      <c r="C839" s="61"/>
      <c r="D839" s="61"/>
      <c r="E839" s="61"/>
      <c r="F839" s="61"/>
      <c r="G839" s="61"/>
    </row>
    <row r="840" ht="15.75" customHeight="1">
      <c r="C840" s="61"/>
      <c r="D840" s="61"/>
      <c r="E840" s="61"/>
      <c r="F840" s="61"/>
      <c r="G840" s="61"/>
    </row>
    <row r="841" ht="15.75" customHeight="1">
      <c r="C841" s="61"/>
      <c r="D841" s="61"/>
      <c r="E841" s="61"/>
      <c r="F841" s="61"/>
      <c r="G841" s="61"/>
    </row>
    <row r="842" ht="15.75" customHeight="1">
      <c r="C842" s="61"/>
      <c r="D842" s="61"/>
      <c r="E842" s="61"/>
      <c r="F842" s="61"/>
      <c r="G842" s="61"/>
    </row>
    <row r="843" ht="15.75" customHeight="1">
      <c r="C843" s="61"/>
      <c r="D843" s="61"/>
      <c r="E843" s="61"/>
      <c r="F843" s="61"/>
      <c r="G843" s="61"/>
    </row>
    <row r="844" ht="15.75" customHeight="1">
      <c r="C844" s="61"/>
      <c r="D844" s="61"/>
      <c r="E844" s="61"/>
      <c r="F844" s="61"/>
      <c r="G844" s="61"/>
    </row>
    <row r="845" ht="15.75" customHeight="1">
      <c r="C845" s="61"/>
      <c r="D845" s="61"/>
      <c r="E845" s="61"/>
      <c r="F845" s="61"/>
      <c r="G845" s="61"/>
    </row>
    <row r="846" ht="15.75" customHeight="1">
      <c r="C846" s="61"/>
      <c r="D846" s="61"/>
      <c r="E846" s="61"/>
      <c r="F846" s="61"/>
      <c r="G846" s="61"/>
    </row>
    <row r="847" ht="15.75" customHeight="1">
      <c r="C847" s="61"/>
      <c r="D847" s="61"/>
      <c r="E847" s="61"/>
      <c r="F847" s="61"/>
      <c r="G847" s="61"/>
    </row>
    <row r="848" ht="15.75" customHeight="1">
      <c r="C848" s="61"/>
      <c r="D848" s="61"/>
      <c r="E848" s="61"/>
      <c r="F848" s="61"/>
      <c r="G848" s="61"/>
    </row>
    <row r="849" ht="15.75" customHeight="1">
      <c r="C849" s="61"/>
      <c r="D849" s="61"/>
      <c r="E849" s="61"/>
      <c r="F849" s="61"/>
      <c r="G849" s="61"/>
    </row>
    <row r="850" ht="15.75" customHeight="1">
      <c r="C850" s="61"/>
      <c r="D850" s="61"/>
      <c r="E850" s="61"/>
      <c r="F850" s="61"/>
      <c r="G850" s="61"/>
    </row>
    <row r="851" ht="15.75" customHeight="1">
      <c r="C851" s="61"/>
      <c r="D851" s="61"/>
      <c r="E851" s="61"/>
      <c r="F851" s="61"/>
      <c r="G851" s="61"/>
    </row>
    <row r="852" ht="15.75" customHeight="1">
      <c r="C852" s="61"/>
      <c r="D852" s="61"/>
      <c r="E852" s="61"/>
      <c r="F852" s="61"/>
      <c r="G852" s="61"/>
    </row>
    <row r="853" ht="15.75" customHeight="1">
      <c r="C853" s="61"/>
      <c r="D853" s="61"/>
      <c r="E853" s="61"/>
      <c r="F853" s="61"/>
      <c r="G853" s="61"/>
    </row>
    <row r="854" ht="15.75" customHeight="1">
      <c r="C854" s="61"/>
      <c r="D854" s="61"/>
      <c r="E854" s="61"/>
      <c r="F854" s="61"/>
      <c r="G854" s="61"/>
    </row>
    <row r="855" ht="15.75" customHeight="1">
      <c r="C855" s="61"/>
      <c r="D855" s="61"/>
      <c r="E855" s="61"/>
      <c r="F855" s="61"/>
      <c r="G855" s="61"/>
    </row>
    <row r="856" ht="15.75" customHeight="1">
      <c r="C856" s="61"/>
      <c r="D856" s="61"/>
      <c r="E856" s="61"/>
      <c r="F856" s="61"/>
      <c r="G856" s="61"/>
    </row>
    <row r="857" ht="15.75" customHeight="1">
      <c r="C857" s="61"/>
      <c r="D857" s="61"/>
      <c r="E857" s="61"/>
      <c r="F857" s="61"/>
      <c r="G857" s="61"/>
    </row>
    <row r="858" ht="15.75" customHeight="1">
      <c r="C858" s="61"/>
      <c r="D858" s="61"/>
      <c r="E858" s="61"/>
      <c r="F858" s="61"/>
      <c r="G858" s="61"/>
    </row>
    <row r="859" ht="15.75" customHeight="1">
      <c r="C859" s="61"/>
      <c r="D859" s="61"/>
      <c r="E859" s="61"/>
      <c r="F859" s="61"/>
      <c r="G859" s="61"/>
    </row>
    <row r="860" ht="15.75" customHeight="1">
      <c r="C860" s="61"/>
      <c r="D860" s="61"/>
      <c r="E860" s="61"/>
      <c r="F860" s="61"/>
      <c r="G860" s="61"/>
    </row>
    <row r="861" ht="15.75" customHeight="1">
      <c r="C861" s="61"/>
      <c r="D861" s="61"/>
      <c r="E861" s="61"/>
      <c r="F861" s="61"/>
      <c r="G861" s="61"/>
    </row>
    <row r="862" ht="15.75" customHeight="1">
      <c r="C862" s="61"/>
      <c r="D862" s="61"/>
      <c r="E862" s="61"/>
      <c r="F862" s="61"/>
      <c r="G862" s="61"/>
    </row>
    <row r="863" ht="15.75" customHeight="1">
      <c r="C863" s="61"/>
      <c r="D863" s="61"/>
      <c r="E863" s="61"/>
      <c r="F863" s="61"/>
      <c r="G863" s="61"/>
    </row>
    <row r="864" ht="15.75" customHeight="1">
      <c r="C864" s="61"/>
      <c r="D864" s="61"/>
      <c r="E864" s="61"/>
      <c r="F864" s="61"/>
      <c r="G864" s="61"/>
    </row>
    <row r="865" ht="15.75" customHeight="1">
      <c r="C865" s="61"/>
      <c r="D865" s="61"/>
      <c r="E865" s="61"/>
      <c r="F865" s="61"/>
      <c r="G865" s="61"/>
    </row>
    <row r="866" ht="15.75" customHeight="1">
      <c r="C866" s="61"/>
      <c r="D866" s="61"/>
      <c r="E866" s="61"/>
      <c r="F866" s="61"/>
      <c r="G866" s="61"/>
    </row>
    <row r="867" ht="15.75" customHeight="1">
      <c r="C867" s="61"/>
      <c r="D867" s="61"/>
      <c r="E867" s="61"/>
      <c r="F867" s="61"/>
      <c r="G867" s="61"/>
    </row>
    <row r="868" ht="15.75" customHeight="1">
      <c r="C868" s="61"/>
      <c r="D868" s="61"/>
      <c r="E868" s="61"/>
      <c r="F868" s="61"/>
      <c r="G868" s="61"/>
    </row>
    <row r="869" ht="15.75" customHeight="1">
      <c r="C869" s="61"/>
      <c r="D869" s="61"/>
      <c r="E869" s="61"/>
      <c r="F869" s="61"/>
      <c r="G869" s="61"/>
    </row>
    <row r="870" ht="15.75" customHeight="1">
      <c r="C870" s="61"/>
      <c r="D870" s="61"/>
      <c r="E870" s="61"/>
      <c r="F870" s="61"/>
      <c r="G870" s="61"/>
    </row>
    <row r="871" ht="15.75" customHeight="1">
      <c r="C871" s="61"/>
      <c r="D871" s="61"/>
      <c r="E871" s="61"/>
      <c r="F871" s="61"/>
      <c r="G871" s="61"/>
    </row>
    <row r="872" ht="15.75" customHeight="1">
      <c r="C872" s="61"/>
      <c r="D872" s="61"/>
      <c r="E872" s="61"/>
      <c r="F872" s="61"/>
      <c r="G872" s="61"/>
    </row>
    <row r="873" ht="15.75" customHeight="1">
      <c r="C873" s="61"/>
      <c r="D873" s="61"/>
      <c r="E873" s="61"/>
      <c r="F873" s="61"/>
      <c r="G873" s="61"/>
    </row>
    <row r="874" ht="15.75" customHeight="1">
      <c r="C874" s="61"/>
      <c r="D874" s="61"/>
      <c r="E874" s="61"/>
      <c r="F874" s="61"/>
      <c r="G874" s="61"/>
    </row>
    <row r="875" ht="15.75" customHeight="1">
      <c r="C875" s="61"/>
      <c r="D875" s="61"/>
      <c r="E875" s="61"/>
      <c r="F875" s="61"/>
      <c r="G875" s="61"/>
    </row>
    <row r="876" ht="15.75" customHeight="1">
      <c r="C876" s="61"/>
      <c r="D876" s="61"/>
      <c r="E876" s="61"/>
      <c r="F876" s="61"/>
      <c r="G876" s="61"/>
    </row>
    <row r="877" ht="15.75" customHeight="1">
      <c r="C877" s="61"/>
      <c r="D877" s="61"/>
      <c r="E877" s="61"/>
      <c r="F877" s="61"/>
      <c r="G877" s="61"/>
    </row>
    <row r="878" ht="15.75" customHeight="1">
      <c r="C878" s="61"/>
      <c r="D878" s="61"/>
      <c r="E878" s="61"/>
      <c r="F878" s="61"/>
      <c r="G878" s="61"/>
    </row>
    <row r="879" ht="15.75" customHeight="1">
      <c r="C879" s="61"/>
      <c r="D879" s="61"/>
      <c r="E879" s="61"/>
      <c r="F879" s="61"/>
      <c r="G879" s="61"/>
    </row>
    <row r="880" ht="15.75" customHeight="1">
      <c r="C880" s="61"/>
      <c r="D880" s="61"/>
      <c r="E880" s="61"/>
      <c r="F880" s="61"/>
      <c r="G880" s="61"/>
    </row>
    <row r="881" ht="15.75" customHeight="1">
      <c r="C881" s="61"/>
      <c r="D881" s="61"/>
      <c r="E881" s="61"/>
      <c r="F881" s="61"/>
      <c r="G881" s="61"/>
    </row>
    <row r="882" ht="15.75" customHeight="1">
      <c r="C882" s="61"/>
      <c r="D882" s="61"/>
      <c r="E882" s="61"/>
      <c r="F882" s="61"/>
      <c r="G882" s="61"/>
    </row>
    <row r="883" ht="15.75" customHeight="1">
      <c r="C883" s="61"/>
      <c r="D883" s="61"/>
      <c r="E883" s="61"/>
      <c r="F883" s="61"/>
      <c r="G883" s="61"/>
    </row>
    <row r="884" ht="15.75" customHeight="1">
      <c r="C884" s="61"/>
      <c r="D884" s="61"/>
      <c r="E884" s="61"/>
      <c r="F884" s="61"/>
      <c r="G884" s="61"/>
    </row>
    <row r="885" ht="15.75" customHeight="1">
      <c r="C885" s="61"/>
      <c r="D885" s="61"/>
      <c r="E885" s="61"/>
      <c r="F885" s="61"/>
      <c r="G885" s="61"/>
    </row>
    <row r="886" ht="15.75" customHeight="1">
      <c r="C886" s="61"/>
      <c r="D886" s="61"/>
      <c r="E886" s="61"/>
      <c r="F886" s="61"/>
      <c r="G886" s="61"/>
    </row>
    <row r="887" ht="15.75" customHeight="1">
      <c r="C887" s="61"/>
      <c r="D887" s="61"/>
      <c r="E887" s="61"/>
      <c r="F887" s="61"/>
      <c r="G887" s="61"/>
    </row>
    <row r="888" ht="15.75" customHeight="1">
      <c r="C888" s="61"/>
      <c r="D888" s="61"/>
      <c r="E888" s="61"/>
      <c r="F888" s="61"/>
      <c r="G888" s="61"/>
    </row>
    <row r="889" ht="15.75" customHeight="1">
      <c r="C889" s="61"/>
      <c r="D889" s="61"/>
      <c r="E889" s="61"/>
      <c r="F889" s="61"/>
      <c r="G889" s="61"/>
    </row>
    <row r="890" ht="15.75" customHeight="1">
      <c r="C890" s="61"/>
      <c r="D890" s="61"/>
      <c r="E890" s="61"/>
      <c r="F890" s="61"/>
      <c r="G890" s="61"/>
    </row>
    <row r="891" ht="15.75" customHeight="1">
      <c r="C891" s="61"/>
      <c r="D891" s="61"/>
      <c r="E891" s="61"/>
      <c r="F891" s="61"/>
      <c r="G891" s="61"/>
    </row>
    <row r="892" ht="15.75" customHeight="1">
      <c r="C892" s="61"/>
      <c r="D892" s="61"/>
      <c r="E892" s="61"/>
      <c r="F892" s="61"/>
      <c r="G892" s="61"/>
    </row>
    <row r="893" ht="15.75" customHeight="1">
      <c r="C893" s="61"/>
      <c r="D893" s="61"/>
      <c r="E893" s="61"/>
      <c r="F893" s="61"/>
      <c r="G893" s="61"/>
    </row>
    <row r="894" ht="15.75" customHeight="1">
      <c r="C894" s="61"/>
      <c r="D894" s="61"/>
      <c r="E894" s="61"/>
      <c r="F894" s="61"/>
      <c r="G894" s="61"/>
    </row>
    <row r="895" ht="15.75" customHeight="1">
      <c r="C895" s="61"/>
      <c r="D895" s="61"/>
      <c r="E895" s="61"/>
      <c r="F895" s="61"/>
      <c r="G895" s="61"/>
    </row>
    <row r="896" ht="15.75" customHeight="1">
      <c r="C896" s="61"/>
      <c r="D896" s="61"/>
      <c r="E896" s="61"/>
      <c r="F896" s="61"/>
      <c r="G896" s="61"/>
    </row>
    <row r="897" ht="15.75" customHeight="1">
      <c r="C897" s="61"/>
      <c r="D897" s="61"/>
      <c r="E897" s="61"/>
      <c r="F897" s="61"/>
      <c r="G897" s="61"/>
    </row>
    <row r="898" ht="15.75" customHeight="1">
      <c r="C898" s="61"/>
      <c r="D898" s="61"/>
      <c r="E898" s="61"/>
      <c r="F898" s="61"/>
      <c r="G898" s="61"/>
    </row>
    <row r="899" ht="15.75" customHeight="1">
      <c r="C899" s="61"/>
      <c r="D899" s="61"/>
      <c r="E899" s="61"/>
      <c r="F899" s="61"/>
      <c r="G899" s="61"/>
    </row>
    <row r="900" ht="15.75" customHeight="1">
      <c r="C900" s="61"/>
      <c r="D900" s="61"/>
      <c r="E900" s="61"/>
      <c r="F900" s="61"/>
      <c r="G900" s="61"/>
    </row>
    <row r="901" ht="15.75" customHeight="1">
      <c r="C901" s="61"/>
      <c r="D901" s="61"/>
      <c r="E901" s="61"/>
      <c r="F901" s="61"/>
      <c r="G901" s="61"/>
    </row>
    <row r="902" ht="15.75" customHeight="1">
      <c r="C902" s="61"/>
      <c r="D902" s="61"/>
      <c r="E902" s="61"/>
      <c r="F902" s="61"/>
      <c r="G902" s="61"/>
    </row>
    <row r="903" ht="15.75" customHeight="1">
      <c r="C903" s="61"/>
      <c r="D903" s="61"/>
      <c r="E903" s="61"/>
      <c r="F903" s="61"/>
      <c r="G903" s="61"/>
    </row>
    <row r="904" ht="15.75" customHeight="1">
      <c r="C904" s="61"/>
      <c r="D904" s="61"/>
      <c r="E904" s="61"/>
      <c r="F904" s="61"/>
      <c r="G904" s="61"/>
    </row>
    <row r="905" ht="15.75" customHeight="1">
      <c r="C905" s="61"/>
      <c r="D905" s="61"/>
      <c r="E905" s="61"/>
      <c r="F905" s="61"/>
      <c r="G905" s="61"/>
    </row>
    <row r="906" ht="15.75" customHeight="1">
      <c r="C906" s="61"/>
      <c r="D906" s="61"/>
      <c r="E906" s="61"/>
      <c r="F906" s="61"/>
      <c r="G906" s="61"/>
    </row>
    <row r="907" ht="15.75" customHeight="1">
      <c r="C907" s="61"/>
      <c r="D907" s="61"/>
      <c r="E907" s="61"/>
      <c r="F907" s="61"/>
      <c r="G907" s="61"/>
    </row>
    <row r="908" ht="15.75" customHeight="1">
      <c r="C908" s="61"/>
      <c r="D908" s="61"/>
      <c r="E908" s="61"/>
      <c r="F908" s="61"/>
      <c r="G908" s="61"/>
    </row>
    <row r="909" ht="15.75" customHeight="1">
      <c r="C909" s="61"/>
      <c r="D909" s="61"/>
      <c r="E909" s="61"/>
      <c r="F909" s="61"/>
      <c r="G909" s="61"/>
    </row>
    <row r="910" ht="15.75" customHeight="1">
      <c r="C910" s="61"/>
      <c r="D910" s="61"/>
      <c r="E910" s="61"/>
      <c r="F910" s="61"/>
      <c r="G910" s="61"/>
    </row>
    <row r="911" ht="15.75" customHeight="1">
      <c r="C911" s="61"/>
      <c r="D911" s="61"/>
      <c r="E911" s="61"/>
      <c r="F911" s="61"/>
      <c r="G911" s="61"/>
    </row>
    <row r="912" ht="15.75" customHeight="1">
      <c r="C912" s="61"/>
      <c r="D912" s="61"/>
      <c r="E912" s="61"/>
      <c r="F912" s="61"/>
      <c r="G912" s="61"/>
    </row>
    <row r="913" ht="15.75" customHeight="1">
      <c r="C913" s="61"/>
      <c r="D913" s="61"/>
      <c r="E913" s="61"/>
      <c r="F913" s="61"/>
      <c r="G913" s="61"/>
    </row>
    <row r="914" ht="15.75" customHeight="1">
      <c r="C914" s="61"/>
      <c r="D914" s="61"/>
      <c r="E914" s="61"/>
      <c r="F914" s="61"/>
      <c r="G914" s="61"/>
    </row>
    <row r="915" ht="15.75" customHeight="1">
      <c r="C915" s="61"/>
      <c r="D915" s="61"/>
      <c r="E915" s="61"/>
      <c r="F915" s="61"/>
      <c r="G915" s="61"/>
    </row>
    <row r="916" ht="15.75" customHeight="1">
      <c r="C916" s="61"/>
      <c r="D916" s="61"/>
      <c r="E916" s="61"/>
      <c r="F916" s="61"/>
      <c r="G916" s="61"/>
    </row>
    <row r="917" ht="15.75" customHeight="1">
      <c r="C917" s="61"/>
      <c r="D917" s="61"/>
      <c r="E917" s="61"/>
      <c r="F917" s="61"/>
      <c r="G917" s="61"/>
    </row>
    <row r="918" ht="15.75" customHeight="1">
      <c r="C918" s="61"/>
      <c r="D918" s="61"/>
      <c r="E918" s="61"/>
      <c r="F918" s="61"/>
      <c r="G918" s="61"/>
    </row>
    <row r="919" ht="15.75" customHeight="1">
      <c r="C919" s="61"/>
      <c r="D919" s="61"/>
      <c r="E919" s="61"/>
      <c r="F919" s="61"/>
      <c r="G919" s="61"/>
    </row>
    <row r="920" ht="15.75" customHeight="1">
      <c r="C920" s="61"/>
      <c r="D920" s="61"/>
      <c r="E920" s="61"/>
      <c r="F920" s="61"/>
      <c r="G920" s="61"/>
    </row>
    <row r="921" ht="15.75" customHeight="1">
      <c r="C921" s="61"/>
      <c r="D921" s="61"/>
      <c r="E921" s="61"/>
      <c r="F921" s="61"/>
      <c r="G921" s="61"/>
    </row>
    <row r="922" ht="15.75" customHeight="1">
      <c r="C922" s="61"/>
      <c r="D922" s="61"/>
      <c r="E922" s="61"/>
      <c r="F922" s="61"/>
      <c r="G922" s="61"/>
    </row>
    <row r="923" ht="15.75" customHeight="1">
      <c r="C923" s="61"/>
      <c r="D923" s="61"/>
      <c r="E923" s="61"/>
      <c r="F923" s="61"/>
      <c r="G923" s="61"/>
    </row>
    <row r="924" ht="15.75" customHeight="1">
      <c r="C924" s="61"/>
      <c r="D924" s="61"/>
      <c r="E924" s="61"/>
      <c r="F924" s="61"/>
      <c r="G924" s="61"/>
    </row>
    <row r="925" ht="15.75" customHeight="1">
      <c r="C925" s="61"/>
      <c r="D925" s="61"/>
      <c r="E925" s="61"/>
      <c r="F925" s="61"/>
      <c r="G925" s="61"/>
    </row>
    <row r="926" ht="15.75" customHeight="1">
      <c r="C926" s="61"/>
      <c r="D926" s="61"/>
      <c r="E926" s="61"/>
      <c r="F926" s="61"/>
      <c r="G926" s="61"/>
    </row>
    <row r="927" ht="15.75" customHeight="1">
      <c r="C927" s="61"/>
      <c r="D927" s="61"/>
      <c r="E927" s="61"/>
      <c r="F927" s="61"/>
      <c r="G927" s="61"/>
    </row>
    <row r="928" ht="15.75" customHeight="1">
      <c r="C928" s="61"/>
      <c r="D928" s="61"/>
      <c r="E928" s="61"/>
      <c r="F928" s="61"/>
      <c r="G928" s="61"/>
    </row>
    <row r="929" ht="15.75" customHeight="1">
      <c r="C929" s="61"/>
      <c r="D929" s="61"/>
      <c r="E929" s="61"/>
      <c r="F929" s="61"/>
      <c r="G929" s="61"/>
    </row>
    <row r="930" ht="15.75" customHeight="1">
      <c r="C930" s="61"/>
      <c r="D930" s="61"/>
      <c r="E930" s="61"/>
      <c r="F930" s="61"/>
      <c r="G930" s="61"/>
    </row>
    <row r="931" ht="15.75" customHeight="1">
      <c r="C931" s="61"/>
      <c r="D931" s="61"/>
      <c r="E931" s="61"/>
      <c r="F931" s="61"/>
      <c r="G931" s="61"/>
    </row>
    <row r="932" ht="15.75" customHeight="1">
      <c r="C932" s="61"/>
      <c r="D932" s="61"/>
      <c r="E932" s="61"/>
      <c r="F932" s="61"/>
      <c r="G932" s="61"/>
    </row>
    <row r="933" ht="15.75" customHeight="1">
      <c r="C933" s="61"/>
      <c r="D933" s="61"/>
      <c r="E933" s="61"/>
      <c r="F933" s="61"/>
      <c r="G933" s="61"/>
    </row>
    <row r="934" ht="15.75" customHeight="1">
      <c r="C934" s="61"/>
      <c r="D934" s="61"/>
      <c r="E934" s="61"/>
      <c r="F934" s="61"/>
      <c r="G934" s="61"/>
    </row>
    <row r="935" ht="15.75" customHeight="1">
      <c r="C935" s="61"/>
      <c r="D935" s="61"/>
      <c r="E935" s="61"/>
      <c r="F935" s="61"/>
      <c r="G935" s="61"/>
    </row>
    <row r="936" ht="15.75" customHeight="1">
      <c r="C936" s="61"/>
      <c r="D936" s="61"/>
      <c r="E936" s="61"/>
      <c r="F936" s="61"/>
      <c r="G936" s="61"/>
    </row>
    <row r="937" ht="15.75" customHeight="1">
      <c r="C937" s="61"/>
      <c r="D937" s="61"/>
      <c r="E937" s="61"/>
      <c r="F937" s="61"/>
      <c r="G937" s="61"/>
    </row>
    <row r="938" ht="15.75" customHeight="1">
      <c r="C938" s="61"/>
      <c r="D938" s="61"/>
      <c r="E938" s="61"/>
      <c r="F938" s="61"/>
      <c r="G938" s="61"/>
    </row>
    <row r="939" ht="15.75" customHeight="1">
      <c r="C939" s="61"/>
      <c r="D939" s="61"/>
      <c r="E939" s="61"/>
      <c r="F939" s="61"/>
      <c r="G939" s="61"/>
    </row>
    <row r="940" ht="15.75" customHeight="1">
      <c r="C940" s="61"/>
      <c r="D940" s="61"/>
      <c r="E940" s="61"/>
      <c r="F940" s="61"/>
      <c r="G940" s="61"/>
    </row>
    <row r="941" ht="15.75" customHeight="1">
      <c r="C941" s="61"/>
      <c r="D941" s="61"/>
      <c r="E941" s="61"/>
      <c r="F941" s="61"/>
      <c r="G941" s="61"/>
    </row>
    <row r="942" ht="15.75" customHeight="1">
      <c r="C942" s="61"/>
      <c r="D942" s="61"/>
      <c r="E942" s="61"/>
      <c r="F942" s="61"/>
      <c r="G942" s="61"/>
    </row>
    <row r="943" ht="15.75" customHeight="1">
      <c r="C943" s="61"/>
      <c r="D943" s="61"/>
      <c r="E943" s="61"/>
      <c r="F943" s="61"/>
      <c r="G943" s="61"/>
    </row>
    <row r="944" ht="15.75" customHeight="1">
      <c r="C944" s="61"/>
      <c r="D944" s="61"/>
      <c r="E944" s="61"/>
      <c r="F944" s="61"/>
      <c r="G944" s="61"/>
    </row>
    <row r="945" ht="15.75" customHeight="1">
      <c r="C945" s="61"/>
      <c r="D945" s="61"/>
      <c r="E945" s="61"/>
      <c r="F945" s="61"/>
      <c r="G945" s="61"/>
    </row>
    <row r="946" ht="15.75" customHeight="1">
      <c r="C946" s="61"/>
      <c r="D946" s="61"/>
      <c r="E946" s="61"/>
      <c r="F946" s="61"/>
      <c r="G946" s="61"/>
    </row>
    <row r="947" ht="15.75" customHeight="1">
      <c r="C947" s="61"/>
      <c r="D947" s="61"/>
      <c r="E947" s="61"/>
      <c r="F947" s="61"/>
      <c r="G947" s="61"/>
    </row>
    <row r="948" ht="15.75" customHeight="1">
      <c r="C948" s="61"/>
      <c r="D948" s="61"/>
      <c r="E948" s="61"/>
      <c r="F948" s="61"/>
      <c r="G948" s="61"/>
    </row>
    <row r="949" ht="15.75" customHeight="1">
      <c r="C949" s="61"/>
      <c r="D949" s="61"/>
      <c r="E949" s="61"/>
      <c r="F949" s="61"/>
      <c r="G949" s="61"/>
    </row>
    <row r="950" ht="15.75" customHeight="1">
      <c r="C950" s="61"/>
      <c r="D950" s="61"/>
      <c r="E950" s="61"/>
      <c r="F950" s="61"/>
      <c r="G950" s="61"/>
    </row>
    <row r="951" ht="15.75" customHeight="1">
      <c r="C951" s="61"/>
      <c r="D951" s="61"/>
      <c r="E951" s="61"/>
      <c r="F951" s="61"/>
      <c r="G951" s="61"/>
    </row>
    <row r="952" ht="15.75" customHeight="1">
      <c r="C952" s="61"/>
      <c r="D952" s="61"/>
      <c r="E952" s="61"/>
      <c r="F952" s="61"/>
      <c r="G952" s="61"/>
    </row>
    <row r="953" ht="15.75" customHeight="1">
      <c r="C953" s="61"/>
      <c r="D953" s="61"/>
      <c r="E953" s="61"/>
      <c r="F953" s="61"/>
      <c r="G953" s="61"/>
    </row>
    <row r="954" ht="15.75" customHeight="1">
      <c r="C954" s="61"/>
      <c r="D954" s="61"/>
      <c r="E954" s="61"/>
      <c r="F954" s="61"/>
      <c r="G954" s="61"/>
    </row>
    <row r="955" ht="15.75" customHeight="1">
      <c r="C955" s="61"/>
      <c r="D955" s="61"/>
      <c r="E955" s="61"/>
      <c r="F955" s="61"/>
      <c r="G955" s="61"/>
    </row>
    <row r="956" ht="15.75" customHeight="1">
      <c r="C956" s="61"/>
      <c r="D956" s="61"/>
      <c r="E956" s="61"/>
      <c r="F956" s="61"/>
      <c r="G956" s="61"/>
    </row>
    <row r="957" ht="15.75" customHeight="1">
      <c r="C957" s="61"/>
      <c r="D957" s="61"/>
      <c r="E957" s="61"/>
      <c r="F957" s="61"/>
      <c r="G957" s="61"/>
    </row>
    <row r="958" ht="15.75" customHeight="1">
      <c r="C958" s="61"/>
      <c r="D958" s="61"/>
      <c r="E958" s="61"/>
      <c r="F958" s="61"/>
      <c r="G958" s="61"/>
    </row>
    <row r="959" ht="15.75" customHeight="1">
      <c r="C959" s="61"/>
      <c r="D959" s="61"/>
      <c r="E959" s="61"/>
      <c r="F959" s="61"/>
      <c r="G959" s="61"/>
    </row>
    <row r="960" ht="15.75" customHeight="1">
      <c r="C960" s="61"/>
      <c r="D960" s="61"/>
      <c r="E960" s="61"/>
      <c r="F960" s="61"/>
      <c r="G960" s="61"/>
    </row>
    <row r="961" ht="15.75" customHeight="1">
      <c r="C961" s="61"/>
      <c r="D961" s="61"/>
      <c r="E961" s="61"/>
      <c r="F961" s="61"/>
      <c r="G961" s="61"/>
    </row>
    <row r="962" ht="15.75" customHeight="1">
      <c r="C962" s="61"/>
      <c r="D962" s="61"/>
      <c r="E962" s="61"/>
      <c r="F962" s="61"/>
      <c r="G962" s="61"/>
    </row>
    <row r="963" ht="15.75" customHeight="1">
      <c r="C963" s="61"/>
      <c r="D963" s="61"/>
      <c r="E963" s="61"/>
      <c r="F963" s="61"/>
      <c r="G963" s="61"/>
    </row>
    <row r="964" ht="15.75" customHeight="1">
      <c r="C964" s="61"/>
      <c r="D964" s="61"/>
      <c r="E964" s="61"/>
      <c r="F964" s="61"/>
      <c r="G964" s="61"/>
    </row>
    <row r="965" ht="15.75" customHeight="1">
      <c r="C965" s="61"/>
      <c r="D965" s="61"/>
      <c r="E965" s="61"/>
      <c r="F965" s="61"/>
      <c r="G965" s="61"/>
    </row>
    <row r="966" ht="15.75" customHeight="1">
      <c r="C966" s="61"/>
      <c r="D966" s="61"/>
      <c r="E966" s="61"/>
      <c r="F966" s="61"/>
      <c r="G966" s="61"/>
    </row>
    <row r="967" ht="15.75" customHeight="1">
      <c r="C967" s="61"/>
      <c r="D967" s="61"/>
      <c r="E967" s="61"/>
      <c r="F967" s="61"/>
      <c r="G967" s="61"/>
    </row>
    <row r="968" ht="15.75" customHeight="1">
      <c r="C968" s="61"/>
      <c r="D968" s="61"/>
      <c r="E968" s="61"/>
      <c r="F968" s="61"/>
      <c r="G968" s="61"/>
    </row>
    <row r="969" ht="15.75" customHeight="1">
      <c r="C969" s="61"/>
      <c r="D969" s="61"/>
      <c r="E969" s="61"/>
      <c r="F969" s="61"/>
      <c r="G969" s="61"/>
    </row>
    <row r="970" ht="15.75" customHeight="1">
      <c r="C970" s="61"/>
      <c r="D970" s="61"/>
      <c r="E970" s="61"/>
      <c r="F970" s="61"/>
      <c r="G970" s="61"/>
    </row>
    <row r="971" ht="15.75" customHeight="1">
      <c r="C971" s="61"/>
      <c r="D971" s="61"/>
      <c r="E971" s="61"/>
      <c r="F971" s="61"/>
      <c r="G971" s="61"/>
    </row>
    <row r="972" ht="15.75" customHeight="1">
      <c r="C972" s="61"/>
      <c r="D972" s="61"/>
      <c r="E972" s="61"/>
      <c r="F972" s="61"/>
      <c r="G972" s="61"/>
    </row>
    <row r="973" ht="15.75" customHeight="1">
      <c r="C973" s="61"/>
      <c r="D973" s="61"/>
      <c r="E973" s="61"/>
      <c r="F973" s="61"/>
      <c r="G973" s="61"/>
    </row>
    <row r="974" ht="15.75" customHeight="1">
      <c r="C974" s="61"/>
      <c r="D974" s="61"/>
      <c r="E974" s="61"/>
      <c r="F974" s="61"/>
      <c r="G974" s="61"/>
    </row>
    <row r="975" ht="15.75" customHeight="1">
      <c r="C975" s="61"/>
      <c r="D975" s="61"/>
      <c r="E975" s="61"/>
      <c r="F975" s="61"/>
      <c r="G975" s="61"/>
    </row>
    <row r="976" ht="15.75" customHeight="1">
      <c r="C976" s="61"/>
      <c r="D976" s="61"/>
      <c r="E976" s="61"/>
      <c r="F976" s="61"/>
      <c r="G976" s="61"/>
    </row>
    <row r="977" ht="15.75" customHeight="1">
      <c r="C977" s="61"/>
      <c r="D977" s="61"/>
      <c r="E977" s="61"/>
      <c r="F977" s="61"/>
      <c r="G977" s="61"/>
    </row>
    <row r="978" ht="15.75" customHeight="1">
      <c r="C978" s="61"/>
      <c r="D978" s="61"/>
      <c r="E978" s="61"/>
      <c r="F978" s="61"/>
      <c r="G978" s="61"/>
    </row>
    <row r="979" ht="15.75" customHeight="1">
      <c r="C979" s="61"/>
      <c r="D979" s="61"/>
      <c r="E979" s="61"/>
      <c r="F979" s="61"/>
      <c r="G979" s="61"/>
    </row>
    <row r="980" ht="15.75" customHeight="1">
      <c r="C980" s="61"/>
      <c r="D980" s="61"/>
      <c r="E980" s="61"/>
      <c r="F980" s="61"/>
      <c r="G980" s="61"/>
    </row>
    <row r="981" ht="15.75" customHeight="1">
      <c r="C981" s="61"/>
      <c r="D981" s="61"/>
      <c r="E981" s="61"/>
      <c r="F981" s="61"/>
      <c r="G981" s="61"/>
    </row>
    <row r="982" ht="15.75" customHeight="1">
      <c r="C982" s="61"/>
      <c r="D982" s="61"/>
      <c r="E982" s="61"/>
      <c r="F982" s="61"/>
      <c r="G982" s="61"/>
    </row>
    <row r="983" ht="15.75" customHeight="1">
      <c r="C983" s="61"/>
      <c r="D983" s="61"/>
      <c r="E983" s="61"/>
      <c r="F983" s="61"/>
      <c r="G983" s="61"/>
    </row>
    <row r="984" ht="15.75" customHeight="1">
      <c r="C984" s="61"/>
      <c r="D984" s="61"/>
      <c r="E984" s="61"/>
      <c r="F984" s="61"/>
      <c r="G984" s="61"/>
    </row>
    <row r="985" ht="15.75" customHeight="1">
      <c r="C985" s="61"/>
      <c r="D985" s="61"/>
      <c r="E985" s="61"/>
      <c r="F985" s="61"/>
      <c r="G985" s="61"/>
    </row>
    <row r="986" ht="15.75" customHeight="1">
      <c r="C986" s="61"/>
      <c r="D986" s="61"/>
      <c r="E986" s="61"/>
      <c r="F986" s="61"/>
      <c r="G986" s="61"/>
    </row>
    <row r="987" ht="15.75" customHeight="1">
      <c r="C987" s="61"/>
      <c r="D987" s="61"/>
      <c r="E987" s="61"/>
      <c r="F987" s="61"/>
      <c r="G987" s="61"/>
    </row>
    <row r="988" ht="15.75" customHeight="1">
      <c r="C988" s="61"/>
      <c r="D988" s="61"/>
      <c r="E988" s="61"/>
      <c r="F988" s="61"/>
      <c r="G988" s="61"/>
    </row>
    <row r="989" ht="15.75" customHeight="1">
      <c r="C989" s="61"/>
      <c r="D989" s="61"/>
      <c r="E989" s="61"/>
      <c r="F989" s="61"/>
      <c r="G989" s="61"/>
    </row>
    <row r="990" ht="15.75" customHeight="1">
      <c r="C990" s="61"/>
      <c r="D990" s="61"/>
      <c r="E990" s="61"/>
      <c r="F990" s="61"/>
      <c r="G990" s="61"/>
    </row>
    <row r="991" ht="15.75" customHeight="1">
      <c r="C991" s="61"/>
      <c r="D991" s="61"/>
      <c r="E991" s="61"/>
      <c r="F991" s="61"/>
      <c r="G991" s="61"/>
    </row>
    <row r="992" ht="15.75" customHeight="1">
      <c r="C992" s="61"/>
      <c r="D992" s="61"/>
      <c r="E992" s="61"/>
      <c r="F992" s="61"/>
      <c r="G992" s="61"/>
    </row>
    <row r="993" ht="15.75" customHeight="1">
      <c r="C993" s="61"/>
      <c r="D993" s="61"/>
      <c r="E993" s="61"/>
      <c r="F993" s="61"/>
      <c r="G993" s="61"/>
    </row>
    <row r="994" ht="15.75" customHeight="1">
      <c r="C994" s="61"/>
      <c r="D994" s="61"/>
      <c r="E994" s="61"/>
      <c r="F994" s="61"/>
      <c r="G994" s="61"/>
    </row>
    <row r="995" ht="15.75" customHeight="1">
      <c r="C995" s="61"/>
      <c r="D995" s="61"/>
      <c r="E995" s="61"/>
      <c r="F995" s="61"/>
      <c r="G995" s="61"/>
    </row>
    <row r="996" ht="15.75" customHeight="1">
      <c r="C996" s="61"/>
      <c r="D996" s="61"/>
      <c r="E996" s="61"/>
      <c r="F996" s="61"/>
      <c r="G996" s="61"/>
    </row>
    <row r="997" ht="15.75" customHeight="1">
      <c r="C997" s="61"/>
      <c r="D997" s="61"/>
      <c r="E997" s="61"/>
      <c r="F997" s="61"/>
      <c r="G997" s="61"/>
    </row>
    <row r="998" ht="15.75" customHeight="1">
      <c r="C998" s="61"/>
      <c r="D998" s="61"/>
      <c r="E998" s="61"/>
      <c r="F998" s="61"/>
      <c r="G998" s="61"/>
    </row>
    <row r="999" ht="15.75" customHeight="1">
      <c r="C999" s="61"/>
      <c r="D999" s="61"/>
      <c r="E999" s="61"/>
      <c r="F999" s="61"/>
      <c r="G999" s="61"/>
    </row>
    <row r="1000" ht="15.75" customHeight="1">
      <c r="C1000" s="61"/>
      <c r="D1000" s="61"/>
      <c r="E1000" s="61"/>
      <c r="F1000" s="61"/>
      <c r="G1000" s="61"/>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20.5"/>
    <col customWidth="1" min="5" max="6" width="12.63"/>
  </cols>
  <sheetData>
    <row r="1" ht="15.75" customHeight="1">
      <c r="B1" s="53"/>
      <c r="C1" s="53"/>
      <c r="D1" s="10" t="s">
        <v>640</v>
      </c>
      <c r="E1" s="10"/>
      <c r="F1" s="10"/>
      <c r="G1" s="10"/>
      <c r="H1" s="10"/>
      <c r="I1" s="10"/>
      <c r="J1" s="10"/>
      <c r="K1" s="10"/>
      <c r="L1" s="10"/>
      <c r="M1" s="10"/>
      <c r="N1" s="10"/>
      <c r="O1" s="10"/>
      <c r="P1" s="10"/>
      <c r="Q1" s="10"/>
      <c r="R1" s="10"/>
      <c r="S1" s="10"/>
      <c r="T1" s="10"/>
      <c r="U1" s="10"/>
      <c r="V1" s="10"/>
    </row>
    <row r="2" ht="15.75" customHeight="1">
      <c r="B2" s="53"/>
      <c r="C2" s="53"/>
      <c r="D2" s="10"/>
      <c r="E2" s="95">
        <v>46113.0</v>
      </c>
      <c r="F2" s="95">
        <v>46143.0</v>
      </c>
      <c r="G2" s="95">
        <v>46174.0</v>
      </c>
      <c r="H2" s="95">
        <v>46204.0</v>
      </c>
      <c r="I2" s="95">
        <v>46235.0</v>
      </c>
      <c r="J2" s="95">
        <v>46266.0</v>
      </c>
      <c r="K2" s="96">
        <v>46296.0</v>
      </c>
      <c r="L2" s="96">
        <v>46327.0</v>
      </c>
      <c r="M2" s="96">
        <v>46357.0</v>
      </c>
      <c r="N2" s="95">
        <v>46388.0</v>
      </c>
      <c r="O2" s="95">
        <v>46419.0</v>
      </c>
      <c r="P2" s="95">
        <v>46447.0</v>
      </c>
      <c r="Q2" s="102" t="s">
        <v>225</v>
      </c>
      <c r="R2" s="96"/>
      <c r="S2" s="95"/>
      <c r="T2" s="95"/>
      <c r="U2" s="95"/>
      <c r="V2" s="10"/>
    </row>
    <row r="3" ht="15.75" customHeight="1">
      <c r="B3" s="53"/>
      <c r="C3" s="53"/>
      <c r="D3" s="10" t="s">
        <v>1</v>
      </c>
      <c r="E3" s="10"/>
      <c r="F3" s="10"/>
      <c r="G3" s="10"/>
      <c r="H3" s="10"/>
      <c r="I3" s="10"/>
      <c r="J3" s="10"/>
      <c r="K3" s="10"/>
      <c r="L3" s="10"/>
      <c r="M3" s="10"/>
      <c r="N3" s="10"/>
      <c r="O3" s="10"/>
      <c r="P3" s="10"/>
      <c r="Q3" s="10"/>
      <c r="R3" s="10"/>
      <c r="S3" s="10"/>
      <c r="T3" s="10"/>
      <c r="U3" s="10"/>
      <c r="V3" s="10"/>
    </row>
    <row r="4" ht="15.75" customHeight="1">
      <c r="A4" s="59" t="str">
        <f t="array" ref="A4">XLOOKUP(C4, 'マスタ'!$C$2:$C$312, 'マスタ'!$D$2:$D$312, "マスタ未登録")</f>
        <v>売上高</v>
      </c>
      <c r="B4" s="53" t="str">
        <f>IF(AND(C4&lt;&gt;"", COUNTIF('マスタ'!$C:$C, C4)=0), "マスタ未登録", "")</f>
        <v/>
      </c>
      <c r="C4" s="53" t="str">
        <f t="shared" ref="C4:C81" si="1">D4</f>
        <v>入学金収入</v>
      </c>
      <c r="D4" s="10" t="s">
        <v>609</v>
      </c>
      <c r="E4" s="97">
        <v>1.7268257E7</v>
      </c>
      <c r="F4" s="97">
        <v>0.0</v>
      </c>
      <c r="G4" s="97">
        <v>0.0</v>
      </c>
      <c r="H4" s="97">
        <v>0.0</v>
      </c>
      <c r="I4" s="97">
        <v>0.0</v>
      </c>
      <c r="J4" s="97">
        <v>0.0</v>
      </c>
      <c r="K4" s="97">
        <v>0.0</v>
      </c>
      <c r="L4" s="97">
        <v>0.0</v>
      </c>
      <c r="M4" s="97">
        <v>0.0</v>
      </c>
      <c r="N4" s="97">
        <v>0.0</v>
      </c>
      <c r="O4" s="97">
        <v>0.0</v>
      </c>
      <c r="P4" s="97">
        <v>0.0</v>
      </c>
      <c r="Q4" s="97">
        <v>1.7268257E7</v>
      </c>
      <c r="R4" s="97"/>
      <c r="S4" s="97"/>
      <c r="T4" s="97"/>
      <c r="U4" s="97"/>
      <c r="V4" s="97"/>
    </row>
    <row r="5" ht="15.75" customHeight="1">
      <c r="A5" s="59" t="str">
        <f t="array" ref="A5">XLOOKUP(C5, 'マスタ'!$C$2:$C$312, 'マスタ'!$D$2:$D$312, "マスタ未登録")</f>
        <v>売上高</v>
      </c>
      <c r="B5" s="53" t="str">
        <f>IF(AND(C5&lt;&gt;"", COUNTIF('マスタ'!$C:$C, C5)=0), "マスタ未登録", "")</f>
        <v/>
      </c>
      <c r="C5" s="53" t="str">
        <f t="shared" si="1"/>
        <v>授業料等収入</v>
      </c>
      <c r="D5" s="10" t="s">
        <v>610</v>
      </c>
      <c r="E5" s="97">
        <v>2.37635162E8</v>
      </c>
      <c r="F5" s="97">
        <v>0.0</v>
      </c>
      <c r="G5" s="97">
        <v>0.0</v>
      </c>
      <c r="H5" s="97">
        <v>0.0</v>
      </c>
      <c r="I5" s="97">
        <v>0.0</v>
      </c>
      <c r="J5" s="97">
        <v>0.0</v>
      </c>
      <c r="K5" s="97">
        <v>0.0</v>
      </c>
      <c r="L5" s="97">
        <v>0.0</v>
      </c>
      <c r="M5" s="97">
        <v>0.0</v>
      </c>
      <c r="N5" s="97">
        <v>0.0</v>
      </c>
      <c r="O5" s="97">
        <v>0.0</v>
      </c>
      <c r="P5" s="97">
        <v>0.0</v>
      </c>
      <c r="Q5" s="97">
        <v>2.37635162E8</v>
      </c>
      <c r="R5" s="97"/>
      <c r="S5" s="97"/>
      <c r="T5" s="97"/>
      <c r="U5" s="97"/>
      <c r="V5" s="97"/>
    </row>
    <row r="6" ht="15.75" customHeight="1">
      <c r="A6" s="59" t="str">
        <f t="array" ref="A6">XLOOKUP(C6, 'マスタ'!$C$2:$C$312, 'マスタ'!$D$2:$D$312, "マスタ未登録")</f>
        <v>売上高</v>
      </c>
      <c r="B6" s="53" t="str">
        <f>IF(AND(C6&lt;&gt;"", COUNTIF('マスタ'!$C:$C, C6)=0), "マスタ未登録", "")</f>
        <v/>
      </c>
      <c r="C6" s="53" t="str">
        <f t="shared" si="1"/>
        <v>商品売上</v>
      </c>
      <c r="D6" s="10" t="s">
        <v>611</v>
      </c>
      <c r="E6" s="97">
        <v>1.68160055E8</v>
      </c>
      <c r="F6" s="97">
        <v>0.0</v>
      </c>
      <c r="G6" s="97">
        <v>0.0</v>
      </c>
      <c r="H6" s="97">
        <v>0.0</v>
      </c>
      <c r="I6" s="97">
        <v>0.0</v>
      </c>
      <c r="J6" s="97">
        <v>0.0</v>
      </c>
      <c r="K6" s="97">
        <v>0.0</v>
      </c>
      <c r="L6" s="97">
        <v>0.0</v>
      </c>
      <c r="M6" s="97">
        <v>0.0</v>
      </c>
      <c r="N6" s="97">
        <v>0.0</v>
      </c>
      <c r="O6" s="97">
        <v>0.0</v>
      </c>
      <c r="P6" s="97">
        <v>0.0</v>
      </c>
      <c r="Q6" s="97">
        <v>1.68160055E8</v>
      </c>
      <c r="R6" s="97"/>
      <c r="S6" s="97"/>
      <c r="T6" s="97"/>
      <c r="U6" s="97"/>
      <c r="V6" s="97"/>
    </row>
    <row r="7" ht="15.75" customHeight="1">
      <c r="A7" s="59" t="str">
        <f t="array" ref="A7">XLOOKUP(C7, 'マスタ'!$C$2:$C$312, 'マスタ'!$D$2:$D$312, "マスタ未登録")</f>
        <v>売上高</v>
      </c>
      <c r="B7" s="53" t="str">
        <f>IF(AND(C7&lt;&gt;"", COUNTIF('マスタ'!$C:$C, C7)=0), "マスタ未登録", "")</f>
        <v/>
      </c>
      <c r="C7" s="53" t="str">
        <f t="shared" si="1"/>
        <v>興行売上</v>
      </c>
      <c r="D7" s="10" t="s">
        <v>612</v>
      </c>
      <c r="E7" s="97">
        <v>8.61877015E8</v>
      </c>
      <c r="F7" s="97">
        <v>0.0</v>
      </c>
      <c r="G7" s="97">
        <v>0.0</v>
      </c>
      <c r="H7" s="97">
        <v>0.0</v>
      </c>
      <c r="I7" s="97">
        <v>0.0</v>
      </c>
      <c r="J7" s="97">
        <v>0.0</v>
      </c>
      <c r="K7" s="97">
        <v>0.0</v>
      </c>
      <c r="L7" s="97">
        <v>0.0</v>
      </c>
      <c r="M7" s="97">
        <v>0.0</v>
      </c>
      <c r="N7" s="97">
        <v>0.0</v>
      </c>
      <c r="O7" s="97">
        <v>0.0</v>
      </c>
      <c r="P7" s="97">
        <v>0.0</v>
      </c>
      <c r="Q7" s="97">
        <v>8.61877015E8</v>
      </c>
      <c r="R7" s="10"/>
      <c r="S7" s="10"/>
      <c r="T7" s="10"/>
      <c r="U7" s="10"/>
      <c r="V7" s="10"/>
    </row>
    <row r="8" ht="15.75" customHeight="1">
      <c r="A8" s="59" t="str">
        <f t="array" ref="A8">XLOOKUP(C8, 'マスタ'!$C$2:$C$312, 'マスタ'!$D$2:$D$312, "マスタ未登録")</f>
        <v>マスタ未登録</v>
      </c>
      <c r="B8" s="53" t="str">
        <f>IF(AND(C8&lt;&gt;"", COUNTIF('マスタ'!$C:$C, C8)=0), "マスタ未登録", "")</f>
        <v>マスタ未登録</v>
      </c>
      <c r="C8" s="53" t="str">
        <f t="shared" si="1"/>
        <v>配信売上</v>
      </c>
      <c r="D8" s="10" t="s">
        <v>641</v>
      </c>
      <c r="E8" s="97">
        <v>7376479.0</v>
      </c>
      <c r="F8" s="97">
        <v>0.0</v>
      </c>
      <c r="G8" s="97">
        <v>0.0</v>
      </c>
      <c r="H8" s="97">
        <v>0.0</v>
      </c>
      <c r="I8" s="97">
        <v>0.0</v>
      </c>
      <c r="J8" s="97">
        <v>0.0</v>
      </c>
      <c r="K8" s="97">
        <v>0.0</v>
      </c>
      <c r="L8" s="97">
        <v>0.0</v>
      </c>
      <c r="M8" s="97">
        <v>0.0</v>
      </c>
      <c r="N8" s="97">
        <v>0.0</v>
      </c>
      <c r="O8" s="97">
        <v>0.0</v>
      </c>
      <c r="P8" s="97">
        <v>0.0</v>
      </c>
      <c r="Q8" s="97">
        <v>7376479.0</v>
      </c>
      <c r="R8" s="97"/>
      <c r="S8" s="97"/>
      <c r="T8" s="97"/>
      <c r="U8" s="97"/>
      <c r="V8" s="97"/>
    </row>
    <row r="9" ht="15.75" customHeight="1">
      <c r="A9" s="59" t="str">
        <f t="array" ref="A9">XLOOKUP(C9, 'マスタ'!$C$2:$C$312, 'マスタ'!$D$2:$D$312, "マスタ未登録")</f>
        <v>売上高</v>
      </c>
      <c r="B9" s="53" t="str">
        <f>IF(AND(C9&lt;&gt;"", COUNTIF('マスタ'!$C:$C, C9)=0), "マスタ未登録", "")</f>
        <v/>
      </c>
      <c r="C9" s="53" t="str">
        <f t="shared" si="1"/>
        <v>出演料売上</v>
      </c>
      <c r="D9" s="10" t="s">
        <v>613</v>
      </c>
      <c r="E9" s="97">
        <v>9429548.0</v>
      </c>
      <c r="F9" s="97">
        <v>5133333.0</v>
      </c>
      <c r="G9" s="97">
        <v>4583333.0</v>
      </c>
      <c r="H9" s="97">
        <v>3750000.0</v>
      </c>
      <c r="I9" s="97">
        <v>3750000.0</v>
      </c>
      <c r="J9" s="97">
        <v>3750000.0</v>
      </c>
      <c r="K9" s="97">
        <v>3750007.0</v>
      </c>
      <c r="L9" s="97">
        <v>0.0</v>
      </c>
      <c r="M9" s="97">
        <v>0.0</v>
      </c>
      <c r="N9" s="97">
        <v>0.0</v>
      </c>
      <c r="O9" s="97">
        <v>0.0</v>
      </c>
      <c r="P9" s="97">
        <v>0.0</v>
      </c>
      <c r="Q9" s="97">
        <v>3.4146221E7</v>
      </c>
      <c r="R9" s="97"/>
      <c r="S9" s="97"/>
      <c r="T9" s="97"/>
      <c r="U9" s="97"/>
      <c r="V9" s="97"/>
    </row>
    <row r="10" ht="15.75" customHeight="1">
      <c r="A10" s="59" t="str">
        <f t="array" ref="A10">XLOOKUP(C10, 'マスタ'!$C$2:$C$312, 'マスタ'!$D$2:$D$312, "マスタ未登録")</f>
        <v>売上高</v>
      </c>
      <c r="B10" s="53" t="str">
        <f>IF(AND(C10&lt;&gt;"", COUNTIF('マスタ'!$C:$C, C10)=0), "マスタ未登録", "")</f>
        <v/>
      </c>
      <c r="C10" s="53" t="str">
        <f t="shared" si="1"/>
        <v>ロイヤリティ売上</v>
      </c>
      <c r="D10" s="10" t="s">
        <v>614</v>
      </c>
      <c r="E10" s="97">
        <v>3.46750351E8</v>
      </c>
      <c r="F10" s="97">
        <v>3.2436812E7</v>
      </c>
      <c r="G10" s="97">
        <v>0.0</v>
      </c>
      <c r="H10" s="97">
        <v>0.0</v>
      </c>
      <c r="I10" s="97">
        <v>0.0</v>
      </c>
      <c r="J10" s="97">
        <v>0.0</v>
      </c>
      <c r="K10" s="97">
        <v>0.0</v>
      </c>
      <c r="L10" s="97">
        <v>0.0</v>
      </c>
      <c r="M10" s="97">
        <v>0.0</v>
      </c>
      <c r="N10" s="97">
        <v>0.0</v>
      </c>
      <c r="O10" s="97">
        <v>0.0</v>
      </c>
      <c r="P10" s="97">
        <v>0.0</v>
      </c>
      <c r="Q10" s="97">
        <v>3.79187163E8</v>
      </c>
      <c r="R10" s="97"/>
      <c r="S10" s="97"/>
      <c r="T10" s="97"/>
      <c r="U10" s="97"/>
      <c r="V10" s="97"/>
    </row>
    <row r="11" ht="15.75" customHeight="1">
      <c r="A11" s="59" t="str">
        <f t="array" ref="A11">XLOOKUP(C11, 'マスタ'!$C$2:$C$312, 'マスタ'!$D$2:$D$312, "マスタ未登録")</f>
        <v>売上高</v>
      </c>
      <c r="B11" s="53" t="str">
        <f>IF(AND(C11&lt;&gt;"", COUNTIF('マスタ'!$C:$C, C11)=0), "マスタ未登録", "")</f>
        <v/>
      </c>
      <c r="C11" s="53" t="str">
        <f t="shared" si="1"/>
        <v>ライブハウス売上</v>
      </c>
      <c r="D11" s="10" t="s">
        <v>615</v>
      </c>
      <c r="E11" s="97">
        <v>6280000.0</v>
      </c>
      <c r="F11" s="97">
        <v>2850000.0</v>
      </c>
      <c r="G11" s="97">
        <v>0.0</v>
      </c>
      <c r="H11" s="97">
        <v>100000.0</v>
      </c>
      <c r="I11" s="97">
        <v>0.0</v>
      </c>
      <c r="J11" s="97">
        <v>0.0</v>
      </c>
      <c r="K11" s="97">
        <v>0.0</v>
      </c>
      <c r="L11" s="97">
        <v>0.0</v>
      </c>
      <c r="M11" s="97">
        <v>0.0</v>
      </c>
      <c r="N11" s="97">
        <v>0.0</v>
      </c>
      <c r="O11" s="97">
        <v>0.0</v>
      </c>
      <c r="P11" s="97">
        <v>0.0</v>
      </c>
      <c r="Q11" s="97">
        <v>9230000.0</v>
      </c>
      <c r="R11" s="97"/>
      <c r="S11" s="97"/>
      <c r="T11" s="97"/>
      <c r="U11" s="97"/>
      <c r="V11" s="97"/>
    </row>
    <row r="12" ht="15.75" customHeight="1">
      <c r="A12" s="59" t="str">
        <f t="array" ref="A12">XLOOKUP(C12, 'マスタ'!$C$2:$C$312, 'マスタ'!$D$2:$D$312, "マスタ未登録")</f>
        <v>売上高</v>
      </c>
      <c r="B12" s="53" t="str">
        <f>IF(AND(C12&lt;&gt;"", COUNTIF('マスタ'!$C:$C, C12)=0), "マスタ未登録", "")</f>
        <v/>
      </c>
      <c r="C12" s="53" t="str">
        <f t="shared" si="1"/>
        <v>飲食売上</v>
      </c>
      <c r="D12" s="10" t="s">
        <v>616</v>
      </c>
      <c r="E12" s="97">
        <v>1562190.0</v>
      </c>
      <c r="F12" s="97">
        <v>680185.0</v>
      </c>
      <c r="G12" s="97">
        <v>0.0</v>
      </c>
      <c r="H12" s="97">
        <v>0.0</v>
      </c>
      <c r="I12" s="97">
        <v>0.0</v>
      </c>
      <c r="J12" s="97">
        <v>0.0</v>
      </c>
      <c r="K12" s="97">
        <v>0.0</v>
      </c>
      <c r="L12" s="97">
        <v>0.0</v>
      </c>
      <c r="M12" s="97">
        <v>0.0</v>
      </c>
      <c r="N12" s="97">
        <v>0.0</v>
      </c>
      <c r="O12" s="97">
        <v>0.0</v>
      </c>
      <c r="P12" s="97">
        <v>0.0</v>
      </c>
      <c r="Q12" s="97">
        <v>2242375.0</v>
      </c>
      <c r="R12" s="97"/>
      <c r="S12" s="97"/>
      <c r="T12" s="97"/>
      <c r="U12" s="97"/>
      <c r="V12" s="97"/>
    </row>
    <row r="13" ht="15.75" customHeight="1">
      <c r="A13" s="59" t="str">
        <f t="array" ref="A13">XLOOKUP(C13, 'マスタ'!$C$2:$C$312, 'マスタ'!$D$2:$D$312, "マスタ未登録")</f>
        <v>売上高</v>
      </c>
      <c r="B13" s="53" t="str">
        <f>IF(AND(C13&lt;&gt;"", COUNTIF('マスタ'!$C:$C, C13)=0), "マスタ未登録", "")</f>
        <v/>
      </c>
      <c r="C13" s="53" t="str">
        <f t="shared" si="1"/>
        <v>手数料等売上</v>
      </c>
      <c r="D13" s="10" t="s">
        <v>617</v>
      </c>
      <c r="E13" s="97">
        <v>597742.0</v>
      </c>
      <c r="F13" s="97">
        <v>329095.0</v>
      </c>
      <c r="G13" s="97">
        <v>0.0</v>
      </c>
      <c r="H13" s="97">
        <v>0.0</v>
      </c>
      <c r="I13" s="97">
        <v>0.0</v>
      </c>
      <c r="J13" s="97">
        <v>0.0</v>
      </c>
      <c r="K13" s="97">
        <v>0.0</v>
      </c>
      <c r="L13" s="97">
        <v>0.0</v>
      </c>
      <c r="M13" s="97">
        <v>0.0</v>
      </c>
      <c r="N13" s="97">
        <v>0.0</v>
      </c>
      <c r="O13" s="97">
        <v>0.0</v>
      </c>
      <c r="P13" s="97">
        <v>0.0</v>
      </c>
      <c r="Q13" s="97">
        <v>926837.0</v>
      </c>
      <c r="R13" s="97"/>
      <c r="S13" s="97"/>
      <c r="T13" s="97"/>
      <c r="U13" s="97"/>
      <c r="V13" s="97"/>
    </row>
    <row r="14" ht="15.75" customHeight="1">
      <c r="A14" s="59" t="str">
        <f t="array" ref="A14">XLOOKUP(C14, 'マスタ'!$C$2:$C$312, 'マスタ'!$D$2:$D$312, "マスタ未登録")</f>
        <v>売上高</v>
      </c>
      <c r="B14" s="53" t="str">
        <f>IF(AND(C14&lt;&gt;"", COUNTIF('マスタ'!$C:$C, C14)=0), "マスタ未登録", "")</f>
        <v/>
      </c>
      <c r="C14" s="53" t="str">
        <f t="shared" si="1"/>
        <v>受託業務収入</v>
      </c>
      <c r="D14" s="10" t="s">
        <v>618</v>
      </c>
      <c r="E14" s="97">
        <v>400000.0</v>
      </c>
      <c r="F14" s="97">
        <v>0.0</v>
      </c>
      <c r="G14" s="97">
        <v>0.0</v>
      </c>
      <c r="H14" s="97">
        <v>0.0</v>
      </c>
      <c r="I14" s="97">
        <v>0.0</v>
      </c>
      <c r="J14" s="97">
        <v>0.0</v>
      </c>
      <c r="K14" s="97">
        <v>0.0</v>
      </c>
      <c r="L14" s="97">
        <v>0.0</v>
      </c>
      <c r="M14" s="97">
        <v>0.0</v>
      </c>
      <c r="N14" s="97">
        <v>0.0</v>
      </c>
      <c r="O14" s="97">
        <v>0.0</v>
      </c>
      <c r="P14" s="97">
        <v>0.0</v>
      </c>
      <c r="Q14" s="97">
        <v>400000.0</v>
      </c>
      <c r="R14" s="97"/>
      <c r="S14" s="97"/>
      <c r="T14" s="97"/>
      <c r="U14" s="97"/>
      <c r="V14" s="97"/>
    </row>
    <row r="15" ht="15.75" customHeight="1">
      <c r="A15" s="59" t="str">
        <f t="array" ref="A15">XLOOKUP(C15, 'マスタ'!$C$2:$C$312, 'マスタ'!$D$2:$D$312, "マスタ未登録")</f>
        <v>売上高</v>
      </c>
      <c r="B15" s="53" t="str">
        <f>IF(AND(C15&lt;&gt;"", COUNTIF('マスタ'!$C:$C, C15)=0), "マスタ未登録", "")</f>
        <v/>
      </c>
      <c r="C15" s="53" t="str">
        <f t="shared" si="1"/>
        <v>選考料収入</v>
      </c>
      <c r="D15" s="10" t="s">
        <v>619</v>
      </c>
      <c r="E15" s="97">
        <v>413638.0</v>
      </c>
      <c r="F15" s="97">
        <v>-26364.0</v>
      </c>
      <c r="G15" s="97">
        <v>0.0</v>
      </c>
      <c r="H15" s="97">
        <v>0.0</v>
      </c>
      <c r="I15" s="97">
        <v>0.0</v>
      </c>
      <c r="J15" s="97">
        <v>0.0</v>
      </c>
      <c r="K15" s="97">
        <v>0.0</v>
      </c>
      <c r="L15" s="97">
        <v>0.0</v>
      </c>
      <c r="M15" s="97">
        <v>0.0</v>
      </c>
      <c r="N15" s="97">
        <v>0.0</v>
      </c>
      <c r="O15" s="97">
        <v>0.0</v>
      </c>
      <c r="P15" s="97">
        <v>0.0</v>
      </c>
      <c r="Q15" s="97">
        <v>387274.0</v>
      </c>
      <c r="R15" s="97"/>
      <c r="S15" s="97"/>
      <c r="T15" s="97"/>
      <c r="U15" s="97"/>
      <c r="V15" s="97"/>
    </row>
    <row r="16" ht="15.75" customHeight="1">
      <c r="A16" s="59" t="str">
        <f t="array" ref="A16">XLOOKUP(C16, 'マスタ'!$C$2:$C$312, 'マスタ'!$D$2:$D$312, "マスタ未登録")</f>
        <v>売上高</v>
      </c>
      <c r="B16" s="53" t="str">
        <f>IF(AND(C16&lt;&gt;"", COUNTIF('マスタ'!$C:$C, C16)=0), "マスタ未登録", "")</f>
        <v/>
      </c>
      <c r="C16" s="53" t="str">
        <f t="shared" si="1"/>
        <v>その他売上</v>
      </c>
      <c r="D16" s="10" t="s">
        <v>620</v>
      </c>
      <c r="E16" s="97">
        <v>7.593011E7</v>
      </c>
      <c r="F16" s="97">
        <v>1.5545487E7</v>
      </c>
      <c r="G16" s="97">
        <v>0.0</v>
      </c>
      <c r="H16" s="97">
        <v>0.0</v>
      </c>
      <c r="I16" s="97">
        <v>0.0</v>
      </c>
      <c r="J16" s="97">
        <v>0.0</v>
      </c>
      <c r="K16" s="97">
        <v>0.0</v>
      </c>
      <c r="L16" s="97">
        <v>0.0</v>
      </c>
      <c r="M16" s="97">
        <v>0.0</v>
      </c>
      <c r="N16" s="97">
        <v>0.0</v>
      </c>
      <c r="O16" s="97">
        <v>0.0</v>
      </c>
      <c r="P16" s="97">
        <v>0.0</v>
      </c>
      <c r="Q16" s="97">
        <v>9.1475597E7</v>
      </c>
      <c r="R16" s="97"/>
      <c r="S16" s="97"/>
      <c r="T16" s="97"/>
      <c r="U16" s="97"/>
      <c r="V16" s="97"/>
    </row>
    <row r="17" ht="15.75" customHeight="1">
      <c r="A17" s="59" t="str">
        <f t="array" ref="A17">XLOOKUP(C17, 'マスタ'!$C$2:$C$312, 'マスタ'!$D$2:$D$312, "マスタ未登録")</f>
        <v>マスタ未登録</v>
      </c>
      <c r="B17" s="53" t="str">
        <f>IF(AND(C17&lt;&gt;"", COUNTIF('マスタ'!$C:$C, C17)=0), "マスタ未登録", "")</f>
        <v>マスタ未登録</v>
      </c>
      <c r="C17" s="53" t="str">
        <f t="shared" si="1"/>
        <v>売上高 計</v>
      </c>
      <c r="D17" s="10" t="s">
        <v>226</v>
      </c>
      <c r="E17" s="97">
        <v>1.733680547E9</v>
      </c>
      <c r="F17" s="97">
        <v>5.6948548E7</v>
      </c>
      <c r="G17" s="97">
        <v>4583333.0</v>
      </c>
      <c r="H17" s="97">
        <v>3850000.0</v>
      </c>
      <c r="I17" s="97">
        <v>3750000.0</v>
      </c>
      <c r="J17" s="97">
        <v>3750000.0</v>
      </c>
      <c r="K17" s="97">
        <v>3750007.0</v>
      </c>
      <c r="L17" s="97">
        <v>0.0</v>
      </c>
      <c r="M17" s="97">
        <v>0.0</v>
      </c>
      <c r="N17" s="97">
        <v>0.0</v>
      </c>
      <c r="O17" s="97">
        <v>0.0</v>
      </c>
      <c r="P17" s="97">
        <v>0.0</v>
      </c>
      <c r="Q17" s="97">
        <v>1.810312435E9</v>
      </c>
      <c r="R17" s="97"/>
      <c r="S17" s="97"/>
      <c r="T17" s="97"/>
      <c r="U17" s="97"/>
      <c r="V17" s="97"/>
    </row>
    <row r="18" ht="15.75" customHeight="1">
      <c r="A18" s="59" t="str">
        <f t="array" ref="A18">XLOOKUP(C18, 'マスタ'!$C$2:$C$312, 'マスタ'!$D$2:$D$312, "マスタ未登録")</f>
        <v>マスタ未登録</v>
      </c>
      <c r="B18" s="53" t="str">
        <f>IF(AND(C18&lt;&gt;"", COUNTIF('マスタ'!$C:$C, C18)=0), "マスタ未登録", "")</f>
        <v>マスタ未登録</v>
      </c>
      <c r="C18" s="53" t="str">
        <f t="shared" si="1"/>
        <v>売上原価</v>
      </c>
      <c r="D18" s="10" t="s">
        <v>28</v>
      </c>
      <c r="E18" s="10"/>
      <c r="F18" s="10"/>
      <c r="G18" s="10"/>
      <c r="H18" s="10"/>
      <c r="I18" s="10"/>
      <c r="J18" s="10"/>
      <c r="K18" s="10"/>
      <c r="L18" s="10"/>
      <c r="M18" s="10"/>
      <c r="N18" s="10"/>
      <c r="O18" s="10"/>
      <c r="P18" s="10"/>
      <c r="Q18" s="10"/>
      <c r="R18" s="97"/>
      <c r="S18" s="97"/>
      <c r="T18" s="97"/>
      <c r="U18" s="97"/>
      <c r="V18" s="97"/>
    </row>
    <row r="19" ht="15.75" customHeight="1">
      <c r="A19" s="59" t="str">
        <f t="array" ref="A19">XLOOKUP(C19, 'マスタ'!$C$2:$C$312, 'マスタ'!$D$2:$D$312, "マスタ未登録")</f>
        <v>マスタ未登録</v>
      </c>
      <c r="B19" s="53" t="str">
        <f>IF(AND(C19&lt;&gt;"", COUNTIF('マスタ'!$C:$C, C19)=0), "マスタ未登録", "")</f>
        <v>マスタ未登録</v>
      </c>
      <c r="C19" s="53" t="str">
        <f t="shared" si="1"/>
        <v>売上原価</v>
      </c>
      <c r="D19" s="10" t="s">
        <v>28</v>
      </c>
      <c r="E19" s="97">
        <v>7.51905393E8</v>
      </c>
      <c r="F19" s="97">
        <v>1007969.0</v>
      </c>
      <c r="G19" s="97">
        <v>0.0</v>
      </c>
      <c r="H19" s="97">
        <v>0.0</v>
      </c>
      <c r="I19" s="97">
        <v>0.0</v>
      </c>
      <c r="J19" s="97">
        <v>0.0</v>
      </c>
      <c r="K19" s="97">
        <v>0.0</v>
      </c>
      <c r="L19" s="97">
        <v>0.0</v>
      </c>
      <c r="M19" s="97">
        <v>0.0</v>
      </c>
      <c r="N19" s="97">
        <v>0.0</v>
      </c>
      <c r="O19" s="97">
        <v>0.0</v>
      </c>
      <c r="P19" s="97">
        <v>0.0</v>
      </c>
      <c r="Q19" s="97">
        <v>7.52913362E8</v>
      </c>
      <c r="R19" s="97"/>
      <c r="S19" s="97"/>
      <c r="T19" s="97"/>
      <c r="U19" s="97"/>
      <c r="V19" s="97"/>
    </row>
    <row r="20" ht="15.75" customHeight="1">
      <c r="A20" s="59" t="str">
        <f t="array" ref="A20">XLOOKUP(C20, 'マスタ'!$C$2:$C$312, 'マスタ'!$D$2:$D$312, "マスタ未登録")</f>
        <v>期首商品棚卸高</v>
      </c>
      <c r="B20" s="53" t="str">
        <f>IF(AND(C20&lt;&gt;"", COUNTIF('マスタ'!$C:$C, C20)=0), "マスタ未登録", "")</f>
        <v/>
      </c>
      <c r="C20" s="53" t="str">
        <f t="shared" si="1"/>
        <v>期首商品棚卸</v>
      </c>
      <c r="D20" s="10" t="s">
        <v>227</v>
      </c>
      <c r="E20" s="97">
        <v>1.2874253E7</v>
      </c>
      <c r="F20" s="97">
        <v>0.0</v>
      </c>
      <c r="G20" s="97">
        <v>0.0</v>
      </c>
      <c r="H20" s="97">
        <v>0.0</v>
      </c>
      <c r="I20" s="97">
        <v>0.0</v>
      </c>
      <c r="J20" s="97">
        <v>0.0</v>
      </c>
      <c r="K20" s="97">
        <v>0.0</v>
      </c>
      <c r="L20" s="97">
        <v>0.0</v>
      </c>
      <c r="M20" s="97">
        <v>0.0</v>
      </c>
      <c r="N20" s="97">
        <v>0.0</v>
      </c>
      <c r="O20" s="97">
        <v>0.0</v>
      </c>
      <c r="P20" s="97">
        <v>0.0</v>
      </c>
      <c r="Q20" s="97">
        <v>1.2874253E7</v>
      </c>
      <c r="R20" s="97"/>
      <c r="S20" s="97"/>
      <c r="T20" s="97"/>
      <c r="U20" s="97"/>
      <c r="V20" s="97"/>
    </row>
    <row r="21" ht="15.75" customHeight="1">
      <c r="A21" s="59" t="str">
        <f t="array" ref="A21">XLOOKUP(C21, 'マスタ'!$C$2:$C$312, 'マスタ'!$D$2:$D$312, "マスタ未登録")</f>
        <v>期首商品棚卸高</v>
      </c>
      <c r="B21" s="53" t="str">
        <f>IF(AND(C21&lt;&gt;"", COUNTIF('マスタ'!$C:$C, C21)=0), "マスタ未登録", "")</f>
        <v/>
      </c>
      <c r="C21" s="53" t="str">
        <f t="shared" si="1"/>
        <v>期首商品棚卸高</v>
      </c>
      <c r="D21" s="10" t="s">
        <v>68</v>
      </c>
      <c r="E21" s="97">
        <v>1.2874253E7</v>
      </c>
      <c r="F21" s="97">
        <v>0.0</v>
      </c>
      <c r="G21" s="97">
        <v>0.0</v>
      </c>
      <c r="H21" s="97">
        <v>0.0</v>
      </c>
      <c r="I21" s="97">
        <v>0.0</v>
      </c>
      <c r="J21" s="97">
        <v>0.0</v>
      </c>
      <c r="K21" s="97">
        <v>0.0</v>
      </c>
      <c r="L21" s="97">
        <v>0.0</v>
      </c>
      <c r="M21" s="97">
        <v>0.0</v>
      </c>
      <c r="N21" s="97">
        <v>0.0</v>
      </c>
      <c r="O21" s="97">
        <v>0.0</v>
      </c>
      <c r="P21" s="97">
        <v>0.0</v>
      </c>
      <c r="Q21" s="97">
        <v>1.2874253E7</v>
      </c>
      <c r="R21" s="97"/>
      <c r="S21" s="97"/>
      <c r="T21" s="97"/>
      <c r="U21" s="97"/>
      <c r="V21" s="97"/>
    </row>
    <row r="22" ht="15.75" customHeight="1">
      <c r="A22" s="59" t="str">
        <f t="array" ref="A22">XLOOKUP(C22, 'マスタ'!$C$2:$C$312, 'マスタ'!$D$2:$D$312, "マスタ未登録")</f>
        <v>当期商品仕入高</v>
      </c>
      <c r="B22" s="53" t="str">
        <f>IF(AND(C22&lt;&gt;"", COUNTIF('マスタ'!$C:$C, C22)=0), "マスタ未登録", "")</f>
        <v/>
      </c>
      <c r="C22" s="53" t="str">
        <f t="shared" si="1"/>
        <v>当期商品仕入</v>
      </c>
      <c r="D22" s="10" t="s">
        <v>228</v>
      </c>
      <c r="E22" s="97">
        <v>7.39175507E8</v>
      </c>
      <c r="F22" s="97">
        <v>1007969.0</v>
      </c>
      <c r="G22" s="97">
        <v>0.0</v>
      </c>
      <c r="H22" s="97">
        <v>0.0</v>
      </c>
      <c r="I22" s="97">
        <v>0.0</v>
      </c>
      <c r="J22" s="97">
        <v>0.0</v>
      </c>
      <c r="K22" s="97">
        <v>0.0</v>
      </c>
      <c r="L22" s="97">
        <v>0.0</v>
      </c>
      <c r="M22" s="97">
        <v>0.0</v>
      </c>
      <c r="N22" s="97">
        <v>0.0</v>
      </c>
      <c r="O22" s="97">
        <v>0.0</v>
      </c>
      <c r="P22" s="97">
        <v>0.0</v>
      </c>
      <c r="Q22" s="97">
        <v>7.40183476E8</v>
      </c>
      <c r="R22" s="97"/>
      <c r="S22" s="97"/>
      <c r="T22" s="97"/>
      <c r="U22" s="97"/>
      <c r="V22" s="97"/>
    </row>
    <row r="23" ht="15.75" customHeight="1">
      <c r="A23" s="59" t="str">
        <f t="array" ref="A23">XLOOKUP(C23, 'マスタ'!$C$2:$C$312, 'マスタ'!$D$2:$D$312, "マスタ未登録")</f>
        <v>当期商品仕入高</v>
      </c>
      <c r="B23" s="53" t="str">
        <f>IF(AND(C23&lt;&gt;"", COUNTIF('マスタ'!$C:$C, C23)=0), "マスタ未登録", "")</f>
        <v/>
      </c>
      <c r="C23" s="53" t="str">
        <f t="shared" si="1"/>
        <v>教材費</v>
      </c>
      <c r="D23" s="10" t="s">
        <v>621</v>
      </c>
      <c r="E23" s="97">
        <v>8125672.0</v>
      </c>
      <c r="F23" s="97">
        <v>85000.0</v>
      </c>
      <c r="G23" s="97">
        <v>0.0</v>
      </c>
      <c r="H23" s="97">
        <v>0.0</v>
      </c>
      <c r="I23" s="97">
        <v>0.0</v>
      </c>
      <c r="J23" s="97">
        <v>0.0</v>
      </c>
      <c r="K23" s="97">
        <v>0.0</v>
      </c>
      <c r="L23" s="97">
        <v>0.0</v>
      </c>
      <c r="M23" s="97">
        <v>0.0</v>
      </c>
      <c r="N23" s="97">
        <v>0.0</v>
      </c>
      <c r="O23" s="97">
        <v>0.0</v>
      </c>
      <c r="P23" s="97">
        <v>0.0</v>
      </c>
      <c r="Q23" s="97">
        <v>8210672.0</v>
      </c>
      <c r="R23" s="97"/>
      <c r="S23" s="97"/>
      <c r="T23" s="97"/>
      <c r="U23" s="97"/>
      <c r="V23" s="97"/>
    </row>
    <row r="24" ht="15.75" customHeight="1">
      <c r="A24" s="59" t="str">
        <f t="array" ref="A24">XLOOKUP(C24, 'マスタ'!$C$2:$C$312, 'マスタ'!$D$2:$D$312, "マスタ未登録")</f>
        <v>当期商品仕入高</v>
      </c>
      <c r="B24" s="53" t="str">
        <f>IF(AND(C24&lt;&gt;"", COUNTIF('マスタ'!$C:$C, C24)=0), "マスタ未登録", "")</f>
        <v/>
      </c>
      <c r="C24" s="53" t="str">
        <f t="shared" si="1"/>
        <v>制作費</v>
      </c>
      <c r="D24" s="10" t="s">
        <v>622</v>
      </c>
      <c r="E24" s="97">
        <v>6.42518253E8</v>
      </c>
      <c r="F24" s="97">
        <v>16000.0</v>
      </c>
      <c r="G24" s="97">
        <v>0.0</v>
      </c>
      <c r="H24" s="97">
        <v>0.0</v>
      </c>
      <c r="I24" s="97">
        <v>0.0</v>
      </c>
      <c r="J24" s="97">
        <v>0.0</v>
      </c>
      <c r="K24" s="97">
        <v>0.0</v>
      </c>
      <c r="L24" s="97">
        <v>0.0</v>
      </c>
      <c r="M24" s="97">
        <v>0.0</v>
      </c>
      <c r="N24" s="97">
        <v>0.0</v>
      </c>
      <c r="O24" s="97">
        <v>0.0</v>
      </c>
      <c r="P24" s="97">
        <v>0.0</v>
      </c>
      <c r="Q24" s="97">
        <v>6.42534253E8</v>
      </c>
      <c r="R24" s="97"/>
      <c r="S24" s="97"/>
      <c r="T24" s="97"/>
      <c r="U24" s="97"/>
      <c r="V24" s="97"/>
    </row>
    <row r="25" ht="15.75" customHeight="1">
      <c r="A25" s="59" t="str">
        <f t="array" ref="A25">XLOOKUP(C25, 'マスタ'!$C$2:$C$312, 'マスタ'!$D$2:$D$312, "マスタ未登録")</f>
        <v>当期商品仕入高</v>
      </c>
      <c r="B25" s="53" t="str">
        <f>IF(AND(C25&lt;&gt;"", COUNTIF('マスタ'!$C:$C, C25)=0), "マスタ未登録", "")</f>
        <v/>
      </c>
      <c r="C25" s="53" t="str">
        <f t="shared" si="1"/>
        <v>商品仕入</v>
      </c>
      <c r="D25" s="10" t="s">
        <v>623</v>
      </c>
      <c r="E25" s="97">
        <v>4.2107977E7</v>
      </c>
      <c r="F25" s="97">
        <v>13926.0</v>
      </c>
      <c r="G25" s="97">
        <v>0.0</v>
      </c>
      <c r="H25" s="97">
        <v>0.0</v>
      </c>
      <c r="I25" s="97">
        <v>0.0</v>
      </c>
      <c r="J25" s="97">
        <v>0.0</v>
      </c>
      <c r="K25" s="97">
        <v>0.0</v>
      </c>
      <c r="L25" s="97">
        <v>0.0</v>
      </c>
      <c r="M25" s="97">
        <v>0.0</v>
      </c>
      <c r="N25" s="97">
        <v>0.0</v>
      </c>
      <c r="O25" s="97">
        <v>0.0</v>
      </c>
      <c r="P25" s="97">
        <v>0.0</v>
      </c>
      <c r="Q25" s="97">
        <v>4.2121903E7</v>
      </c>
      <c r="R25" s="97"/>
      <c r="S25" s="97"/>
      <c r="T25" s="97"/>
      <c r="U25" s="97"/>
      <c r="V25" s="97"/>
    </row>
    <row r="26" ht="15.75" customHeight="1">
      <c r="A26" s="59" t="str">
        <f t="array" ref="A26">XLOOKUP(C26, 'マスタ'!$C$2:$C$312, 'マスタ'!$D$2:$D$312, "マスタ未登録")</f>
        <v>当期商品仕入高</v>
      </c>
      <c r="B26" s="53" t="str">
        <f>IF(AND(C26&lt;&gt;"", COUNTIF('マスタ'!$C:$C, C26)=0), "マスタ未登録", "")</f>
        <v/>
      </c>
      <c r="C26" s="53" t="str">
        <f t="shared" si="1"/>
        <v>飲食仕入</v>
      </c>
      <c r="D26" s="10" t="s">
        <v>624</v>
      </c>
      <c r="E26" s="97">
        <v>260544.0</v>
      </c>
      <c r="F26" s="97">
        <v>0.0</v>
      </c>
      <c r="G26" s="97">
        <v>0.0</v>
      </c>
      <c r="H26" s="97">
        <v>0.0</v>
      </c>
      <c r="I26" s="97">
        <v>0.0</v>
      </c>
      <c r="J26" s="97">
        <v>0.0</v>
      </c>
      <c r="K26" s="97">
        <v>0.0</v>
      </c>
      <c r="L26" s="97">
        <v>0.0</v>
      </c>
      <c r="M26" s="97">
        <v>0.0</v>
      </c>
      <c r="N26" s="97">
        <v>0.0</v>
      </c>
      <c r="O26" s="97">
        <v>0.0</v>
      </c>
      <c r="P26" s="97">
        <v>0.0</v>
      </c>
      <c r="Q26" s="97">
        <v>260544.0</v>
      </c>
      <c r="R26" s="97"/>
      <c r="S26" s="97"/>
      <c r="T26" s="97"/>
      <c r="U26" s="97"/>
      <c r="V26" s="97"/>
    </row>
    <row r="27" ht="15.75" customHeight="1">
      <c r="A27" s="59" t="str">
        <f t="array" ref="A27">XLOOKUP(C27, 'マスタ'!$C$2:$C$312, 'マスタ'!$D$2:$D$312, "マスタ未登録")</f>
        <v>当期商品仕入高</v>
      </c>
      <c r="B27" s="53" t="str">
        <f>IF(AND(C27&lt;&gt;"", COUNTIF('マスタ'!$C:$C, C27)=0), "マスタ未登録", "")</f>
        <v/>
      </c>
      <c r="C27" s="53" t="str">
        <f t="shared" si="1"/>
        <v>講師給与手当</v>
      </c>
      <c r="D27" s="10" t="s">
        <v>625</v>
      </c>
      <c r="E27" s="97">
        <v>2.2805901E7</v>
      </c>
      <c r="F27" s="97">
        <v>0.0</v>
      </c>
      <c r="G27" s="97">
        <v>0.0</v>
      </c>
      <c r="H27" s="97">
        <v>0.0</v>
      </c>
      <c r="I27" s="97">
        <v>0.0</v>
      </c>
      <c r="J27" s="97">
        <v>0.0</v>
      </c>
      <c r="K27" s="97">
        <v>0.0</v>
      </c>
      <c r="L27" s="97">
        <v>0.0</v>
      </c>
      <c r="M27" s="97">
        <v>0.0</v>
      </c>
      <c r="N27" s="97">
        <v>0.0</v>
      </c>
      <c r="O27" s="97">
        <v>0.0</v>
      </c>
      <c r="P27" s="97">
        <v>0.0</v>
      </c>
      <c r="Q27" s="97">
        <v>2.2805901E7</v>
      </c>
      <c r="R27" s="97"/>
      <c r="S27" s="97"/>
      <c r="T27" s="97"/>
      <c r="U27" s="97"/>
      <c r="V27" s="97"/>
    </row>
    <row r="28" ht="15.75" customHeight="1">
      <c r="A28" s="59" t="str">
        <f t="array" ref="A28">XLOOKUP(C28, 'マスタ'!$C$2:$C$312, 'マスタ'!$D$2:$D$312, "マスタ未登録")</f>
        <v>当期商品仕入高</v>
      </c>
      <c r="B28" s="53" t="str">
        <f>IF(AND(C28&lt;&gt;"", COUNTIF('マスタ'!$C:$C, C28)=0), "マスタ未登録", "")</f>
        <v/>
      </c>
      <c r="C28" s="53" t="str">
        <f t="shared" si="1"/>
        <v>コマ講師費用</v>
      </c>
      <c r="D28" s="10" t="s">
        <v>626</v>
      </c>
      <c r="E28" s="97">
        <v>1.8020706E7</v>
      </c>
      <c r="F28" s="97">
        <v>143070.0</v>
      </c>
      <c r="G28" s="97">
        <v>0.0</v>
      </c>
      <c r="H28" s="97">
        <v>0.0</v>
      </c>
      <c r="I28" s="97">
        <v>0.0</v>
      </c>
      <c r="J28" s="97">
        <v>0.0</v>
      </c>
      <c r="K28" s="97">
        <v>0.0</v>
      </c>
      <c r="L28" s="97">
        <v>0.0</v>
      </c>
      <c r="M28" s="97">
        <v>0.0</v>
      </c>
      <c r="N28" s="97">
        <v>0.0</v>
      </c>
      <c r="O28" s="97">
        <v>0.0</v>
      </c>
      <c r="P28" s="97">
        <v>0.0</v>
      </c>
      <c r="Q28" s="97">
        <v>1.8163776E7</v>
      </c>
      <c r="R28" s="97"/>
      <c r="S28" s="97"/>
      <c r="T28" s="97"/>
      <c r="U28" s="97"/>
      <c r="V28" s="97"/>
    </row>
    <row r="29" ht="15.75" customHeight="1">
      <c r="A29" s="59" t="str">
        <f t="array" ref="A29">XLOOKUP(C29, 'マスタ'!$C$2:$C$312, 'マスタ'!$D$2:$D$312, "マスタ未登録")</f>
        <v>当期商品仕入高</v>
      </c>
      <c r="B29" s="53" t="str">
        <f>IF(AND(C29&lt;&gt;"", COUNTIF('マスタ'!$C:$C, C29)=0), "マスタ未登録", "")</f>
        <v/>
      </c>
      <c r="C29" s="53" t="str">
        <f t="shared" si="1"/>
        <v>講師法定福利費</v>
      </c>
      <c r="D29" s="10" t="s">
        <v>627</v>
      </c>
      <c r="E29" s="97">
        <v>3513252.0</v>
      </c>
      <c r="F29" s="97">
        <v>0.0</v>
      </c>
      <c r="G29" s="97">
        <v>0.0</v>
      </c>
      <c r="H29" s="97">
        <v>0.0</v>
      </c>
      <c r="I29" s="97">
        <v>0.0</v>
      </c>
      <c r="J29" s="97">
        <v>0.0</v>
      </c>
      <c r="K29" s="97">
        <v>0.0</v>
      </c>
      <c r="L29" s="97">
        <v>0.0</v>
      </c>
      <c r="M29" s="97">
        <v>0.0</v>
      </c>
      <c r="N29" s="97">
        <v>0.0</v>
      </c>
      <c r="O29" s="97">
        <v>0.0</v>
      </c>
      <c r="P29" s="97">
        <v>0.0</v>
      </c>
      <c r="Q29" s="97">
        <v>3513252.0</v>
      </c>
      <c r="R29" s="10"/>
      <c r="S29" s="10"/>
      <c r="T29" s="10"/>
      <c r="U29" s="10"/>
      <c r="V29" s="10"/>
    </row>
    <row r="30" ht="15.75" customHeight="1">
      <c r="A30" s="59" t="str">
        <f t="array" ref="A30">XLOOKUP(C30, 'マスタ'!$C$2:$C$312, 'マスタ'!$D$2:$D$312, "マスタ未登録")</f>
        <v>当期商品仕入高</v>
      </c>
      <c r="B30" s="53" t="str">
        <f>IF(AND(C30&lt;&gt;"", COUNTIF('マスタ'!$C:$C, C30)=0), "マスタ未登録", "")</f>
        <v/>
      </c>
      <c r="C30" s="53" t="str">
        <f t="shared" si="1"/>
        <v>講師通勤費</v>
      </c>
      <c r="D30" s="10" t="s">
        <v>628</v>
      </c>
      <c r="E30" s="97">
        <v>1823202.0</v>
      </c>
      <c r="F30" s="97">
        <v>749973.0</v>
      </c>
      <c r="G30" s="97">
        <v>0.0</v>
      </c>
      <c r="H30" s="97">
        <v>0.0</v>
      </c>
      <c r="I30" s="97">
        <v>0.0</v>
      </c>
      <c r="J30" s="97">
        <v>0.0</v>
      </c>
      <c r="K30" s="97">
        <v>0.0</v>
      </c>
      <c r="L30" s="97">
        <v>0.0</v>
      </c>
      <c r="M30" s="97">
        <v>0.0</v>
      </c>
      <c r="N30" s="97">
        <v>0.0</v>
      </c>
      <c r="O30" s="97">
        <v>0.0</v>
      </c>
      <c r="P30" s="97">
        <v>0.0</v>
      </c>
      <c r="Q30" s="97">
        <v>2573175.0</v>
      </c>
      <c r="R30" s="97"/>
      <c r="S30" s="97"/>
      <c r="T30" s="97"/>
      <c r="U30" s="97"/>
      <c r="V30" s="97"/>
    </row>
    <row r="31" ht="15.75" customHeight="1">
      <c r="A31" s="59" t="str">
        <f t="array" ref="A31">XLOOKUP(C31, 'マスタ'!$C$2:$C$312, 'マスタ'!$D$2:$D$312, "マスタ未登録")</f>
        <v>他勘定振替高</v>
      </c>
      <c r="B31" s="53" t="str">
        <f>IF(AND(C31&lt;&gt;"", COUNTIF('マスタ'!$C:$C, C31)=0), "マスタ未登録", "")</f>
        <v/>
      </c>
      <c r="C31" s="53" t="str">
        <f t="shared" si="1"/>
        <v>他勘定振替高(商)</v>
      </c>
      <c r="D31" s="10" t="s">
        <v>235</v>
      </c>
      <c r="E31" s="97">
        <v>0.0</v>
      </c>
      <c r="F31" s="97">
        <v>0.0</v>
      </c>
      <c r="G31" s="97">
        <v>0.0</v>
      </c>
      <c r="H31" s="97">
        <v>0.0</v>
      </c>
      <c r="I31" s="97">
        <v>0.0</v>
      </c>
      <c r="J31" s="97">
        <v>0.0</v>
      </c>
      <c r="K31" s="97">
        <v>0.0</v>
      </c>
      <c r="L31" s="97">
        <v>0.0</v>
      </c>
      <c r="M31" s="97">
        <v>0.0</v>
      </c>
      <c r="N31" s="97">
        <v>0.0</v>
      </c>
      <c r="O31" s="97">
        <v>0.0</v>
      </c>
      <c r="P31" s="97">
        <v>0.0</v>
      </c>
      <c r="Q31" s="97">
        <v>0.0</v>
      </c>
      <c r="R31" s="97"/>
      <c r="S31" s="97"/>
      <c r="T31" s="97"/>
      <c r="U31" s="97"/>
      <c r="V31" s="97"/>
    </row>
    <row r="32" ht="15.75" customHeight="1">
      <c r="A32" s="59" t="str">
        <f t="array" ref="A32">XLOOKUP(C32, 'マスタ'!$C$2:$C$312, 'マスタ'!$D$2:$D$312, "マスタ未登録")</f>
        <v>期末商品棚卸高</v>
      </c>
      <c r="B32" s="53" t="str">
        <f>IF(AND(C32&lt;&gt;"", COUNTIF('マスタ'!$C:$C, C32)=0), "マスタ未登録", "")</f>
        <v/>
      </c>
      <c r="C32" s="53" t="str">
        <f t="shared" si="1"/>
        <v>期末商品棚卸</v>
      </c>
      <c r="D32" s="10" t="s">
        <v>236</v>
      </c>
      <c r="E32" s="97">
        <v>144367.0</v>
      </c>
      <c r="F32" s="97">
        <v>0.0</v>
      </c>
      <c r="G32" s="97">
        <v>0.0</v>
      </c>
      <c r="H32" s="97">
        <v>0.0</v>
      </c>
      <c r="I32" s="97">
        <v>0.0</v>
      </c>
      <c r="J32" s="97">
        <v>0.0</v>
      </c>
      <c r="K32" s="97">
        <v>0.0</v>
      </c>
      <c r="L32" s="97">
        <v>0.0</v>
      </c>
      <c r="M32" s="97">
        <v>0.0</v>
      </c>
      <c r="N32" s="97">
        <v>0.0</v>
      </c>
      <c r="O32" s="97">
        <v>0.0</v>
      </c>
      <c r="P32" s="97">
        <v>0.0</v>
      </c>
      <c r="Q32" s="97">
        <v>144367.0</v>
      </c>
      <c r="R32" s="97"/>
      <c r="S32" s="97"/>
      <c r="T32" s="97"/>
      <c r="U32" s="97"/>
      <c r="V32" s="97"/>
    </row>
    <row r="33" ht="15.75" customHeight="1">
      <c r="A33" s="59" t="str">
        <f t="array" ref="A33">XLOOKUP(C33, 'マスタ'!$C$2:$C$312, 'マスタ'!$D$2:$D$312, "マスタ未登録")</f>
        <v>期末商品棚卸高</v>
      </c>
      <c r="B33" s="53" t="str">
        <f>IF(AND(C33&lt;&gt;"", COUNTIF('マスタ'!$C:$C, C33)=0), "マスタ未登録", "")</f>
        <v/>
      </c>
      <c r="C33" s="53" t="str">
        <f t="shared" si="1"/>
        <v>期末商品棚卸高</v>
      </c>
      <c r="D33" s="10" t="s">
        <v>71</v>
      </c>
      <c r="E33" s="97">
        <v>144367.0</v>
      </c>
      <c r="F33" s="97">
        <v>0.0</v>
      </c>
      <c r="G33" s="97">
        <v>0.0</v>
      </c>
      <c r="H33" s="97">
        <v>0.0</v>
      </c>
      <c r="I33" s="97">
        <v>0.0</v>
      </c>
      <c r="J33" s="97">
        <v>0.0</v>
      </c>
      <c r="K33" s="97">
        <v>0.0</v>
      </c>
      <c r="L33" s="97">
        <v>0.0</v>
      </c>
      <c r="M33" s="97">
        <v>0.0</v>
      </c>
      <c r="N33" s="97">
        <v>0.0</v>
      </c>
      <c r="O33" s="97">
        <v>0.0</v>
      </c>
      <c r="P33" s="97">
        <v>0.0</v>
      </c>
      <c r="Q33" s="97">
        <v>144367.0</v>
      </c>
      <c r="R33" s="97"/>
      <c r="S33" s="97"/>
      <c r="T33" s="97"/>
      <c r="U33" s="97"/>
      <c r="V33" s="97"/>
    </row>
    <row r="34" ht="15.75" customHeight="1">
      <c r="A34" s="59" t="str">
        <f t="array" ref="A34">XLOOKUP(C34, 'マスタ'!$C$2:$C$312, 'マスタ'!$D$2:$D$312, "マスタ未登録")</f>
        <v>マスタ未登録</v>
      </c>
      <c r="B34" s="53" t="str">
        <f>IF(AND(C34&lt;&gt;"", COUNTIF('マスタ'!$C:$C, C34)=0), "マスタ未登録", "")</f>
        <v>マスタ未登録</v>
      </c>
      <c r="C34" s="53" t="str">
        <f t="shared" si="1"/>
        <v>商品売上原価</v>
      </c>
      <c r="D34" s="10" t="s">
        <v>3</v>
      </c>
      <c r="E34" s="97">
        <v>7.51905393E8</v>
      </c>
      <c r="F34" s="97">
        <v>1007969.0</v>
      </c>
      <c r="G34" s="97">
        <v>0.0</v>
      </c>
      <c r="H34" s="97">
        <v>0.0</v>
      </c>
      <c r="I34" s="97">
        <v>0.0</v>
      </c>
      <c r="J34" s="97">
        <v>0.0</v>
      </c>
      <c r="K34" s="97">
        <v>0.0</v>
      </c>
      <c r="L34" s="97">
        <v>0.0</v>
      </c>
      <c r="M34" s="97">
        <v>0.0</v>
      </c>
      <c r="N34" s="97">
        <v>0.0</v>
      </c>
      <c r="O34" s="97">
        <v>0.0</v>
      </c>
      <c r="P34" s="97">
        <v>0.0</v>
      </c>
      <c r="Q34" s="97">
        <v>7.52913362E8</v>
      </c>
      <c r="R34" s="97"/>
      <c r="S34" s="97"/>
      <c r="T34" s="97"/>
      <c r="U34" s="97"/>
      <c r="V34" s="97"/>
    </row>
    <row r="35" ht="15.75" customHeight="1">
      <c r="A35" s="59" t="str">
        <f t="array" ref="A35">XLOOKUP(C35, 'マスタ'!$C$2:$C$312, 'マスタ'!$D$2:$D$312, "マスタ未登録")</f>
        <v>マスタ未登録</v>
      </c>
      <c r="B35" s="53" t="str">
        <f>IF(AND(C35&lt;&gt;"", COUNTIF('マスタ'!$C:$C, C35)=0), "マスタ未登録", "")</f>
        <v>マスタ未登録</v>
      </c>
      <c r="C35" s="53" t="str">
        <f t="shared" si="1"/>
        <v>売上総損益金額</v>
      </c>
      <c r="D35" s="10" t="s">
        <v>237</v>
      </c>
      <c r="E35" s="97">
        <v>9.81775154E8</v>
      </c>
      <c r="F35" s="97">
        <v>5.5940579E7</v>
      </c>
      <c r="G35" s="97">
        <v>4583333.0</v>
      </c>
      <c r="H35" s="97">
        <v>3850000.0</v>
      </c>
      <c r="I35" s="97">
        <v>3750000.0</v>
      </c>
      <c r="J35" s="97">
        <v>3750000.0</v>
      </c>
      <c r="K35" s="97">
        <v>3750007.0</v>
      </c>
      <c r="L35" s="97">
        <v>0.0</v>
      </c>
      <c r="M35" s="97">
        <v>0.0</v>
      </c>
      <c r="N35" s="97">
        <v>0.0</v>
      </c>
      <c r="O35" s="97">
        <v>0.0</v>
      </c>
      <c r="P35" s="97">
        <v>0.0</v>
      </c>
      <c r="Q35" s="97">
        <v>1.057399073E9</v>
      </c>
      <c r="R35" s="97"/>
      <c r="S35" s="97"/>
      <c r="T35" s="97"/>
      <c r="U35" s="97"/>
      <c r="V35" s="97"/>
    </row>
    <row r="36" ht="15.75" customHeight="1">
      <c r="A36" s="59" t="str">
        <f t="array" ref="A36">XLOOKUP(C36, 'マスタ'!$C$2:$C$312, 'マスタ'!$D$2:$D$312, "マスタ未登録")</f>
        <v>マスタ未登録</v>
      </c>
      <c r="B36" s="53" t="str">
        <f>IF(AND(C36&lt;&gt;"", COUNTIF('マスタ'!$C:$C, C36)=0), "マスタ未登録", "")</f>
        <v>マスタ未登録</v>
      </c>
      <c r="C36" s="53" t="str">
        <f t="shared" si="1"/>
        <v>販売管理費</v>
      </c>
      <c r="D36" s="10" t="s">
        <v>238</v>
      </c>
      <c r="E36" s="10"/>
      <c r="F36" s="10"/>
      <c r="G36" s="10"/>
      <c r="H36" s="10"/>
      <c r="I36" s="10"/>
      <c r="J36" s="10"/>
      <c r="K36" s="10"/>
      <c r="L36" s="10"/>
      <c r="M36" s="10"/>
      <c r="N36" s="10"/>
      <c r="O36" s="10"/>
      <c r="P36" s="10"/>
      <c r="Q36" s="10"/>
      <c r="R36" s="97"/>
      <c r="S36" s="97"/>
      <c r="T36" s="97"/>
      <c r="U36" s="97"/>
      <c r="V36" s="97"/>
    </row>
    <row r="37" ht="15.75" customHeight="1">
      <c r="A37" s="59" t="str">
        <f t="array" ref="A37">XLOOKUP(C37, 'マスタ'!$C$2:$C$312, 'マスタ'!$D$2:$D$312, "マスタ未登録")</f>
        <v>役員報酬</v>
      </c>
      <c r="B37" s="53" t="str">
        <f>IF(AND(C37&lt;&gt;"", COUNTIF('マスタ'!$C:$C, C37)=0), "マスタ未登録", "")</f>
        <v/>
      </c>
      <c r="C37" s="53" t="str">
        <f t="shared" si="1"/>
        <v>役員報酬</v>
      </c>
      <c r="D37" s="10" t="s">
        <v>72</v>
      </c>
      <c r="E37" s="97">
        <v>3316000.0</v>
      </c>
      <c r="F37" s="97">
        <v>0.0</v>
      </c>
      <c r="G37" s="97">
        <v>0.0</v>
      </c>
      <c r="H37" s="97">
        <v>0.0</v>
      </c>
      <c r="I37" s="97">
        <v>0.0</v>
      </c>
      <c r="J37" s="97">
        <v>0.0</v>
      </c>
      <c r="K37" s="97">
        <v>0.0</v>
      </c>
      <c r="L37" s="97">
        <v>0.0</v>
      </c>
      <c r="M37" s="97">
        <v>0.0</v>
      </c>
      <c r="N37" s="97">
        <v>0.0</v>
      </c>
      <c r="O37" s="97">
        <v>0.0</v>
      </c>
      <c r="P37" s="97">
        <v>0.0</v>
      </c>
      <c r="Q37" s="97">
        <v>3316000.0</v>
      </c>
      <c r="R37" s="97"/>
      <c r="S37" s="97"/>
      <c r="T37" s="97"/>
      <c r="U37" s="97"/>
      <c r="V37" s="97"/>
    </row>
    <row r="38" ht="15.75" customHeight="1">
      <c r="A38" s="59" t="str">
        <f t="array" ref="A38">XLOOKUP(C38, 'マスタ'!$C$2:$C$312, 'マスタ'!$D$2:$D$312, "マスタ未登録")</f>
        <v>給料手当</v>
      </c>
      <c r="B38" s="53" t="str">
        <f>IF(AND(C38&lt;&gt;"", COUNTIF('マスタ'!$C:$C, C38)=0), "マスタ未登録", "")</f>
        <v/>
      </c>
      <c r="C38" s="53" t="str">
        <f t="shared" si="1"/>
        <v>給与手当</v>
      </c>
      <c r="D38" s="10" t="s">
        <v>629</v>
      </c>
      <c r="E38" s="97">
        <v>5.8681668E7</v>
      </c>
      <c r="F38" s="97">
        <v>0.0</v>
      </c>
      <c r="G38" s="97">
        <v>0.0</v>
      </c>
      <c r="H38" s="97">
        <v>0.0</v>
      </c>
      <c r="I38" s="97">
        <v>0.0</v>
      </c>
      <c r="J38" s="97">
        <v>0.0</v>
      </c>
      <c r="K38" s="97">
        <v>0.0</v>
      </c>
      <c r="L38" s="97">
        <v>0.0</v>
      </c>
      <c r="M38" s="97">
        <v>0.0</v>
      </c>
      <c r="N38" s="97">
        <v>0.0</v>
      </c>
      <c r="O38" s="97">
        <v>0.0</v>
      </c>
      <c r="P38" s="97">
        <v>0.0</v>
      </c>
      <c r="Q38" s="97">
        <v>5.8681668E7</v>
      </c>
      <c r="R38" s="97"/>
      <c r="S38" s="97"/>
      <c r="T38" s="97"/>
      <c r="U38" s="97"/>
      <c r="V38" s="97"/>
    </row>
    <row r="39" ht="15.75" customHeight="1">
      <c r="A39" s="59" t="str">
        <f t="array" ref="A39">XLOOKUP(C39, 'マスタ'!$C$2:$C$312, 'マスタ'!$D$2:$D$312, "マスタ未登録")</f>
        <v>賞与</v>
      </c>
      <c r="B39" s="53" t="str">
        <f>IF(AND(C39&lt;&gt;"", COUNTIF('マスタ'!$C:$C, C39)=0), "マスタ未登録", "")</f>
        <v/>
      </c>
      <c r="C39" s="53" t="str">
        <f t="shared" si="1"/>
        <v>賞与</v>
      </c>
      <c r="D39" s="10" t="s">
        <v>177</v>
      </c>
      <c r="E39" s="97">
        <v>424930.0</v>
      </c>
      <c r="F39" s="97">
        <v>75070.0</v>
      </c>
      <c r="G39" s="97">
        <v>0.0</v>
      </c>
      <c r="H39" s="97">
        <v>0.0</v>
      </c>
      <c r="I39" s="97">
        <v>0.0</v>
      </c>
      <c r="J39" s="97">
        <v>0.0</v>
      </c>
      <c r="K39" s="97">
        <v>0.0</v>
      </c>
      <c r="L39" s="97">
        <v>0.0</v>
      </c>
      <c r="M39" s="97">
        <v>0.0</v>
      </c>
      <c r="N39" s="97">
        <v>0.0</v>
      </c>
      <c r="O39" s="97">
        <v>0.0</v>
      </c>
      <c r="P39" s="97">
        <v>0.0</v>
      </c>
      <c r="Q39" s="97">
        <v>500000.0</v>
      </c>
      <c r="R39" s="97"/>
      <c r="S39" s="97"/>
      <c r="T39" s="97"/>
      <c r="U39" s="97"/>
      <c r="V39" s="97"/>
    </row>
    <row r="40" ht="15.75" customHeight="1">
      <c r="A40" s="59" t="str">
        <f t="array" ref="A40">XLOOKUP(C40, 'マスタ'!$C$2:$C$312, 'マスタ'!$D$2:$D$312, "マスタ未登録")</f>
        <v>法定福利費</v>
      </c>
      <c r="B40" s="53" t="str">
        <f>IF(AND(C40&lt;&gt;"", COUNTIF('マスタ'!$C:$C, C40)=0), "マスタ未登録", "")</f>
        <v/>
      </c>
      <c r="C40" s="53" t="str">
        <f t="shared" si="1"/>
        <v>法定福利費</v>
      </c>
      <c r="D40" s="10" t="s">
        <v>74</v>
      </c>
      <c r="E40" s="97">
        <v>7375633.0</v>
      </c>
      <c r="F40" s="97">
        <v>0.0</v>
      </c>
      <c r="G40" s="97">
        <v>0.0</v>
      </c>
      <c r="H40" s="97">
        <v>0.0</v>
      </c>
      <c r="I40" s="97">
        <v>0.0</v>
      </c>
      <c r="J40" s="97">
        <v>0.0</v>
      </c>
      <c r="K40" s="97">
        <v>0.0</v>
      </c>
      <c r="L40" s="97">
        <v>0.0</v>
      </c>
      <c r="M40" s="97">
        <v>0.0</v>
      </c>
      <c r="N40" s="97">
        <v>0.0</v>
      </c>
      <c r="O40" s="97">
        <v>0.0</v>
      </c>
      <c r="P40" s="97">
        <v>0.0</v>
      </c>
      <c r="Q40" s="97">
        <v>7375633.0</v>
      </c>
      <c r="R40" s="97"/>
      <c r="S40" s="97"/>
      <c r="T40" s="97"/>
      <c r="U40" s="97"/>
      <c r="V40" s="97"/>
    </row>
    <row r="41" ht="15.75" customHeight="1">
      <c r="A41" s="59" t="str">
        <f t="array" ref="A41">XLOOKUP(C41, 'マスタ'!$C$2:$C$312, 'マスタ'!$D$2:$D$312, "マスタ未登録")</f>
        <v>福利厚生費</v>
      </c>
      <c r="B41" s="53" t="str">
        <f>IF(AND(C41&lt;&gt;"", COUNTIF('マスタ'!$C:$C, C41)=0), "マスタ未登録", "")</f>
        <v/>
      </c>
      <c r="C41" s="53" t="str">
        <f t="shared" si="1"/>
        <v>福利厚生費</v>
      </c>
      <c r="D41" s="10" t="s">
        <v>75</v>
      </c>
      <c r="E41" s="97">
        <v>434950.0</v>
      </c>
      <c r="F41" s="97">
        <v>271350.0</v>
      </c>
      <c r="G41" s="97">
        <v>0.0</v>
      </c>
      <c r="H41" s="97">
        <v>0.0</v>
      </c>
      <c r="I41" s="97">
        <v>0.0</v>
      </c>
      <c r="J41" s="97">
        <v>0.0</v>
      </c>
      <c r="K41" s="97">
        <v>0.0</v>
      </c>
      <c r="L41" s="97">
        <v>0.0</v>
      </c>
      <c r="M41" s="97">
        <v>0.0</v>
      </c>
      <c r="N41" s="97">
        <v>0.0</v>
      </c>
      <c r="O41" s="97">
        <v>0.0</v>
      </c>
      <c r="P41" s="97">
        <v>0.0</v>
      </c>
      <c r="Q41" s="97">
        <v>706300.0</v>
      </c>
      <c r="R41" s="97"/>
      <c r="S41" s="97"/>
      <c r="T41" s="97"/>
      <c r="U41" s="97"/>
      <c r="V41" s="97"/>
    </row>
    <row r="42" ht="15.75" customHeight="1">
      <c r="A42" s="59" t="str">
        <f t="array" ref="A42">XLOOKUP(C42, 'マスタ'!$C$2:$C$312, 'マスタ'!$D$2:$D$312, "マスタ未登録")</f>
        <v>派遣社員費用</v>
      </c>
      <c r="B42" s="53" t="str">
        <f>IF(AND(C42&lt;&gt;"", COUNTIF('マスタ'!$C:$C, C42)=0), "マスタ未登録", "")</f>
        <v/>
      </c>
      <c r="C42" s="53" t="str">
        <f t="shared" si="1"/>
        <v>派遣社員費用</v>
      </c>
      <c r="D42" s="10" t="s">
        <v>630</v>
      </c>
      <c r="E42" s="97">
        <v>1051679.0</v>
      </c>
      <c r="F42" s="97">
        <v>0.0</v>
      </c>
      <c r="G42" s="97">
        <v>0.0</v>
      </c>
      <c r="H42" s="97">
        <v>0.0</v>
      </c>
      <c r="I42" s="97">
        <v>0.0</v>
      </c>
      <c r="J42" s="97">
        <v>0.0</v>
      </c>
      <c r="K42" s="97">
        <v>0.0</v>
      </c>
      <c r="L42" s="97">
        <v>0.0</v>
      </c>
      <c r="M42" s="97">
        <v>0.0</v>
      </c>
      <c r="N42" s="97">
        <v>0.0</v>
      </c>
      <c r="O42" s="97">
        <v>0.0</v>
      </c>
      <c r="P42" s="97">
        <v>0.0</v>
      </c>
      <c r="Q42" s="97">
        <v>1051679.0</v>
      </c>
      <c r="R42" s="97"/>
      <c r="S42" s="97"/>
      <c r="T42" s="97"/>
      <c r="U42" s="97"/>
      <c r="V42" s="97"/>
    </row>
    <row r="43" ht="15.75" customHeight="1">
      <c r="A43" s="59" t="str">
        <f t="array" ref="A43">XLOOKUP(C43, 'マスタ'!$C$2:$C$312, 'マスタ'!$D$2:$D$312, "マスタ未登録")</f>
        <v>旅費交通費</v>
      </c>
      <c r="B43" s="53" t="str">
        <f>IF(AND(C43&lt;&gt;"", COUNTIF('マスタ'!$C:$C, C43)=0), "マスタ未登録", "")</f>
        <v/>
      </c>
      <c r="C43" s="53" t="str">
        <f t="shared" si="1"/>
        <v>通勤費</v>
      </c>
      <c r="D43" s="10" t="s">
        <v>631</v>
      </c>
      <c r="E43" s="97">
        <v>2874816.0</v>
      </c>
      <c r="F43" s="97">
        <v>0.0</v>
      </c>
      <c r="G43" s="97">
        <v>0.0</v>
      </c>
      <c r="H43" s="97">
        <v>0.0</v>
      </c>
      <c r="I43" s="97">
        <v>0.0</v>
      </c>
      <c r="J43" s="97">
        <v>0.0</v>
      </c>
      <c r="K43" s="97">
        <v>0.0</v>
      </c>
      <c r="L43" s="97">
        <v>0.0</v>
      </c>
      <c r="M43" s="97">
        <v>0.0</v>
      </c>
      <c r="N43" s="97">
        <v>0.0</v>
      </c>
      <c r="O43" s="97">
        <v>0.0</v>
      </c>
      <c r="P43" s="97">
        <v>0.0</v>
      </c>
      <c r="Q43" s="97">
        <v>2874816.0</v>
      </c>
      <c r="R43" s="97"/>
      <c r="S43" s="97"/>
      <c r="T43" s="97"/>
      <c r="U43" s="97"/>
      <c r="V43" s="97"/>
    </row>
    <row r="44" ht="15.75" customHeight="1">
      <c r="A44" s="59" t="str">
        <f t="array" ref="A44">XLOOKUP(C44, 'マスタ'!$C$2:$C$312, 'マスタ'!$D$2:$D$312, "マスタ未登録")</f>
        <v>採用教育費</v>
      </c>
      <c r="B44" s="53" t="str">
        <f>IF(AND(C44&lt;&gt;"", COUNTIF('マスタ'!$C:$C, C44)=0), "マスタ未登録", "")</f>
        <v/>
      </c>
      <c r="C44" s="53" t="str">
        <f t="shared" si="1"/>
        <v>採用費</v>
      </c>
      <c r="D44" s="10" t="s">
        <v>140</v>
      </c>
      <c r="E44" s="97">
        <v>4550800.0</v>
      </c>
      <c r="F44" s="97">
        <v>100000.0</v>
      </c>
      <c r="G44" s="97">
        <v>0.0</v>
      </c>
      <c r="H44" s="97">
        <v>0.0</v>
      </c>
      <c r="I44" s="97">
        <v>0.0</v>
      </c>
      <c r="J44" s="97">
        <v>0.0</v>
      </c>
      <c r="K44" s="97">
        <v>0.0</v>
      </c>
      <c r="L44" s="97">
        <v>0.0</v>
      </c>
      <c r="M44" s="97">
        <v>0.0</v>
      </c>
      <c r="N44" s="97">
        <v>0.0</v>
      </c>
      <c r="O44" s="97">
        <v>0.0</v>
      </c>
      <c r="P44" s="97">
        <v>0.0</v>
      </c>
      <c r="Q44" s="97">
        <v>4650800.0</v>
      </c>
      <c r="R44" s="97"/>
      <c r="S44" s="97"/>
      <c r="T44" s="97"/>
      <c r="U44" s="97"/>
      <c r="V44" s="97"/>
    </row>
    <row r="45" ht="15.75" customHeight="1">
      <c r="A45" s="59" t="str">
        <f t="array" ref="A45">XLOOKUP(C45, 'マスタ'!$C$2:$C$312, 'マスタ'!$D$2:$D$312, "マスタ未登録")</f>
        <v>地代家賃</v>
      </c>
      <c r="B45" s="53" t="str">
        <f>IF(AND(C45&lt;&gt;"", COUNTIF('マスタ'!$C:$C, C45)=0), "マスタ未登録", "")</f>
        <v/>
      </c>
      <c r="C45" s="53" t="str">
        <f t="shared" si="1"/>
        <v>地代家賃</v>
      </c>
      <c r="D45" s="10" t="s">
        <v>87</v>
      </c>
      <c r="E45" s="97">
        <v>6.038218E7</v>
      </c>
      <c r="F45" s="97">
        <v>6.0614895E7</v>
      </c>
      <c r="G45" s="97">
        <v>4.653658E7</v>
      </c>
      <c r="H45" s="97">
        <v>399861.0</v>
      </c>
      <c r="I45" s="97">
        <v>399861.0</v>
      </c>
      <c r="J45" s="97">
        <v>381861.0</v>
      </c>
      <c r="K45" s="97">
        <v>306861.0</v>
      </c>
      <c r="L45" s="97">
        <v>306861.0</v>
      </c>
      <c r="M45" s="97">
        <v>306861.0</v>
      </c>
      <c r="N45" s="97">
        <v>223285.0</v>
      </c>
      <c r="O45" s="97">
        <v>223285.0</v>
      </c>
      <c r="P45" s="97">
        <v>223285.0</v>
      </c>
      <c r="Q45" s="97">
        <v>1.70305676E8</v>
      </c>
      <c r="R45" s="97"/>
      <c r="S45" s="97"/>
      <c r="T45" s="97"/>
      <c r="U45" s="97"/>
      <c r="V45" s="97"/>
    </row>
    <row r="46" ht="15.75" customHeight="1">
      <c r="A46" s="59" t="str">
        <f t="array" ref="A46">XLOOKUP(C46, 'マスタ'!$C$2:$C$312, 'マスタ'!$D$2:$D$312, "マスタ未登録")</f>
        <v>水道光熱費</v>
      </c>
      <c r="B46" s="53" t="str">
        <f>IF(AND(C46&lt;&gt;"", COUNTIF('マスタ'!$C:$C, C46)=0), "マスタ未登録", "")</f>
        <v/>
      </c>
      <c r="C46" s="53" t="str">
        <f t="shared" si="1"/>
        <v>水道光熱費</v>
      </c>
      <c r="D46" s="10" t="s">
        <v>178</v>
      </c>
      <c r="E46" s="97">
        <v>2975305.0</v>
      </c>
      <c r="F46" s="97">
        <v>962631.0</v>
      </c>
      <c r="G46" s="97">
        <v>24000.0</v>
      </c>
      <c r="H46" s="97">
        <v>24800.0</v>
      </c>
      <c r="I46" s="97">
        <v>24800.0</v>
      </c>
      <c r="J46" s="97">
        <v>24000.0</v>
      </c>
      <c r="K46" s="97">
        <v>0.0</v>
      </c>
      <c r="L46" s="97">
        <v>0.0</v>
      </c>
      <c r="M46" s="97">
        <v>0.0</v>
      </c>
      <c r="N46" s="97">
        <v>0.0</v>
      </c>
      <c r="O46" s="97">
        <v>0.0</v>
      </c>
      <c r="P46" s="97">
        <v>0.0</v>
      </c>
      <c r="Q46" s="97">
        <v>4035536.0</v>
      </c>
      <c r="R46" s="97"/>
      <c r="S46" s="97"/>
      <c r="T46" s="97"/>
      <c r="U46" s="97"/>
      <c r="V46" s="97"/>
    </row>
    <row r="47" ht="15.75" customHeight="1">
      <c r="A47" s="59" t="str">
        <f t="array" ref="A47">XLOOKUP(C47, 'マスタ'!$C$2:$C$312, 'マスタ'!$D$2:$D$312, "マスタ未登録")</f>
        <v>修繕費</v>
      </c>
      <c r="B47" s="53" t="str">
        <f>IF(AND(C47&lt;&gt;"", COUNTIF('マスタ'!$C:$C, C47)=0), "マスタ未登録", "")</f>
        <v/>
      </c>
      <c r="C47" s="53" t="str">
        <f t="shared" si="1"/>
        <v>修繕維持管理費</v>
      </c>
      <c r="D47" s="10" t="s">
        <v>632</v>
      </c>
      <c r="E47" s="97">
        <v>2959636.0</v>
      </c>
      <c r="F47" s="97">
        <v>764369.0</v>
      </c>
      <c r="G47" s="97">
        <v>164650.0</v>
      </c>
      <c r="H47" s="97">
        <v>119100.0</v>
      </c>
      <c r="I47" s="97">
        <v>97100.0</v>
      </c>
      <c r="J47" s="97">
        <v>12000.0</v>
      </c>
      <c r="K47" s="97">
        <v>12000.0</v>
      </c>
      <c r="L47" s="97">
        <v>12000.0</v>
      </c>
      <c r="M47" s="97">
        <v>12000.0</v>
      </c>
      <c r="N47" s="97">
        <v>12000.0</v>
      </c>
      <c r="O47" s="97">
        <v>12000.0</v>
      </c>
      <c r="P47" s="97">
        <v>0.0</v>
      </c>
      <c r="Q47" s="97">
        <v>4176855.0</v>
      </c>
      <c r="R47" s="97"/>
      <c r="S47" s="97"/>
      <c r="T47" s="97"/>
      <c r="U47" s="97"/>
      <c r="V47" s="97"/>
    </row>
    <row r="48" ht="15.75" customHeight="1">
      <c r="A48" s="59" t="str">
        <f t="array" ref="A48">XLOOKUP(C48, 'マスタ'!$C$2:$C$312, 'マスタ'!$D$2:$D$312, "マスタ未登録")</f>
        <v>通信費</v>
      </c>
      <c r="B48" s="53" t="str">
        <f>IF(AND(C48&lt;&gt;"", COUNTIF('マスタ'!$C:$C, C48)=0), "マスタ未登録", "")</f>
        <v/>
      </c>
      <c r="C48" s="53" t="str">
        <f t="shared" si="1"/>
        <v>通信費</v>
      </c>
      <c r="D48" s="10" t="s">
        <v>84</v>
      </c>
      <c r="E48" s="97">
        <v>5239012.0</v>
      </c>
      <c r="F48" s="97">
        <v>542681.0</v>
      </c>
      <c r="G48" s="97">
        <v>55409.0</v>
      </c>
      <c r="H48" s="97">
        <v>55409.0</v>
      </c>
      <c r="I48" s="97">
        <v>55409.0</v>
      </c>
      <c r="J48" s="97">
        <v>55409.0</v>
      </c>
      <c r="K48" s="97">
        <v>43200.0</v>
      </c>
      <c r="L48" s="97">
        <v>0.0</v>
      </c>
      <c r="M48" s="97">
        <v>0.0</v>
      </c>
      <c r="N48" s="97">
        <v>0.0</v>
      </c>
      <c r="O48" s="97">
        <v>0.0</v>
      </c>
      <c r="P48" s="97">
        <v>0.0</v>
      </c>
      <c r="Q48" s="97">
        <v>6046529.0</v>
      </c>
      <c r="R48" s="97"/>
      <c r="S48" s="97"/>
      <c r="T48" s="97"/>
      <c r="U48" s="97"/>
      <c r="V48" s="97"/>
    </row>
    <row r="49" ht="15.75" customHeight="1">
      <c r="A49" s="59" t="str">
        <f t="array" ref="A49">XLOOKUP(C49, 'マスタ'!$C$2:$C$312, 'マスタ'!$D$2:$D$312, "マスタ未登録")</f>
        <v>荷造運賃</v>
      </c>
      <c r="B49" s="53" t="str">
        <f>IF(AND(C49&lt;&gt;"", COUNTIF('マスタ'!$C:$C, C49)=0), "マスタ未登録", "")</f>
        <v/>
      </c>
      <c r="C49" s="53" t="str">
        <f t="shared" si="1"/>
        <v>配送費</v>
      </c>
      <c r="D49" s="10" t="s">
        <v>633</v>
      </c>
      <c r="E49" s="97">
        <v>468712.0</v>
      </c>
      <c r="F49" s="97">
        <v>11783.0</v>
      </c>
      <c r="G49" s="97">
        <v>0.0</v>
      </c>
      <c r="H49" s="97">
        <v>0.0</v>
      </c>
      <c r="I49" s="97">
        <v>0.0</v>
      </c>
      <c r="J49" s="97">
        <v>0.0</v>
      </c>
      <c r="K49" s="97">
        <v>0.0</v>
      </c>
      <c r="L49" s="97">
        <v>0.0</v>
      </c>
      <c r="M49" s="97">
        <v>0.0</v>
      </c>
      <c r="N49" s="97">
        <v>0.0</v>
      </c>
      <c r="O49" s="97">
        <v>0.0</v>
      </c>
      <c r="P49" s="97">
        <v>0.0</v>
      </c>
      <c r="Q49" s="97">
        <v>480495.0</v>
      </c>
      <c r="R49" s="97"/>
      <c r="S49" s="97"/>
      <c r="T49" s="97"/>
      <c r="U49" s="97"/>
      <c r="V49" s="97"/>
    </row>
    <row r="50" ht="15.75" customHeight="1">
      <c r="A50" s="59" t="str">
        <f t="array" ref="A50">XLOOKUP(C50, 'マスタ'!$C$2:$C$312, 'マスタ'!$D$2:$D$312, "マスタ未登録")</f>
        <v>賃借料</v>
      </c>
      <c r="B50" s="53" t="str">
        <f>IF(AND(C50&lt;&gt;"", COUNTIF('マスタ'!$C:$C, C50)=0), "マスタ未登録", "")</f>
        <v/>
      </c>
      <c r="C50" s="53" t="str">
        <f t="shared" si="1"/>
        <v>賃借料</v>
      </c>
      <c r="D50" s="10" t="s">
        <v>89</v>
      </c>
      <c r="E50" s="97">
        <v>545021.0</v>
      </c>
      <c r="F50" s="97">
        <v>46200.0</v>
      </c>
      <c r="G50" s="97">
        <v>48000.0</v>
      </c>
      <c r="H50" s="97">
        <v>0.0</v>
      </c>
      <c r="I50" s="97">
        <v>0.0</v>
      </c>
      <c r="J50" s="97">
        <v>0.0</v>
      </c>
      <c r="K50" s="97">
        <v>0.0</v>
      </c>
      <c r="L50" s="97">
        <v>0.0</v>
      </c>
      <c r="M50" s="97">
        <v>0.0</v>
      </c>
      <c r="N50" s="97">
        <v>0.0</v>
      </c>
      <c r="O50" s="97">
        <v>0.0</v>
      </c>
      <c r="P50" s="97">
        <v>0.0</v>
      </c>
      <c r="Q50" s="97">
        <v>639221.0</v>
      </c>
      <c r="R50" s="97"/>
      <c r="S50" s="97"/>
      <c r="T50" s="97"/>
      <c r="U50" s="97"/>
      <c r="V50" s="97"/>
    </row>
    <row r="51" ht="15.75" customHeight="1">
      <c r="A51" s="59" t="str">
        <f t="array" ref="A51">XLOOKUP(C51, 'マスタ'!$C$2:$C$312, 'マスタ'!$D$2:$D$312, "マスタ未登録")</f>
        <v>減価償却費</v>
      </c>
      <c r="B51" s="53" t="str">
        <f>IF(AND(C51&lt;&gt;"", COUNTIF('マスタ'!$C:$C, C51)=0), "マスタ未登録", "")</f>
        <v/>
      </c>
      <c r="C51" s="53" t="str">
        <f t="shared" si="1"/>
        <v>減価償却費</v>
      </c>
      <c r="D51" s="10" t="s">
        <v>95</v>
      </c>
      <c r="E51" s="97">
        <v>1.35187E7</v>
      </c>
      <c r="F51" s="97">
        <v>0.0</v>
      </c>
      <c r="G51" s="97">
        <v>0.0</v>
      </c>
      <c r="H51" s="97">
        <v>0.0</v>
      </c>
      <c r="I51" s="97">
        <v>0.0</v>
      </c>
      <c r="J51" s="97">
        <v>0.0</v>
      </c>
      <c r="K51" s="97">
        <v>0.0</v>
      </c>
      <c r="L51" s="97">
        <v>0.0</v>
      </c>
      <c r="M51" s="97">
        <v>0.0</v>
      </c>
      <c r="N51" s="97">
        <v>0.0</v>
      </c>
      <c r="O51" s="97">
        <v>0.0</v>
      </c>
      <c r="P51" s="97">
        <v>0.0</v>
      </c>
      <c r="Q51" s="97">
        <v>1.35187E7</v>
      </c>
      <c r="R51" s="97"/>
      <c r="S51" s="97"/>
      <c r="T51" s="97"/>
      <c r="U51" s="97"/>
      <c r="V51" s="97"/>
    </row>
    <row r="52" ht="15.75" customHeight="1">
      <c r="A52" s="59" t="str">
        <f t="array" ref="A52">XLOOKUP(C52, 'マスタ'!$C$2:$C$312, 'マスタ'!$D$2:$D$312, "マスタ未登録")</f>
        <v>業務委託費</v>
      </c>
      <c r="B52" s="53" t="str">
        <f>IF(AND(C52&lt;&gt;"", COUNTIF('マスタ'!$C:$C, C52)=0), "マスタ未登録", "")</f>
        <v/>
      </c>
      <c r="C52" s="53" t="str">
        <f t="shared" si="1"/>
        <v>業務委託費</v>
      </c>
      <c r="D52" s="10" t="s">
        <v>78</v>
      </c>
      <c r="E52" s="97">
        <v>1.1452773E8</v>
      </c>
      <c r="F52" s="97">
        <v>4868285.0</v>
      </c>
      <c r="G52" s="97">
        <v>1082667.0</v>
      </c>
      <c r="H52" s="97">
        <v>1082667.0</v>
      </c>
      <c r="I52" s="97">
        <v>1082667.0</v>
      </c>
      <c r="J52" s="97">
        <v>1082667.0</v>
      </c>
      <c r="K52" s="97">
        <v>641667.0</v>
      </c>
      <c r="L52" s="97">
        <v>641667.0</v>
      </c>
      <c r="M52" s="97">
        <v>641667.0</v>
      </c>
      <c r="N52" s="97">
        <v>641667.0</v>
      </c>
      <c r="O52" s="97">
        <v>641667.0</v>
      </c>
      <c r="P52" s="97">
        <v>641667.0</v>
      </c>
      <c r="Q52" s="97">
        <v>1.27576685E8</v>
      </c>
      <c r="R52" s="97"/>
      <c r="S52" s="97"/>
      <c r="T52" s="97"/>
      <c r="U52" s="97"/>
      <c r="V52" s="97"/>
    </row>
    <row r="53" ht="15.75" customHeight="1">
      <c r="A53" s="59" t="str">
        <f t="array" ref="A53">XLOOKUP(C53, 'マスタ'!$C$2:$C$312, 'マスタ'!$D$2:$D$312, "マスタ未登録")</f>
        <v>広告宣伝費</v>
      </c>
      <c r="B53" s="53" t="str">
        <f>IF(AND(C53&lt;&gt;"", COUNTIF('マスタ'!$C:$C, C53)=0), "マスタ未登録", "")</f>
        <v/>
      </c>
      <c r="C53" s="53" t="str">
        <f t="shared" si="1"/>
        <v>入学推進費</v>
      </c>
      <c r="D53" s="10" t="s">
        <v>634</v>
      </c>
      <c r="E53" s="97">
        <v>1.4138688E7</v>
      </c>
      <c r="F53" s="97">
        <v>4275713.0</v>
      </c>
      <c r="G53" s="97">
        <v>435093.0</v>
      </c>
      <c r="H53" s="97">
        <v>345838.0</v>
      </c>
      <c r="I53" s="97">
        <v>210402.0</v>
      </c>
      <c r="J53" s="97">
        <v>0.0</v>
      </c>
      <c r="K53" s="97">
        <v>0.0</v>
      </c>
      <c r="L53" s="97">
        <v>0.0</v>
      </c>
      <c r="M53" s="97">
        <v>0.0</v>
      </c>
      <c r="N53" s="97">
        <v>0.0</v>
      </c>
      <c r="O53" s="97">
        <v>0.0</v>
      </c>
      <c r="P53" s="97">
        <v>0.0</v>
      </c>
      <c r="Q53" s="97">
        <v>1.9405734E7</v>
      </c>
      <c r="R53" s="97"/>
      <c r="S53" s="97"/>
      <c r="T53" s="97"/>
      <c r="U53" s="97"/>
      <c r="V53" s="97"/>
    </row>
    <row r="54" ht="15.75" customHeight="1">
      <c r="A54" s="59" t="str">
        <f t="array" ref="A54">XLOOKUP(C54, 'マスタ'!$C$2:$C$312, 'マスタ'!$D$2:$D$312, "マスタ未登録")</f>
        <v>広告宣伝費</v>
      </c>
      <c r="B54" s="53" t="str">
        <f>IF(AND(C54&lt;&gt;"", COUNTIF('マスタ'!$C:$C, C54)=0), "マスタ未登録", "")</f>
        <v/>
      </c>
      <c r="C54" s="53" t="str">
        <f t="shared" si="1"/>
        <v>広告宣伝費</v>
      </c>
      <c r="D54" s="10" t="s">
        <v>81</v>
      </c>
      <c r="E54" s="97">
        <v>6.4078471E7</v>
      </c>
      <c r="F54" s="97">
        <v>7231961.0</v>
      </c>
      <c r="G54" s="97">
        <v>1125000.0</v>
      </c>
      <c r="H54" s="97">
        <v>175000.0</v>
      </c>
      <c r="I54" s="97">
        <v>175000.0</v>
      </c>
      <c r="J54" s="97">
        <v>175000.0</v>
      </c>
      <c r="K54" s="97">
        <v>175000.0</v>
      </c>
      <c r="L54" s="97">
        <v>175000.0</v>
      </c>
      <c r="M54" s="97">
        <v>0.0</v>
      </c>
      <c r="N54" s="97">
        <v>0.0</v>
      </c>
      <c r="O54" s="97">
        <v>0.0</v>
      </c>
      <c r="P54" s="97">
        <v>0.0</v>
      </c>
      <c r="Q54" s="97">
        <v>7.3310432E7</v>
      </c>
      <c r="R54" s="97"/>
      <c r="S54" s="97"/>
      <c r="T54" s="97"/>
      <c r="U54" s="97"/>
      <c r="V54" s="97"/>
    </row>
    <row r="55" ht="15.75" customHeight="1">
      <c r="A55" s="59" t="str">
        <f t="array" ref="A55">XLOOKUP(C55, 'マスタ'!$C$2:$C$312, 'マスタ'!$D$2:$D$312, "マスタ未登録")</f>
        <v>制作出資費用</v>
      </c>
      <c r="B55" s="53" t="str">
        <f>IF(AND(C55&lt;&gt;"", COUNTIF('マスタ'!$C:$C, C55)=0), "マスタ未登録", "")</f>
        <v/>
      </c>
      <c r="C55" s="53" t="str">
        <f t="shared" si="1"/>
        <v>制作出資費用</v>
      </c>
      <c r="D55" s="10" t="s">
        <v>635</v>
      </c>
      <c r="E55" s="97">
        <v>3093673.0</v>
      </c>
      <c r="F55" s="97">
        <v>0.0</v>
      </c>
      <c r="G55" s="97">
        <v>0.0</v>
      </c>
      <c r="H55" s="97">
        <v>0.0</v>
      </c>
      <c r="I55" s="97">
        <v>0.0</v>
      </c>
      <c r="J55" s="97">
        <v>0.0</v>
      </c>
      <c r="K55" s="97">
        <v>0.0</v>
      </c>
      <c r="L55" s="97">
        <v>0.0</v>
      </c>
      <c r="M55" s="97">
        <v>0.0</v>
      </c>
      <c r="N55" s="97">
        <v>0.0</v>
      </c>
      <c r="O55" s="97">
        <v>0.0</v>
      </c>
      <c r="P55" s="97">
        <v>0.0</v>
      </c>
      <c r="Q55" s="97">
        <v>3093673.0</v>
      </c>
      <c r="R55" s="97"/>
      <c r="S55" s="97"/>
      <c r="T55" s="97"/>
      <c r="U55" s="97"/>
      <c r="V55" s="97"/>
    </row>
    <row r="56" ht="15.75" customHeight="1">
      <c r="A56" s="59" t="str">
        <f t="array" ref="A56">XLOOKUP(C56, 'マスタ'!$C$2:$C$312, 'マスタ'!$D$2:$D$312, "マスタ未登録")</f>
        <v>販売促進費</v>
      </c>
      <c r="B56" s="53" t="str">
        <f>IF(AND(C56&lt;&gt;"", COUNTIF('マスタ'!$C:$C, C56)=0), "マスタ未登録", "")</f>
        <v/>
      </c>
      <c r="C56" s="53" t="str">
        <f t="shared" si="1"/>
        <v>イベント費</v>
      </c>
      <c r="D56" s="10" t="s">
        <v>636</v>
      </c>
      <c r="E56" s="97">
        <v>1.4204233E7</v>
      </c>
      <c r="F56" s="97">
        <v>203575.0</v>
      </c>
      <c r="G56" s="97">
        <v>0.0</v>
      </c>
      <c r="H56" s="97">
        <v>0.0</v>
      </c>
      <c r="I56" s="97">
        <v>0.0</v>
      </c>
      <c r="J56" s="97">
        <v>0.0</v>
      </c>
      <c r="K56" s="97">
        <v>0.0</v>
      </c>
      <c r="L56" s="97">
        <v>0.0</v>
      </c>
      <c r="M56" s="97">
        <v>0.0</v>
      </c>
      <c r="N56" s="97">
        <v>0.0</v>
      </c>
      <c r="O56" s="97">
        <v>810000.0</v>
      </c>
      <c r="P56" s="97">
        <v>222010.0</v>
      </c>
      <c r="Q56" s="97">
        <v>1.5439818E7</v>
      </c>
      <c r="R56" s="97"/>
      <c r="S56" s="97"/>
      <c r="T56" s="97"/>
      <c r="U56" s="97"/>
      <c r="V56" s="97"/>
    </row>
    <row r="57" ht="15.75" customHeight="1">
      <c r="A57" s="59" t="str">
        <f t="array" ref="A57">XLOOKUP(C57, 'マスタ'!$C$2:$C$312, 'マスタ'!$D$2:$D$312, "マスタ未登録")</f>
        <v>消耗品費</v>
      </c>
      <c r="B57" s="53" t="str">
        <f>IF(AND(C57&lt;&gt;"", COUNTIF('マスタ'!$C:$C, C57)=0), "マスタ未登録", "")</f>
        <v/>
      </c>
      <c r="C57" s="53" t="str">
        <f t="shared" si="1"/>
        <v>消耗品費</v>
      </c>
      <c r="D57" s="10" t="s">
        <v>86</v>
      </c>
      <c r="E57" s="97">
        <v>2641381.0</v>
      </c>
      <c r="F57" s="97">
        <v>1397083.0</v>
      </c>
      <c r="G57" s="97">
        <v>0.0</v>
      </c>
      <c r="H57" s="97">
        <v>0.0</v>
      </c>
      <c r="I57" s="97">
        <v>0.0</v>
      </c>
      <c r="J57" s="97">
        <v>0.0</v>
      </c>
      <c r="K57" s="97">
        <v>0.0</v>
      </c>
      <c r="L57" s="97">
        <v>0.0</v>
      </c>
      <c r="M57" s="97">
        <v>0.0</v>
      </c>
      <c r="N57" s="97">
        <v>0.0</v>
      </c>
      <c r="O57" s="97">
        <v>0.0</v>
      </c>
      <c r="P57" s="97">
        <v>0.0</v>
      </c>
      <c r="Q57" s="97">
        <v>4038464.0</v>
      </c>
      <c r="R57" s="97"/>
      <c r="S57" s="97"/>
      <c r="T57" s="97"/>
      <c r="U57" s="97"/>
      <c r="V57" s="97"/>
    </row>
    <row r="58" ht="15.75" customHeight="1">
      <c r="A58" s="59" t="str">
        <f t="array" ref="A58">XLOOKUP(C58, 'マスタ'!$C$2:$C$312, 'マスタ'!$D$2:$D$312, "マスタ未登録")</f>
        <v>支払手数料</v>
      </c>
      <c r="B58" s="53" t="str">
        <f>IF(AND(C58&lt;&gt;"", COUNTIF('マスタ'!$C:$C, C58)=0), "マスタ未登録", "")</f>
        <v/>
      </c>
      <c r="C58" s="53" t="str">
        <f t="shared" si="1"/>
        <v>ソフトウェア等利用料</v>
      </c>
      <c r="D58" s="10" t="s">
        <v>637</v>
      </c>
      <c r="E58" s="97">
        <v>1.4904713E7</v>
      </c>
      <c r="F58" s="97">
        <v>4277638.0</v>
      </c>
      <c r="G58" s="97">
        <v>2129542.0</v>
      </c>
      <c r="H58" s="97">
        <v>1978923.0</v>
      </c>
      <c r="I58" s="97">
        <v>1598913.0</v>
      </c>
      <c r="J58" s="97">
        <v>1598913.0</v>
      </c>
      <c r="K58" s="97">
        <v>1390787.0</v>
      </c>
      <c r="L58" s="97">
        <v>873359.0</v>
      </c>
      <c r="M58" s="97">
        <v>153189.0</v>
      </c>
      <c r="N58" s="97">
        <v>109955.0</v>
      </c>
      <c r="O58" s="97">
        <v>109955.0</v>
      </c>
      <c r="P58" s="97">
        <v>95955.0</v>
      </c>
      <c r="Q58" s="97">
        <v>2.9221842E7</v>
      </c>
      <c r="R58" s="97"/>
      <c r="S58" s="97"/>
      <c r="T58" s="97"/>
      <c r="U58" s="97"/>
      <c r="V58" s="97"/>
    </row>
    <row r="59" ht="15.75" customHeight="1">
      <c r="A59" s="59" t="str">
        <f t="array" ref="A59">XLOOKUP(C59, 'マスタ'!$C$2:$C$312, 'マスタ'!$D$2:$D$312, "マスタ未登録")</f>
        <v>保険料</v>
      </c>
      <c r="B59" s="53" t="str">
        <f>IF(AND(C59&lt;&gt;"", COUNTIF('マスタ'!$C:$C, C59)=0), "マスタ未登録", "")</f>
        <v/>
      </c>
      <c r="C59" s="53" t="str">
        <f t="shared" si="1"/>
        <v>保険料</v>
      </c>
      <c r="D59" s="10" t="s">
        <v>90</v>
      </c>
      <c r="E59" s="97">
        <v>1375238.0</v>
      </c>
      <c r="F59" s="97">
        <v>150812.0</v>
      </c>
      <c r="G59" s="97">
        <v>287699.0</v>
      </c>
      <c r="H59" s="97">
        <v>241860.0</v>
      </c>
      <c r="I59" s="97">
        <v>241860.0</v>
      </c>
      <c r="J59" s="97">
        <v>241860.0</v>
      </c>
      <c r="K59" s="97">
        <v>219820.0</v>
      </c>
      <c r="L59" s="97">
        <v>219820.0</v>
      </c>
      <c r="M59" s="97">
        <v>219820.0</v>
      </c>
      <c r="N59" s="97">
        <v>219820.0</v>
      </c>
      <c r="O59" s="97">
        <v>219820.0</v>
      </c>
      <c r="P59" s="97">
        <v>219820.0</v>
      </c>
      <c r="Q59" s="97">
        <v>3858249.0</v>
      </c>
      <c r="R59" s="97"/>
      <c r="S59" s="97"/>
      <c r="T59" s="97"/>
      <c r="U59" s="97"/>
      <c r="V59" s="97"/>
    </row>
    <row r="60" ht="15.75" customHeight="1">
      <c r="A60" s="59" t="str">
        <f t="array" ref="A60">XLOOKUP(C60, 'マスタ'!$C$2:$C$312, 'マスタ'!$D$2:$D$312, "マスタ未登録")</f>
        <v>租税公課</v>
      </c>
      <c r="B60" s="53" t="str">
        <f>IF(AND(C60&lt;&gt;"", COUNTIF('マスタ'!$C:$C, C60)=0), "マスタ未登録", "")</f>
        <v/>
      </c>
      <c r="C60" s="53" t="str">
        <f t="shared" si="1"/>
        <v>租税公課</v>
      </c>
      <c r="D60" s="10" t="s">
        <v>91</v>
      </c>
      <c r="E60" s="97">
        <v>1598131.0</v>
      </c>
      <c r="F60" s="97">
        <v>141500.0</v>
      </c>
      <c r="G60" s="97">
        <v>0.0</v>
      </c>
      <c r="H60" s="97">
        <v>0.0</v>
      </c>
      <c r="I60" s="97">
        <v>0.0</v>
      </c>
      <c r="J60" s="97">
        <v>0.0</v>
      </c>
      <c r="K60" s="97">
        <v>0.0</v>
      </c>
      <c r="L60" s="97">
        <v>0.0</v>
      </c>
      <c r="M60" s="97">
        <v>0.0</v>
      </c>
      <c r="N60" s="97">
        <v>0.0</v>
      </c>
      <c r="O60" s="97">
        <v>0.0</v>
      </c>
      <c r="P60" s="97">
        <v>0.0</v>
      </c>
      <c r="Q60" s="97">
        <v>1739631.0</v>
      </c>
      <c r="R60" s="97"/>
      <c r="S60" s="97"/>
      <c r="T60" s="97"/>
      <c r="U60" s="97"/>
      <c r="V60" s="97"/>
    </row>
    <row r="61" ht="15.75" customHeight="1">
      <c r="A61" s="59" t="str">
        <f t="array" ref="A61">XLOOKUP(C61, 'マスタ'!$C$2:$C$312, 'マスタ'!$D$2:$D$312, "マスタ未登録")</f>
        <v>支払手数料</v>
      </c>
      <c r="B61" s="53" t="str">
        <f>IF(AND(C61&lt;&gt;"", COUNTIF('マスタ'!$C:$C, C61)=0), "マスタ未登録", "")</f>
        <v/>
      </c>
      <c r="C61" s="53" t="str">
        <f t="shared" si="1"/>
        <v>手数料</v>
      </c>
      <c r="D61" s="10" t="s">
        <v>638</v>
      </c>
      <c r="E61" s="97">
        <v>2.1132601E7</v>
      </c>
      <c r="F61" s="97">
        <v>995729.0</v>
      </c>
      <c r="G61" s="97">
        <v>359937.0</v>
      </c>
      <c r="H61" s="97">
        <v>356967.0</v>
      </c>
      <c r="I61" s="97">
        <v>356967.0</v>
      </c>
      <c r="J61" s="97">
        <v>356967.0</v>
      </c>
      <c r="K61" s="97">
        <v>356967.0</v>
      </c>
      <c r="L61" s="97">
        <v>233331.0</v>
      </c>
      <c r="M61" s="97">
        <v>233331.0</v>
      </c>
      <c r="N61" s="97">
        <v>216967.0</v>
      </c>
      <c r="O61" s="97">
        <v>216967.0</v>
      </c>
      <c r="P61" s="97">
        <v>216967.0</v>
      </c>
      <c r="Q61" s="97">
        <v>2.5033698E7</v>
      </c>
      <c r="R61" s="97"/>
      <c r="S61" s="97"/>
      <c r="T61" s="97"/>
      <c r="U61" s="97"/>
      <c r="V61" s="97"/>
    </row>
    <row r="62" ht="15.75" customHeight="1">
      <c r="A62" s="59" t="str">
        <f t="array" ref="A62">XLOOKUP(C62, 'マスタ'!$C$2:$C$312, 'マスタ'!$D$2:$D$312, "マスタ未登録")</f>
        <v>諸会費</v>
      </c>
      <c r="B62" s="53" t="str">
        <f>IF(AND(C62&lt;&gt;"", COUNTIF('マスタ'!$C:$C, C62)=0), "マスタ未登録", "")</f>
        <v/>
      </c>
      <c r="C62" s="53" t="str">
        <f t="shared" si="1"/>
        <v>諸会費</v>
      </c>
      <c r="D62" s="10" t="s">
        <v>98</v>
      </c>
      <c r="E62" s="97">
        <v>165000.0</v>
      </c>
      <c r="F62" s="97">
        <v>53637.0</v>
      </c>
      <c r="G62" s="97">
        <v>50000.0</v>
      </c>
      <c r="H62" s="97">
        <v>0.0</v>
      </c>
      <c r="I62" s="97">
        <v>0.0</v>
      </c>
      <c r="J62" s="97">
        <v>0.0</v>
      </c>
      <c r="K62" s="97">
        <v>0.0</v>
      </c>
      <c r="L62" s="97">
        <v>0.0</v>
      </c>
      <c r="M62" s="97">
        <v>0.0</v>
      </c>
      <c r="N62" s="97">
        <v>0.0</v>
      </c>
      <c r="O62" s="97">
        <v>0.0</v>
      </c>
      <c r="P62" s="97">
        <v>0.0</v>
      </c>
      <c r="Q62" s="97">
        <v>268637.0</v>
      </c>
      <c r="R62" s="97"/>
      <c r="S62" s="97"/>
      <c r="T62" s="97"/>
      <c r="U62" s="97"/>
      <c r="V62" s="97"/>
    </row>
    <row r="63" ht="15.75" customHeight="1">
      <c r="A63" s="59" t="str">
        <f t="array" ref="A63">XLOOKUP(C63, 'マスタ'!$C$2:$C$312, 'マスタ'!$D$2:$D$312, "マスタ未登録")</f>
        <v>接待交際費</v>
      </c>
      <c r="B63" s="53" t="str">
        <f>IF(AND(C63&lt;&gt;"", COUNTIF('マスタ'!$C:$C, C63)=0), "マスタ未登録", "")</f>
        <v/>
      </c>
      <c r="C63" s="53" t="str">
        <f t="shared" si="1"/>
        <v>交際費</v>
      </c>
      <c r="D63" s="10" t="s">
        <v>353</v>
      </c>
      <c r="E63" s="97">
        <v>948677.0</v>
      </c>
      <c r="F63" s="97">
        <v>312438.0</v>
      </c>
      <c r="G63" s="97">
        <v>0.0</v>
      </c>
      <c r="H63" s="97">
        <v>0.0</v>
      </c>
      <c r="I63" s="97">
        <v>0.0</v>
      </c>
      <c r="J63" s="97">
        <v>0.0</v>
      </c>
      <c r="K63" s="97">
        <v>0.0</v>
      </c>
      <c r="L63" s="97">
        <v>0.0</v>
      </c>
      <c r="M63" s="97">
        <v>0.0</v>
      </c>
      <c r="N63" s="97">
        <v>0.0</v>
      </c>
      <c r="O63" s="97">
        <v>0.0</v>
      </c>
      <c r="P63" s="97">
        <v>0.0</v>
      </c>
      <c r="Q63" s="97">
        <v>1261115.0</v>
      </c>
      <c r="R63" s="97"/>
      <c r="S63" s="97"/>
      <c r="T63" s="97"/>
      <c r="U63" s="97"/>
      <c r="V63" s="97"/>
    </row>
    <row r="64" ht="15.75" customHeight="1">
      <c r="A64" s="59" t="str">
        <f t="array" ref="A64">XLOOKUP(C64, 'マスタ'!$C$2:$C$312, 'マスタ'!$D$2:$D$312, "マスタ未登録")</f>
        <v>会議費</v>
      </c>
      <c r="B64" s="53" t="str">
        <f>IF(AND(C64&lt;&gt;"", COUNTIF('マスタ'!$C:$C, C64)=0), "マスタ未登録", "")</f>
        <v/>
      </c>
      <c r="C64" s="53" t="str">
        <f t="shared" si="1"/>
        <v>会議費</v>
      </c>
      <c r="D64" s="10" t="s">
        <v>94</v>
      </c>
      <c r="E64" s="97">
        <v>497558.0</v>
      </c>
      <c r="F64" s="97">
        <v>417822.0</v>
      </c>
      <c r="G64" s="97">
        <v>0.0</v>
      </c>
      <c r="H64" s="97">
        <v>0.0</v>
      </c>
      <c r="I64" s="97">
        <v>0.0</v>
      </c>
      <c r="J64" s="97">
        <v>0.0</v>
      </c>
      <c r="K64" s="97">
        <v>0.0</v>
      </c>
      <c r="L64" s="97">
        <v>0.0</v>
      </c>
      <c r="M64" s="97">
        <v>0.0</v>
      </c>
      <c r="N64" s="97">
        <v>0.0</v>
      </c>
      <c r="O64" s="97">
        <v>0.0</v>
      </c>
      <c r="P64" s="97">
        <v>0.0</v>
      </c>
      <c r="Q64" s="97">
        <v>915380.0</v>
      </c>
      <c r="R64" s="97"/>
      <c r="S64" s="97"/>
      <c r="T64" s="97"/>
      <c r="U64" s="97"/>
      <c r="V64" s="97"/>
    </row>
    <row r="65" ht="15.75" customHeight="1">
      <c r="A65" s="59" t="str">
        <f t="array" ref="A65">XLOOKUP(C65, 'マスタ'!$C$2:$C$312, 'マスタ'!$D$2:$D$312, "マスタ未登録")</f>
        <v>旅費交通費</v>
      </c>
      <c r="B65" s="53" t="str">
        <f>IF(AND(C65&lt;&gt;"", COUNTIF('マスタ'!$C:$C, C65)=0), "マスタ未登録", "")</f>
        <v/>
      </c>
      <c r="C65" s="53" t="str">
        <f t="shared" si="1"/>
        <v>旅費</v>
      </c>
      <c r="D65" s="10" t="s">
        <v>639</v>
      </c>
      <c r="E65" s="97">
        <v>3623509.0</v>
      </c>
      <c r="F65" s="97">
        <v>508510.0</v>
      </c>
      <c r="G65" s="97">
        <v>110294.0</v>
      </c>
      <c r="H65" s="97">
        <v>0.0</v>
      </c>
      <c r="I65" s="97">
        <v>0.0</v>
      </c>
      <c r="J65" s="97">
        <v>0.0</v>
      </c>
      <c r="K65" s="97">
        <v>0.0</v>
      </c>
      <c r="L65" s="97">
        <v>0.0</v>
      </c>
      <c r="M65" s="97">
        <v>0.0</v>
      </c>
      <c r="N65" s="97">
        <v>0.0</v>
      </c>
      <c r="O65" s="97">
        <v>0.0</v>
      </c>
      <c r="P65" s="97">
        <v>0.0</v>
      </c>
      <c r="Q65" s="97">
        <v>4242313.0</v>
      </c>
      <c r="R65" s="97"/>
      <c r="S65" s="97"/>
      <c r="T65" s="97"/>
      <c r="U65" s="97"/>
      <c r="V65" s="97"/>
    </row>
    <row r="66" ht="15.75" customHeight="1">
      <c r="A66" s="59" t="str">
        <f t="array" ref="A66">XLOOKUP(C66, 'マスタ'!$C$2:$C$312, 'マスタ'!$D$2:$D$312, "マスタ未登録")</f>
        <v>雑費</v>
      </c>
      <c r="B66" s="53" t="str">
        <f>IF(AND(C66&lt;&gt;"", COUNTIF('マスタ'!$C:$C, C66)=0), "マスタ未登録", "")</f>
        <v/>
      </c>
      <c r="C66" s="53" t="str">
        <f t="shared" si="1"/>
        <v>雑費</v>
      </c>
      <c r="D66" s="10" t="s">
        <v>100</v>
      </c>
      <c r="E66" s="97">
        <v>118028.0</v>
      </c>
      <c r="F66" s="97">
        <v>270.0</v>
      </c>
      <c r="G66" s="97">
        <v>0.0</v>
      </c>
      <c r="H66" s="97">
        <v>0.0</v>
      </c>
      <c r="I66" s="97">
        <v>0.0</v>
      </c>
      <c r="J66" s="97">
        <v>0.0</v>
      </c>
      <c r="K66" s="97">
        <v>0.0</v>
      </c>
      <c r="L66" s="97">
        <v>0.0</v>
      </c>
      <c r="M66" s="97">
        <v>0.0</v>
      </c>
      <c r="N66" s="97">
        <v>0.0</v>
      </c>
      <c r="O66" s="97">
        <v>0.0</v>
      </c>
      <c r="P66" s="97">
        <v>0.0</v>
      </c>
      <c r="Q66" s="97">
        <v>118298.0</v>
      </c>
    </row>
    <row r="67" ht="15.75" customHeight="1">
      <c r="A67" s="59" t="str">
        <f t="array" ref="A67">XLOOKUP(C67, 'マスタ'!$C$2:$C$312, 'マスタ'!$D$2:$D$312, "マスタ未登録")</f>
        <v>マスタ未登録</v>
      </c>
      <c r="B67" s="53" t="str">
        <f>IF(AND(C67&lt;&gt;"", COUNTIF('マスタ'!$C:$C, C67)=0), "マスタ未登録", "")</f>
        <v>マスタ未登録</v>
      </c>
      <c r="C67" s="53" t="str">
        <f t="shared" si="1"/>
        <v>販売管理費 計</v>
      </c>
      <c r="D67" s="10" t="s">
        <v>183</v>
      </c>
      <c r="E67" s="97">
        <v>4.21846673E8</v>
      </c>
      <c r="F67" s="97">
        <v>8.8223952E7</v>
      </c>
      <c r="G67" s="97">
        <v>5.2408871E7</v>
      </c>
      <c r="H67" s="97">
        <v>4780425.0</v>
      </c>
      <c r="I67" s="97">
        <v>4242979.0</v>
      </c>
      <c r="J67" s="97">
        <v>3928677.0</v>
      </c>
      <c r="K67" s="97">
        <v>3146302.0</v>
      </c>
      <c r="L67" s="97">
        <v>2462038.0</v>
      </c>
      <c r="M67" s="97">
        <v>1566868.0</v>
      </c>
      <c r="N67" s="97">
        <v>1423694.0</v>
      </c>
      <c r="O67" s="97">
        <v>2233694.0</v>
      </c>
      <c r="P67" s="97">
        <v>1619704.0</v>
      </c>
      <c r="Q67" s="97">
        <v>5.87883877E8</v>
      </c>
    </row>
    <row r="68" ht="15.75" customHeight="1">
      <c r="A68" s="59" t="str">
        <f t="array" ref="A68">XLOOKUP(C68, 'マスタ'!$C$2:$C$312, 'マスタ'!$D$2:$D$312, "マスタ未登録")</f>
        <v>マスタ未登録</v>
      </c>
      <c r="B68" s="53" t="str">
        <f>IF(AND(C68&lt;&gt;"", COUNTIF('マスタ'!$C:$C, C68)=0), "マスタ未登録", "")</f>
        <v>マスタ未登録</v>
      </c>
      <c r="C68" s="53" t="str">
        <f t="shared" si="1"/>
        <v>営業損益金額</v>
      </c>
      <c r="D68" s="10" t="s">
        <v>184</v>
      </c>
      <c r="E68" s="97">
        <v>5.59928481E8</v>
      </c>
      <c r="F68" s="97">
        <v>-3.2283373E7</v>
      </c>
      <c r="G68" s="97">
        <v>-4.7825538E7</v>
      </c>
      <c r="H68" s="97">
        <v>-930425.0</v>
      </c>
      <c r="I68" s="97">
        <v>-492979.0</v>
      </c>
      <c r="J68" s="97">
        <v>-178677.0</v>
      </c>
      <c r="K68" s="97">
        <v>603705.0</v>
      </c>
      <c r="L68" s="97">
        <v>-2462038.0</v>
      </c>
      <c r="M68" s="97">
        <v>-1566868.0</v>
      </c>
      <c r="N68" s="97">
        <v>-1423694.0</v>
      </c>
      <c r="O68" s="97">
        <v>-2233694.0</v>
      </c>
      <c r="P68" s="97">
        <v>-1619704.0</v>
      </c>
      <c r="Q68" s="97">
        <v>4.69515196E8</v>
      </c>
    </row>
    <row r="69" ht="15.75" customHeight="1">
      <c r="A69" s="59" t="str">
        <f t="array" ref="A69">XLOOKUP(C69, 'マスタ'!$C$2:$C$312, 'マスタ'!$D$2:$D$312, "マスタ未登録")</f>
        <v>マスタ未登録</v>
      </c>
      <c r="B69" s="53" t="str">
        <f>IF(AND(C69&lt;&gt;"", COUNTIF('マスタ'!$C:$C, C69)=0), "マスタ未登録", "")</f>
        <v>マスタ未登録</v>
      </c>
      <c r="C69" s="53" t="str">
        <f t="shared" si="1"/>
        <v>営業外収益</v>
      </c>
      <c r="D69" s="10" t="s">
        <v>32</v>
      </c>
      <c r="E69" s="97">
        <v>1757062.0</v>
      </c>
      <c r="F69" s="97">
        <v>101689.0</v>
      </c>
      <c r="G69" s="97">
        <v>0.0</v>
      </c>
      <c r="H69" s="97">
        <v>0.0</v>
      </c>
      <c r="I69" s="97">
        <v>0.0</v>
      </c>
      <c r="J69" s="97">
        <v>0.0</v>
      </c>
      <c r="K69" s="97">
        <v>0.0</v>
      </c>
      <c r="L69" s="97">
        <v>0.0</v>
      </c>
      <c r="M69" s="97">
        <v>0.0</v>
      </c>
      <c r="N69" s="97">
        <v>0.0</v>
      </c>
      <c r="O69" s="97">
        <v>0.0</v>
      </c>
      <c r="P69" s="97">
        <v>0.0</v>
      </c>
      <c r="Q69" s="97">
        <v>1858751.0</v>
      </c>
    </row>
    <row r="70" ht="15.75" customHeight="1">
      <c r="A70" s="59" t="str">
        <f t="array" ref="A70">XLOOKUP(C70, 'マスタ'!$C$2:$C$312, 'マスタ'!$D$2:$D$312, "マスタ未登録")</f>
        <v>償却債権取立益</v>
      </c>
      <c r="B70" s="53" t="str">
        <f>IF(AND(C70&lt;&gt;"", COUNTIF('マスタ'!$C:$C, C70)=0), "マスタ未登録", "")</f>
        <v/>
      </c>
      <c r="C70" s="53" t="str">
        <f t="shared" si="1"/>
        <v>償却債権取立益</v>
      </c>
      <c r="D70" s="10" t="s">
        <v>104</v>
      </c>
      <c r="E70" s="97">
        <v>72600.0</v>
      </c>
      <c r="F70" s="97">
        <v>0.0</v>
      </c>
      <c r="G70" s="97">
        <v>0.0</v>
      </c>
      <c r="H70" s="97">
        <v>0.0</v>
      </c>
      <c r="I70" s="97">
        <v>0.0</v>
      </c>
      <c r="J70" s="97">
        <v>0.0</v>
      </c>
      <c r="K70" s="97">
        <v>0.0</v>
      </c>
      <c r="L70" s="97">
        <v>0.0</v>
      </c>
      <c r="M70" s="97">
        <v>0.0</v>
      </c>
      <c r="N70" s="97">
        <v>0.0</v>
      </c>
      <c r="O70" s="97">
        <v>0.0</v>
      </c>
      <c r="P70" s="97">
        <v>0.0</v>
      </c>
      <c r="Q70" s="97">
        <v>72600.0</v>
      </c>
    </row>
    <row r="71" ht="15.75" customHeight="1">
      <c r="A71" s="59" t="str">
        <f t="array" ref="A71">XLOOKUP(C71, 'マスタ'!$C$2:$C$312, 'マスタ'!$D$2:$D$312, "マスタ未登録")</f>
        <v>受取利息</v>
      </c>
      <c r="B71" s="53" t="str">
        <f>IF(AND(C71&lt;&gt;"", COUNTIF('マスタ'!$C:$C, C71)=0), "マスタ未登録", "")</f>
        <v/>
      </c>
      <c r="C71" s="53" t="str">
        <f t="shared" si="1"/>
        <v>受取利息</v>
      </c>
      <c r="D71" s="10" t="s">
        <v>103</v>
      </c>
      <c r="E71" s="97">
        <v>813536.0</v>
      </c>
      <c r="F71" s="97">
        <v>277.0</v>
      </c>
      <c r="G71" s="97">
        <v>0.0</v>
      </c>
      <c r="H71" s="97">
        <v>0.0</v>
      </c>
      <c r="I71" s="97">
        <v>0.0</v>
      </c>
      <c r="J71" s="97">
        <v>0.0</v>
      </c>
      <c r="K71" s="97">
        <v>0.0</v>
      </c>
      <c r="L71" s="97">
        <v>0.0</v>
      </c>
      <c r="M71" s="97">
        <v>0.0</v>
      </c>
      <c r="N71" s="97">
        <v>0.0</v>
      </c>
      <c r="O71" s="97">
        <v>0.0</v>
      </c>
      <c r="P71" s="97">
        <v>0.0</v>
      </c>
      <c r="Q71" s="97">
        <v>813813.0</v>
      </c>
    </row>
    <row r="72" ht="15.75" customHeight="1">
      <c r="A72" s="59" t="str">
        <f t="array" ref="A72">XLOOKUP(C72, 'マスタ'!$C$2:$C$312, 'マスタ'!$D$2:$D$312, "マスタ未登録")</f>
        <v>雑収入</v>
      </c>
      <c r="B72" s="53" t="str">
        <f>IF(AND(C72&lt;&gt;"", COUNTIF('マスタ'!$C:$C, C72)=0), "マスタ未登録", "")</f>
        <v/>
      </c>
      <c r="C72" s="53" t="str">
        <f t="shared" si="1"/>
        <v>雑収入</v>
      </c>
      <c r="D72" s="10" t="s">
        <v>108</v>
      </c>
      <c r="E72" s="97">
        <v>870926.0</v>
      </c>
      <c r="F72" s="97">
        <v>101412.0</v>
      </c>
      <c r="G72" s="97">
        <v>0.0</v>
      </c>
      <c r="H72" s="97">
        <v>0.0</v>
      </c>
      <c r="I72" s="97">
        <v>0.0</v>
      </c>
      <c r="J72" s="97">
        <v>0.0</v>
      </c>
      <c r="K72" s="97">
        <v>0.0</v>
      </c>
      <c r="L72" s="97">
        <v>0.0</v>
      </c>
      <c r="M72" s="97">
        <v>0.0</v>
      </c>
      <c r="N72" s="97">
        <v>0.0</v>
      </c>
      <c r="O72" s="97">
        <v>0.0</v>
      </c>
      <c r="P72" s="97">
        <v>0.0</v>
      </c>
      <c r="Q72" s="97">
        <v>972338.0</v>
      </c>
    </row>
    <row r="73" ht="15.75" customHeight="1">
      <c r="A73" s="59" t="str">
        <f t="array" ref="A73">XLOOKUP(C73, 'マスタ'!$C$2:$C$312, 'マスタ'!$D$2:$D$312, "マスタ未登録")</f>
        <v>マスタ未登録</v>
      </c>
      <c r="B73" s="53" t="str">
        <f>IF(AND(C73&lt;&gt;"", COUNTIF('マスタ'!$C:$C, C73)=0), "マスタ未登録", "")</f>
        <v>マスタ未登録</v>
      </c>
      <c r="C73" s="53" t="str">
        <f t="shared" si="1"/>
        <v>営業外費用</v>
      </c>
      <c r="D73" s="10" t="s">
        <v>34</v>
      </c>
      <c r="E73" s="97">
        <v>0.0</v>
      </c>
      <c r="F73" s="97">
        <v>0.0</v>
      </c>
      <c r="G73" s="97">
        <v>0.0</v>
      </c>
      <c r="H73" s="97">
        <v>0.0</v>
      </c>
      <c r="I73" s="97">
        <v>0.0</v>
      </c>
      <c r="J73" s="97">
        <v>0.0</v>
      </c>
      <c r="K73" s="97">
        <v>0.0</v>
      </c>
      <c r="L73" s="97">
        <v>0.0</v>
      </c>
      <c r="M73" s="97">
        <v>0.0</v>
      </c>
      <c r="N73" s="97">
        <v>0.0</v>
      </c>
      <c r="O73" s="97">
        <v>0.0</v>
      </c>
      <c r="P73" s="97">
        <v>0.0</v>
      </c>
      <c r="Q73" s="97">
        <v>0.0</v>
      </c>
    </row>
    <row r="74" ht="15.75" customHeight="1">
      <c r="A74" s="59" t="str">
        <f t="array" ref="A74">XLOOKUP(C74, 'マスタ'!$C$2:$C$312, 'マスタ'!$D$2:$D$312, "マスタ未登録")</f>
        <v>マスタ未登録</v>
      </c>
      <c r="B74" s="53" t="str">
        <f>IF(AND(C74&lt;&gt;"", COUNTIF('マスタ'!$C:$C, C74)=0), "マスタ未登録", "")</f>
        <v>マスタ未登録</v>
      </c>
      <c r="C74" s="53" t="str">
        <f t="shared" si="1"/>
        <v>経常損益金額</v>
      </c>
      <c r="D74" s="10" t="s">
        <v>112</v>
      </c>
      <c r="E74" s="97">
        <v>5.61685543E8</v>
      </c>
      <c r="F74" s="97">
        <v>-3.2181684E7</v>
      </c>
      <c r="G74" s="97">
        <v>-4.7825538E7</v>
      </c>
      <c r="H74" s="97">
        <v>-930425.0</v>
      </c>
      <c r="I74" s="97">
        <v>-492979.0</v>
      </c>
      <c r="J74" s="97">
        <v>-178677.0</v>
      </c>
      <c r="K74" s="97">
        <v>603705.0</v>
      </c>
      <c r="L74" s="97">
        <v>-2462038.0</v>
      </c>
      <c r="M74" s="97">
        <v>-1566868.0</v>
      </c>
      <c r="N74" s="97">
        <v>-1423694.0</v>
      </c>
      <c r="O74" s="97">
        <v>-2233694.0</v>
      </c>
      <c r="P74" s="97">
        <v>-1619704.0</v>
      </c>
      <c r="Q74" s="97">
        <v>4.71373947E8</v>
      </c>
    </row>
    <row r="75" ht="15.75" customHeight="1">
      <c r="A75" s="59" t="str">
        <f t="array" ref="A75">XLOOKUP(C75, 'マスタ'!$C$2:$C$312, 'マスタ'!$D$2:$D$312, "マスタ未登録")</f>
        <v>マスタ未登録</v>
      </c>
      <c r="B75" s="53" t="str">
        <f>IF(AND(C75&lt;&gt;"", COUNTIF('マスタ'!$C:$C, C75)=0), "マスタ未登録", "")</f>
        <v>マスタ未登録</v>
      </c>
      <c r="C75" s="53" t="str">
        <f t="shared" si="1"/>
        <v>特別利益</v>
      </c>
      <c r="D75" s="10" t="s">
        <v>37</v>
      </c>
      <c r="E75" s="97">
        <v>0.0</v>
      </c>
      <c r="F75" s="97">
        <v>0.0</v>
      </c>
      <c r="G75" s="97">
        <v>0.0</v>
      </c>
      <c r="H75" s="97">
        <v>0.0</v>
      </c>
      <c r="I75" s="97">
        <v>0.0</v>
      </c>
      <c r="J75" s="97">
        <v>0.0</v>
      </c>
      <c r="K75" s="97">
        <v>0.0</v>
      </c>
      <c r="L75" s="97">
        <v>0.0</v>
      </c>
      <c r="M75" s="97">
        <v>0.0</v>
      </c>
      <c r="N75" s="97">
        <v>0.0</v>
      </c>
      <c r="O75" s="97">
        <v>0.0</v>
      </c>
      <c r="P75" s="97">
        <v>0.0</v>
      </c>
      <c r="Q75" s="97">
        <v>0.0</v>
      </c>
    </row>
    <row r="76" ht="15.75" customHeight="1">
      <c r="A76" s="59" t="str">
        <f t="array" ref="A76">XLOOKUP(C76, 'マスタ'!$C$2:$C$312, 'マスタ'!$D$2:$D$312, "マスタ未登録")</f>
        <v>マスタ未登録</v>
      </c>
      <c r="B76" s="53" t="str">
        <f>IF(AND(C76&lt;&gt;"", COUNTIF('マスタ'!$C:$C, C76)=0), "マスタ未登録", "")</f>
        <v>マスタ未登録</v>
      </c>
      <c r="C76" s="53" t="str">
        <f t="shared" si="1"/>
        <v>特別損失</v>
      </c>
      <c r="D76" s="10" t="s">
        <v>39</v>
      </c>
      <c r="E76" s="97">
        <v>0.0</v>
      </c>
      <c r="F76" s="97">
        <v>0.0</v>
      </c>
      <c r="G76" s="97">
        <v>0.0</v>
      </c>
      <c r="H76" s="97">
        <v>0.0</v>
      </c>
      <c r="I76" s="97">
        <v>0.0</v>
      </c>
      <c r="J76" s="97">
        <v>0.0</v>
      </c>
      <c r="K76" s="97">
        <v>0.0</v>
      </c>
      <c r="L76" s="97">
        <v>0.0</v>
      </c>
      <c r="M76" s="97">
        <v>0.0</v>
      </c>
      <c r="N76" s="97">
        <v>0.0</v>
      </c>
      <c r="O76" s="97">
        <v>0.0</v>
      </c>
      <c r="P76" s="97">
        <v>0.0</v>
      </c>
      <c r="Q76" s="97">
        <v>0.0</v>
      </c>
    </row>
    <row r="77" ht="15.75" customHeight="1">
      <c r="A77" s="59" t="str">
        <f t="array" ref="A77">XLOOKUP(C77, 'マスタ'!$C$2:$C$312, 'マスタ'!$D$2:$D$312, "マスタ未登録")</f>
        <v>マスタ未登録</v>
      </c>
      <c r="B77" s="53" t="str">
        <f>IF(AND(C77&lt;&gt;"", COUNTIF('マスタ'!$C:$C, C77)=0), "マスタ未登録", "")</f>
        <v>マスタ未登録</v>
      </c>
      <c r="C77" s="53" t="str">
        <f t="shared" si="1"/>
        <v>税引前当期純損益金額</v>
      </c>
      <c r="D77" s="10" t="s">
        <v>117</v>
      </c>
      <c r="E77" s="97">
        <v>5.61685543E8</v>
      </c>
      <c r="F77" s="97">
        <v>-3.2181684E7</v>
      </c>
      <c r="G77" s="97">
        <v>-4.7825538E7</v>
      </c>
      <c r="H77" s="97">
        <v>-930425.0</v>
      </c>
      <c r="I77" s="97">
        <v>-492979.0</v>
      </c>
      <c r="J77" s="97">
        <v>-178677.0</v>
      </c>
      <c r="K77" s="97">
        <v>603705.0</v>
      </c>
      <c r="L77" s="97">
        <v>-2462038.0</v>
      </c>
      <c r="M77" s="97">
        <v>-1566868.0</v>
      </c>
      <c r="N77" s="97">
        <v>-1423694.0</v>
      </c>
      <c r="O77" s="97">
        <v>-2233694.0</v>
      </c>
      <c r="P77" s="97">
        <v>-1619704.0</v>
      </c>
      <c r="Q77" s="97">
        <v>4.71373947E8</v>
      </c>
    </row>
    <row r="78" ht="15.75" customHeight="1">
      <c r="A78" s="59" t="str">
        <f t="array" ref="A78">XLOOKUP(C78, 'マスタ'!$C$2:$C$312, 'マスタ'!$D$2:$D$312, "マスタ未登録")</f>
        <v>法人税等</v>
      </c>
      <c r="B78" s="53" t="str">
        <f>IF(AND(C78&lt;&gt;"", COUNTIF('マスタ'!$C:$C, C78)=0), "マスタ未登録", "")</f>
        <v/>
      </c>
      <c r="C78" s="53" t="str">
        <f t="shared" si="1"/>
        <v>法人税等</v>
      </c>
      <c r="D78" s="10" t="s">
        <v>43</v>
      </c>
      <c r="E78" s="97">
        <v>1741.0</v>
      </c>
      <c r="F78" s="97">
        <v>0.0</v>
      </c>
      <c r="G78" s="97">
        <v>0.0</v>
      </c>
      <c r="H78" s="97">
        <v>0.0</v>
      </c>
      <c r="I78" s="97">
        <v>0.0</v>
      </c>
      <c r="J78" s="97">
        <v>0.0</v>
      </c>
      <c r="K78" s="97">
        <v>0.0</v>
      </c>
      <c r="L78" s="97">
        <v>0.0</v>
      </c>
      <c r="M78" s="97">
        <v>0.0</v>
      </c>
      <c r="N78" s="97">
        <v>0.0</v>
      </c>
      <c r="O78" s="97">
        <v>0.0</v>
      </c>
      <c r="P78" s="97">
        <v>0.0</v>
      </c>
      <c r="Q78" s="97">
        <v>1741.0</v>
      </c>
    </row>
    <row r="79" ht="15.75" customHeight="1">
      <c r="A79" s="59" t="str">
        <f t="array" ref="A79">XLOOKUP(C79, 'マスタ'!$C$2:$C$312, 'マスタ'!$D$2:$D$312, "マスタ未登録")</f>
        <v>法人税・住民税及び事業税</v>
      </c>
      <c r="B79" s="53" t="str">
        <f>IF(AND(C79&lt;&gt;"", COUNTIF('マスタ'!$C:$C, C79)=0), "マスタ未登録", "")</f>
        <v/>
      </c>
      <c r="C79" s="53" t="str">
        <f t="shared" si="1"/>
        <v>法人税・住民税及び事業税</v>
      </c>
      <c r="D79" s="10" t="s">
        <v>387</v>
      </c>
      <c r="E79" s="97">
        <v>1741.0</v>
      </c>
      <c r="F79" s="97">
        <v>0.0</v>
      </c>
      <c r="G79" s="97">
        <v>0.0</v>
      </c>
      <c r="H79" s="97">
        <v>0.0</v>
      </c>
      <c r="I79" s="97">
        <v>0.0</v>
      </c>
      <c r="J79" s="97">
        <v>0.0</v>
      </c>
      <c r="K79" s="97">
        <v>0.0</v>
      </c>
      <c r="L79" s="97">
        <v>0.0</v>
      </c>
      <c r="M79" s="97">
        <v>0.0</v>
      </c>
      <c r="N79" s="97">
        <v>0.0</v>
      </c>
      <c r="O79" s="97">
        <v>0.0</v>
      </c>
      <c r="P79" s="97">
        <v>0.0</v>
      </c>
      <c r="Q79" s="97">
        <v>1741.0</v>
      </c>
    </row>
    <row r="80" ht="15.75" customHeight="1">
      <c r="A80" s="59" t="str">
        <f t="array" ref="A80">XLOOKUP(C80, 'マスタ'!$C$2:$C$312, 'マスタ'!$D$2:$D$312, "マスタ未登録")</f>
        <v>法人税等調整額</v>
      </c>
      <c r="B80" s="53" t="str">
        <f>IF(AND(C80&lt;&gt;"", COUNTIF('マスタ'!$C:$C, C80)=0), "マスタ未登録", "")</f>
        <v/>
      </c>
      <c r="C80" s="53" t="str">
        <f t="shared" si="1"/>
        <v>法人税等調整額</v>
      </c>
      <c r="D80" s="10" t="s">
        <v>118</v>
      </c>
      <c r="E80" s="97">
        <v>0.0</v>
      </c>
      <c r="F80" s="97">
        <v>0.0</v>
      </c>
      <c r="G80" s="97">
        <v>0.0</v>
      </c>
      <c r="H80" s="97">
        <v>0.0</v>
      </c>
      <c r="I80" s="97">
        <v>0.0</v>
      </c>
      <c r="J80" s="97">
        <v>0.0</v>
      </c>
      <c r="K80" s="97">
        <v>0.0</v>
      </c>
      <c r="L80" s="97">
        <v>0.0</v>
      </c>
      <c r="M80" s="97">
        <v>0.0</v>
      </c>
      <c r="N80" s="97">
        <v>0.0</v>
      </c>
      <c r="O80" s="97">
        <v>0.0</v>
      </c>
      <c r="P80" s="97">
        <v>0.0</v>
      </c>
      <c r="Q80" s="97">
        <v>0.0</v>
      </c>
    </row>
    <row r="81" ht="15.75" customHeight="1">
      <c r="A81" s="59" t="str">
        <f t="array" ref="A81">XLOOKUP(C81, 'マスタ'!$C$2:$C$312, 'マスタ'!$D$2:$D$312, "マスタ未登録")</f>
        <v>マスタ未登録</v>
      </c>
      <c r="B81" s="53" t="str">
        <f>IF(AND(C81&lt;&gt;"", COUNTIF('マスタ'!$C:$C, C81)=0), "マスタ未登録", "")</f>
        <v>マスタ未登録</v>
      </c>
      <c r="C81" s="53" t="str">
        <f t="shared" si="1"/>
        <v>当期純損益金額</v>
      </c>
      <c r="D81" s="10" t="s">
        <v>119</v>
      </c>
      <c r="E81" s="97">
        <v>5.61683802E8</v>
      </c>
      <c r="F81" s="97">
        <v>-3.2181684E7</v>
      </c>
      <c r="G81" s="97">
        <v>-4.7825538E7</v>
      </c>
      <c r="H81" s="97">
        <v>-930425.0</v>
      </c>
      <c r="I81" s="97">
        <v>-492979.0</v>
      </c>
      <c r="J81" s="97">
        <v>-178677.0</v>
      </c>
      <c r="K81" s="97">
        <v>603705.0</v>
      </c>
      <c r="L81" s="97">
        <v>-2462038.0</v>
      </c>
      <c r="M81" s="97">
        <v>-1566868.0</v>
      </c>
      <c r="N81" s="97">
        <v>-1423694.0</v>
      </c>
      <c r="O81" s="97">
        <v>-2233694.0</v>
      </c>
      <c r="P81" s="97">
        <v>-1619704.0</v>
      </c>
      <c r="Q81" s="97">
        <v>4.71372206E8</v>
      </c>
    </row>
    <row r="82" ht="15.75" customHeight="1">
      <c r="D82" s="61"/>
    </row>
    <row r="83" ht="15.75" customHeight="1">
      <c r="D83" s="61"/>
    </row>
    <row r="84" ht="15.75" customHeight="1">
      <c r="D84" s="61"/>
    </row>
    <row r="85" ht="15.75" customHeight="1">
      <c r="D85" s="61"/>
    </row>
    <row r="86" ht="15.75" customHeight="1">
      <c r="D86" s="61"/>
    </row>
    <row r="87" ht="15.75" customHeight="1">
      <c r="D87" s="61"/>
    </row>
    <row r="88" ht="15.75" customHeight="1">
      <c r="D88" s="61"/>
    </row>
    <row r="89" ht="15.75" customHeight="1">
      <c r="D89" s="61"/>
    </row>
    <row r="90" ht="15.75" customHeight="1">
      <c r="D90" s="61"/>
    </row>
    <row r="91" ht="15.75" customHeight="1">
      <c r="D91" s="61"/>
    </row>
    <row r="92" ht="15.75" customHeight="1">
      <c r="D92" s="61"/>
    </row>
    <row r="93" ht="15.75" customHeight="1">
      <c r="D93" s="61"/>
    </row>
    <row r="94" ht="15.75" customHeight="1">
      <c r="D94" s="61"/>
    </row>
    <row r="95" ht="15.75" customHeight="1">
      <c r="D95" s="61"/>
    </row>
    <row r="96" ht="15.75" customHeight="1">
      <c r="D96" s="61"/>
    </row>
    <row r="97" ht="15.75" customHeight="1">
      <c r="D97" s="61"/>
    </row>
    <row r="98" ht="15.75" customHeight="1">
      <c r="D98" s="61"/>
    </row>
    <row r="99" ht="15.75" customHeight="1">
      <c r="D99" s="61"/>
    </row>
    <row r="100" ht="15.75" customHeight="1">
      <c r="D100" s="61"/>
    </row>
    <row r="101" ht="15.75" customHeight="1">
      <c r="D101" s="61"/>
    </row>
    <row r="102" ht="15.75" customHeight="1">
      <c r="D102" s="61"/>
    </row>
    <row r="103" ht="15.75" customHeight="1">
      <c r="D103" s="61"/>
    </row>
    <row r="104" ht="15.75" customHeight="1">
      <c r="D104" s="61"/>
    </row>
    <row r="105" ht="15.75" customHeight="1">
      <c r="D105" s="61"/>
    </row>
    <row r="106" ht="15.75" customHeight="1">
      <c r="D106" s="61"/>
    </row>
    <row r="107" ht="15.75" customHeight="1">
      <c r="D107" s="61"/>
    </row>
    <row r="108" ht="15.75" customHeight="1">
      <c r="D108" s="61"/>
    </row>
    <row r="109" ht="15.75" customHeight="1">
      <c r="D109" s="61"/>
    </row>
    <row r="110" ht="15.75" customHeight="1">
      <c r="D110" s="61"/>
    </row>
    <row r="111" ht="15.75" customHeight="1">
      <c r="D111" s="61"/>
    </row>
    <row r="112" ht="15.75" customHeight="1">
      <c r="D112" s="61"/>
    </row>
    <row r="113" ht="15.75" customHeight="1">
      <c r="D113" s="61"/>
    </row>
    <row r="114" ht="15.75" customHeight="1">
      <c r="D114" s="61"/>
    </row>
    <row r="115" ht="15.75" customHeight="1">
      <c r="D115" s="61"/>
    </row>
    <row r="116" ht="15.75" customHeight="1">
      <c r="D116" s="61"/>
    </row>
    <row r="117" ht="15.75" customHeight="1">
      <c r="D117" s="61"/>
    </row>
    <row r="118" ht="15.75" customHeight="1">
      <c r="D118" s="61"/>
    </row>
    <row r="119" ht="15.75" customHeight="1">
      <c r="D119" s="61"/>
    </row>
    <row r="120" ht="15.75" customHeight="1">
      <c r="D120" s="61"/>
    </row>
    <row r="121" ht="15.75" customHeight="1">
      <c r="D121" s="61"/>
    </row>
    <row r="122" ht="15.75" customHeight="1">
      <c r="D122" s="61"/>
    </row>
    <row r="123" ht="15.75" customHeight="1">
      <c r="D123" s="61"/>
    </row>
    <row r="124" ht="15.75" customHeight="1">
      <c r="D124" s="61"/>
    </row>
    <row r="125" ht="15.75" customHeight="1">
      <c r="D125" s="61"/>
    </row>
    <row r="126" ht="15.75" customHeight="1">
      <c r="D126" s="61"/>
    </row>
    <row r="127" ht="15.75" customHeight="1">
      <c r="D127" s="61"/>
    </row>
    <row r="128" ht="15.75" customHeight="1">
      <c r="D128" s="61"/>
    </row>
    <row r="129" ht="15.75" customHeight="1">
      <c r="D129" s="61"/>
    </row>
    <row r="130" ht="15.75" customHeight="1">
      <c r="D130" s="61"/>
    </row>
    <row r="131" ht="15.75" customHeight="1">
      <c r="D131" s="61"/>
    </row>
    <row r="132" ht="15.75" customHeight="1">
      <c r="D132" s="61"/>
    </row>
    <row r="133" ht="15.75" customHeight="1">
      <c r="D133" s="61"/>
    </row>
    <row r="134" ht="15.75" customHeight="1">
      <c r="D134" s="61"/>
    </row>
    <row r="135" ht="15.75" customHeight="1">
      <c r="D135" s="61"/>
    </row>
    <row r="136" ht="15.75" customHeight="1">
      <c r="D136" s="61"/>
    </row>
    <row r="137" ht="15.75" customHeight="1">
      <c r="D137" s="61"/>
    </row>
    <row r="138" ht="15.75" customHeight="1">
      <c r="D138" s="61"/>
    </row>
    <row r="139" ht="15.75" customHeight="1">
      <c r="D139" s="61"/>
    </row>
    <row r="140" ht="15.75" customHeight="1">
      <c r="D140" s="61"/>
    </row>
    <row r="141" ht="15.75" customHeight="1">
      <c r="D141" s="61"/>
    </row>
    <row r="142" ht="15.75" customHeight="1">
      <c r="D142" s="61"/>
    </row>
    <row r="143" ht="15.75" customHeight="1">
      <c r="D143" s="61"/>
    </row>
    <row r="144" ht="15.75" customHeight="1">
      <c r="D144" s="61"/>
    </row>
    <row r="145" ht="15.75" customHeight="1">
      <c r="D145" s="61"/>
    </row>
    <row r="146" ht="15.75" customHeight="1">
      <c r="D146" s="61"/>
    </row>
    <row r="147" ht="15.75" customHeight="1">
      <c r="D147" s="61"/>
    </row>
    <row r="148" ht="15.75" customHeight="1">
      <c r="D148" s="61"/>
    </row>
    <row r="149" ht="15.75" customHeight="1">
      <c r="D149" s="61"/>
    </row>
    <row r="150" ht="15.75" customHeight="1">
      <c r="D150" s="61"/>
    </row>
    <row r="151" ht="15.75" customHeight="1">
      <c r="D151" s="61"/>
    </row>
    <row r="152" ht="15.75" customHeight="1">
      <c r="D152" s="61"/>
    </row>
    <row r="153" ht="15.75" customHeight="1">
      <c r="D153" s="61"/>
    </row>
    <row r="154" ht="15.75" customHeight="1">
      <c r="D154" s="61"/>
    </row>
    <row r="155" ht="15.75" customHeight="1">
      <c r="D155" s="61"/>
    </row>
    <row r="156" ht="15.75" customHeight="1">
      <c r="D156" s="61"/>
    </row>
    <row r="157" ht="15.75" customHeight="1">
      <c r="D157" s="61"/>
    </row>
    <row r="158" ht="15.75" customHeight="1">
      <c r="D158" s="61"/>
    </row>
    <row r="159" ht="15.75" customHeight="1">
      <c r="D159" s="61"/>
    </row>
    <row r="160" ht="15.75" customHeight="1">
      <c r="D160" s="61"/>
    </row>
    <row r="161" ht="15.75" customHeight="1">
      <c r="D161" s="61"/>
    </row>
    <row r="162" ht="15.75" customHeight="1">
      <c r="D162" s="61"/>
    </row>
    <row r="163" ht="15.75" customHeight="1">
      <c r="D163" s="61"/>
    </row>
    <row r="164" ht="15.75" customHeight="1">
      <c r="D164" s="61"/>
    </row>
    <row r="165" ht="15.75" customHeight="1">
      <c r="D165" s="61"/>
    </row>
    <row r="166" ht="15.75" customHeight="1">
      <c r="D166" s="61"/>
    </row>
    <row r="167" ht="15.75" customHeight="1">
      <c r="D167" s="61"/>
    </row>
    <row r="168" ht="15.75" customHeight="1">
      <c r="D168" s="61"/>
    </row>
    <row r="169" ht="15.75" customHeight="1">
      <c r="D169" s="61"/>
    </row>
    <row r="170" ht="15.75" customHeight="1">
      <c r="D170" s="61"/>
    </row>
    <row r="171" ht="15.75" customHeight="1">
      <c r="D171" s="61"/>
    </row>
    <row r="172" ht="15.75" customHeight="1">
      <c r="D172" s="61"/>
    </row>
    <row r="173" ht="15.75" customHeight="1">
      <c r="D173" s="61"/>
    </row>
    <row r="174" ht="15.75" customHeight="1">
      <c r="D174" s="61"/>
    </row>
    <row r="175" ht="15.75" customHeight="1">
      <c r="D175" s="61"/>
    </row>
    <row r="176" ht="15.75" customHeight="1">
      <c r="D176" s="61"/>
    </row>
    <row r="177" ht="15.75" customHeight="1">
      <c r="D177" s="61"/>
    </row>
    <row r="178" ht="15.75" customHeight="1">
      <c r="D178" s="61"/>
    </row>
    <row r="179" ht="15.75" customHeight="1">
      <c r="D179" s="61"/>
    </row>
    <row r="180" ht="15.75" customHeight="1">
      <c r="D180" s="61"/>
    </row>
    <row r="181" ht="15.75" customHeight="1">
      <c r="D181" s="61"/>
    </row>
    <row r="182" ht="15.75" customHeight="1">
      <c r="D182" s="61"/>
    </row>
    <row r="183" ht="15.75" customHeight="1">
      <c r="D183" s="61"/>
    </row>
    <row r="184" ht="15.75" customHeight="1">
      <c r="D184" s="61"/>
    </row>
    <row r="185" ht="15.75" customHeight="1">
      <c r="D185" s="61"/>
    </row>
    <row r="186" ht="15.75" customHeight="1">
      <c r="D186" s="61"/>
    </row>
    <row r="187" ht="15.75" customHeight="1">
      <c r="D187" s="61"/>
    </row>
    <row r="188" ht="15.75" customHeight="1">
      <c r="D188" s="61"/>
    </row>
    <row r="189" ht="15.75" customHeight="1">
      <c r="D189" s="61"/>
    </row>
    <row r="190" ht="15.75" customHeight="1">
      <c r="D190" s="61"/>
    </row>
    <row r="191" ht="15.75" customHeight="1">
      <c r="D191" s="61"/>
    </row>
    <row r="192" ht="15.75" customHeight="1">
      <c r="D192" s="61"/>
    </row>
    <row r="193" ht="15.75" customHeight="1">
      <c r="D193" s="61"/>
    </row>
    <row r="194" ht="15.75" customHeight="1">
      <c r="D194" s="61"/>
    </row>
    <row r="195" ht="15.75" customHeight="1">
      <c r="D195" s="61"/>
    </row>
    <row r="196" ht="15.75" customHeight="1">
      <c r="D196" s="61"/>
    </row>
    <row r="197" ht="15.75" customHeight="1">
      <c r="D197" s="61"/>
    </row>
    <row r="198" ht="15.75" customHeight="1">
      <c r="D198" s="61"/>
    </row>
    <row r="199" ht="15.75" customHeight="1">
      <c r="D199" s="61"/>
    </row>
    <row r="200" ht="15.75" customHeight="1">
      <c r="D200" s="61"/>
    </row>
    <row r="201" ht="15.75" customHeight="1">
      <c r="D201" s="61"/>
    </row>
    <row r="202" ht="15.75" customHeight="1">
      <c r="D202" s="61"/>
    </row>
    <row r="203" ht="15.75" customHeight="1">
      <c r="D203" s="61"/>
    </row>
    <row r="204" ht="15.75" customHeight="1">
      <c r="D204" s="61"/>
    </row>
    <row r="205" ht="15.75" customHeight="1">
      <c r="D205" s="61"/>
    </row>
    <row r="206" ht="15.75" customHeight="1">
      <c r="D206" s="61"/>
    </row>
    <row r="207" ht="15.75" customHeight="1">
      <c r="D207" s="61"/>
    </row>
    <row r="208" ht="15.75" customHeight="1">
      <c r="D208" s="61"/>
    </row>
    <row r="209" ht="15.75" customHeight="1">
      <c r="D209" s="61"/>
    </row>
    <row r="210" ht="15.75" customHeight="1">
      <c r="D210" s="61"/>
    </row>
    <row r="211" ht="15.75" customHeight="1">
      <c r="D211" s="61"/>
    </row>
    <row r="212" ht="15.75" customHeight="1">
      <c r="D212" s="61"/>
    </row>
    <row r="213" ht="15.75" customHeight="1">
      <c r="D213" s="61"/>
    </row>
    <row r="214" ht="15.75" customHeight="1">
      <c r="D214" s="61"/>
    </row>
    <row r="215" ht="15.75" customHeight="1">
      <c r="D215" s="61"/>
    </row>
    <row r="216" ht="15.75" customHeight="1">
      <c r="D216" s="61"/>
    </row>
    <row r="217" ht="15.75" customHeight="1">
      <c r="D217" s="61"/>
    </row>
    <row r="218" ht="15.75" customHeight="1">
      <c r="D218" s="61"/>
    </row>
    <row r="219" ht="15.75" customHeight="1">
      <c r="D219" s="61"/>
    </row>
    <row r="220" ht="15.75" customHeight="1">
      <c r="D220" s="61"/>
    </row>
    <row r="221" ht="15.75" customHeight="1">
      <c r="D221" s="61"/>
    </row>
    <row r="222" ht="15.75" customHeight="1">
      <c r="D222" s="61"/>
    </row>
    <row r="223" ht="15.75" customHeight="1">
      <c r="D223" s="61"/>
    </row>
    <row r="224" ht="15.75" customHeight="1">
      <c r="D224" s="61"/>
    </row>
    <row r="225" ht="15.75" customHeight="1">
      <c r="D225" s="61"/>
    </row>
    <row r="226" ht="15.75" customHeight="1">
      <c r="D226" s="61"/>
    </row>
    <row r="227" ht="15.75" customHeight="1">
      <c r="D227" s="61"/>
    </row>
    <row r="228" ht="15.75" customHeight="1">
      <c r="D228" s="61"/>
    </row>
    <row r="229" ht="15.75" customHeight="1">
      <c r="D229" s="61"/>
    </row>
    <row r="230" ht="15.75" customHeight="1">
      <c r="D230" s="61"/>
    </row>
    <row r="231" ht="15.75" customHeight="1">
      <c r="D231" s="61"/>
    </row>
    <row r="232" ht="15.75" customHeight="1">
      <c r="D232" s="61"/>
    </row>
    <row r="233" ht="15.75" customHeight="1">
      <c r="D233" s="61"/>
    </row>
    <row r="234" ht="15.75" customHeight="1">
      <c r="D234" s="61"/>
    </row>
    <row r="235" ht="15.75" customHeight="1">
      <c r="D235" s="61"/>
    </row>
    <row r="236" ht="15.75" customHeight="1">
      <c r="D236" s="61"/>
    </row>
    <row r="237" ht="15.75" customHeight="1">
      <c r="D237" s="61"/>
    </row>
    <row r="238" ht="15.75" customHeight="1">
      <c r="D238" s="61"/>
    </row>
    <row r="239" ht="15.75" customHeight="1">
      <c r="D239" s="61"/>
    </row>
    <row r="240" ht="15.75" customHeight="1">
      <c r="D240" s="61"/>
    </row>
    <row r="241" ht="15.75" customHeight="1">
      <c r="D241" s="61"/>
    </row>
    <row r="242" ht="15.75" customHeight="1">
      <c r="D242" s="61"/>
    </row>
    <row r="243" ht="15.75" customHeight="1">
      <c r="D243" s="61"/>
    </row>
    <row r="244" ht="15.75" customHeight="1">
      <c r="D244" s="61"/>
    </row>
    <row r="245" ht="15.75" customHeight="1">
      <c r="D245" s="61"/>
    </row>
    <row r="246" ht="15.75" customHeight="1">
      <c r="D246" s="61"/>
    </row>
    <row r="247" ht="15.75" customHeight="1">
      <c r="D247" s="61"/>
    </row>
    <row r="248" ht="15.75" customHeight="1">
      <c r="D248" s="61"/>
    </row>
    <row r="249" ht="15.75" customHeight="1">
      <c r="D249" s="61"/>
    </row>
    <row r="250" ht="15.75" customHeight="1">
      <c r="D250" s="61"/>
    </row>
    <row r="251" ht="15.75" customHeight="1">
      <c r="D251" s="61"/>
    </row>
    <row r="252" ht="15.75" customHeight="1">
      <c r="D252" s="61"/>
    </row>
    <row r="253" ht="15.75" customHeight="1">
      <c r="D253" s="61"/>
    </row>
    <row r="254" ht="15.75" customHeight="1">
      <c r="D254" s="61"/>
    </row>
    <row r="255" ht="15.75" customHeight="1">
      <c r="D255" s="61"/>
    </row>
    <row r="256" ht="15.75" customHeight="1">
      <c r="D256" s="61"/>
    </row>
    <row r="257" ht="15.75" customHeight="1">
      <c r="D257" s="61"/>
    </row>
    <row r="258" ht="15.75" customHeight="1">
      <c r="D258" s="61"/>
    </row>
    <row r="259" ht="15.75" customHeight="1">
      <c r="D259" s="61"/>
    </row>
    <row r="260" ht="15.75" customHeight="1">
      <c r="D260" s="61"/>
    </row>
    <row r="261" ht="15.75" customHeight="1">
      <c r="D261" s="61"/>
    </row>
    <row r="262" ht="15.75" customHeight="1">
      <c r="D262" s="61"/>
    </row>
    <row r="263" ht="15.75" customHeight="1">
      <c r="D263" s="61"/>
    </row>
    <row r="264" ht="15.75" customHeight="1">
      <c r="D264" s="61"/>
    </row>
    <row r="265" ht="15.75" customHeight="1">
      <c r="D265" s="61"/>
    </row>
    <row r="266" ht="15.75" customHeight="1">
      <c r="D266" s="61"/>
    </row>
    <row r="267" ht="15.75" customHeight="1">
      <c r="D267" s="61"/>
    </row>
    <row r="268" ht="15.75" customHeight="1">
      <c r="D268" s="61"/>
    </row>
    <row r="269" ht="15.75" customHeight="1">
      <c r="D269" s="61"/>
    </row>
    <row r="270" ht="15.75" customHeight="1">
      <c r="D270" s="61"/>
    </row>
    <row r="271" ht="15.75" customHeight="1">
      <c r="D271" s="61"/>
    </row>
    <row r="272" ht="15.75" customHeight="1">
      <c r="D272" s="61"/>
    </row>
    <row r="273" ht="15.75" customHeight="1">
      <c r="D273" s="61"/>
    </row>
    <row r="274" ht="15.75" customHeight="1">
      <c r="D274" s="61"/>
    </row>
    <row r="275" ht="15.75" customHeight="1">
      <c r="D275" s="61"/>
    </row>
    <row r="276" ht="15.75" customHeight="1">
      <c r="D276" s="61"/>
    </row>
    <row r="277" ht="15.75" customHeight="1">
      <c r="D277" s="61"/>
    </row>
    <row r="278" ht="15.75" customHeight="1">
      <c r="D278" s="61"/>
    </row>
    <row r="279" ht="15.75" customHeight="1">
      <c r="D279" s="61"/>
    </row>
    <row r="280" ht="15.75" customHeight="1">
      <c r="D280" s="61"/>
    </row>
    <row r="281" ht="15.75" customHeight="1">
      <c r="D281" s="61"/>
    </row>
    <row r="282" ht="15.75" customHeight="1">
      <c r="D282" s="61"/>
    </row>
    <row r="283" ht="15.75" customHeight="1">
      <c r="D283" s="61"/>
    </row>
    <row r="284" ht="15.75" customHeight="1">
      <c r="D284" s="61"/>
    </row>
    <row r="285" ht="15.75" customHeight="1">
      <c r="D285" s="61"/>
    </row>
    <row r="286" ht="15.75" customHeight="1">
      <c r="D286" s="61"/>
    </row>
    <row r="287" ht="15.75" customHeight="1">
      <c r="D287" s="61"/>
    </row>
    <row r="288" ht="15.75" customHeight="1">
      <c r="D288" s="61"/>
    </row>
    <row r="289" ht="15.75" customHeight="1">
      <c r="D289" s="61"/>
    </row>
    <row r="290" ht="15.75" customHeight="1">
      <c r="D290" s="61"/>
    </row>
    <row r="291" ht="15.75" customHeight="1">
      <c r="D291" s="61"/>
    </row>
    <row r="292" ht="15.75" customHeight="1">
      <c r="D292" s="61"/>
    </row>
    <row r="293" ht="15.75" customHeight="1">
      <c r="D293" s="61"/>
    </row>
    <row r="294" ht="15.75" customHeight="1">
      <c r="D294" s="61"/>
    </row>
    <row r="295" ht="15.75" customHeight="1">
      <c r="D295" s="61"/>
    </row>
    <row r="296" ht="15.75" customHeight="1">
      <c r="D296" s="61"/>
    </row>
    <row r="297" ht="15.75" customHeight="1">
      <c r="D297" s="61"/>
    </row>
    <row r="298" ht="15.75" customHeight="1">
      <c r="D298" s="61"/>
    </row>
    <row r="299" ht="15.75" customHeight="1">
      <c r="D299" s="61"/>
    </row>
    <row r="300" ht="15.75" customHeight="1">
      <c r="D300" s="61"/>
    </row>
    <row r="301" ht="15.75" customHeight="1">
      <c r="D301" s="61"/>
    </row>
    <row r="302" ht="15.75" customHeight="1">
      <c r="D302" s="61"/>
    </row>
    <row r="303" ht="15.75" customHeight="1">
      <c r="D303" s="61"/>
    </row>
    <row r="304" ht="15.75" customHeight="1">
      <c r="D304" s="61"/>
    </row>
    <row r="305" ht="15.75" customHeight="1">
      <c r="D305" s="61"/>
    </row>
    <row r="306" ht="15.75" customHeight="1">
      <c r="D306" s="61"/>
    </row>
    <row r="307" ht="15.75" customHeight="1">
      <c r="D307" s="61"/>
    </row>
    <row r="308" ht="15.75" customHeight="1">
      <c r="D308" s="61"/>
    </row>
    <row r="309" ht="15.75" customHeight="1">
      <c r="D309" s="61"/>
    </row>
    <row r="310" ht="15.75" customHeight="1">
      <c r="D310" s="61"/>
    </row>
    <row r="311" ht="15.75" customHeight="1">
      <c r="D311" s="61"/>
    </row>
    <row r="312" ht="15.75" customHeight="1">
      <c r="D312" s="61"/>
    </row>
    <row r="313" ht="15.75" customHeight="1">
      <c r="D313" s="61"/>
    </row>
    <row r="314" ht="15.75" customHeight="1">
      <c r="D314" s="61"/>
    </row>
    <row r="315" ht="15.75" customHeight="1">
      <c r="D315" s="61"/>
    </row>
    <row r="316" ht="15.75" customHeight="1">
      <c r="D316" s="61"/>
    </row>
    <row r="317" ht="15.75" customHeight="1">
      <c r="D317" s="61"/>
    </row>
    <row r="318" ht="15.75" customHeight="1">
      <c r="D318" s="61"/>
    </row>
    <row r="319" ht="15.75" customHeight="1">
      <c r="D319" s="61"/>
    </row>
    <row r="320" ht="15.75" customHeight="1">
      <c r="D320" s="61"/>
    </row>
    <row r="321" ht="15.75" customHeight="1">
      <c r="D321" s="61"/>
    </row>
    <row r="322" ht="15.75" customHeight="1">
      <c r="D322" s="61"/>
    </row>
    <row r="323" ht="15.75" customHeight="1">
      <c r="D323" s="61"/>
    </row>
    <row r="324" ht="15.75" customHeight="1">
      <c r="D324" s="61"/>
    </row>
    <row r="325" ht="15.75" customHeight="1">
      <c r="D325" s="61"/>
    </row>
    <row r="326" ht="15.75" customHeight="1">
      <c r="D326" s="61"/>
    </row>
    <row r="327" ht="15.75" customHeight="1">
      <c r="D327" s="61"/>
    </row>
    <row r="328" ht="15.75" customHeight="1">
      <c r="D328" s="61"/>
    </row>
    <row r="329" ht="15.75" customHeight="1">
      <c r="D329" s="61"/>
    </row>
    <row r="330" ht="15.75" customHeight="1">
      <c r="D330" s="61"/>
    </row>
    <row r="331" ht="15.75" customHeight="1">
      <c r="D331" s="61"/>
    </row>
    <row r="332" ht="15.75" customHeight="1">
      <c r="D332" s="61"/>
    </row>
    <row r="333" ht="15.75" customHeight="1">
      <c r="D333" s="61"/>
    </row>
    <row r="334" ht="15.75" customHeight="1">
      <c r="D334" s="61"/>
    </row>
    <row r="335" ht="15.75" customHeight="1">
      <c r="D335" s="61"/>
    </row>
    <row r="336" ht="15.75" customHeight="1">
      <c r="D336" s="61"/>
    </row>
    <row r="337" ht="15.75" customHeight="1">
      <c r="D337" s="61"/>
    </row>
    <row r="338" ht="15.75" customHeight="1">
      <c r="D338" s="61"/>
    </row>
    <row r="339" ht="15.75" customHeight="1">
      <c r="D339" s="61"/>
    </row>
    <row r="340" ht="15.75" customHeight="1">
      <c r="D340" s="61"/>
    </row>
    <row r="341" ht="15.75" customHeight="1">
      <c r="D341" s="61"/>
    </row>
    <row r="342" ht="15.75" customHeight="1">
      <c r="D342" s="61"/>
    </row>
    <row r="343" ht="15.75" customHeight="1">
      <c r="D343" s="61"/>
    </row>
    <row r="344" ht="15.75" customHeight="1">
      <c r="D344" s="61"/>
    </row>
    <row r="345" ht="15.75" customHeight="1">
      <c r="D345" s="61"/>
    </row>
    <row r="346" ht="15.75" customHeight="1">
      <c r="D346" s="61"/>
    </row>
    <row r="347" ht="15.75" customHeight="1">
      <c r="D347" s="61"/>
    </row>
    <row r="348" ht="15.75" customHeight="1">
      <c r="D348" s="61"/>
    </row>
    <row r="349" ht="15.75" customHeight="1">
      <c r="D349" s="61"/>
    </row>
    <row r="350" ht="15.75" customHeight="1">
      <c r="D350" s="61"/>
    </row>
    <row r="351" ht="15.75" customHeight="1">
      <c r="D351" s="61"/>
    </row>
    <row r="352" ht="15.75" customHeight="1">
      <c r="D352" s="61"/>
    </row>
    <row r="353" ht="15.75" customHeight="1">
      <c r="D353" s="61"/>
    </row>
    <row r="354" ht="15.75" customHeight="1">
      <c r="D354" s="61"/>
    </row>
    <row r="355" ht="15.75" customHeight="1">
      <c r="D355" s="61"/>
    </row>
    <row r="356" ht="15.75" customHeight="1">
      <c r="D356" s="61"/>
    </row>
    <row r="357" ht="15.75" customHeight="1">
      <c r="D357" s="61"/>
    </row>
    <row r="358" ht="15.75" customHeight="1">
      <c r="D358" s="61"/>
    </row>
    <row r="359" ht="15.75" customHeight="1">
      <c r="D359" s="61"/>
    </row>
    <row r="360" ht="15.75" customHeight="1">
      <c r="D360" s="61"/>
    </row>
    <row r="361" ht="15.75" customHeight="1">
      <c r="D361" s="61"/>
    </row>
    <row r="362" ht="15.75" customHeight="1">
      <c r="D362" s="61"/>
    </row>
    <row r="363" ht="15.75" customHeight="1">
      <c r="D363" s="61"/>
    </row>
    <row r="364" ht="15.75" customHeight="1">
      <c r="D364" s="61"/>
    </row>
    <row r="365" ht="15.75" customHeight="1">
      <c r="D365" s="61"/>
    </row>
    <row r="366" ht="15.75" customHeight="1">
      <c r="D366" s="61"/>
    </row>
    <row r="367" ht="15.75" customHeight="1">
      <c r="D367" s="61"/>
    </row>
    <row r="368" ht="15.75" customHeight="1">
      <c r="D368" s="61"/>
    </row>
    <row r="369" ht="15.75" customHeight="1">
      <c r="D369" s="61"/>
    </row>
    <row r="370" ht="15.75" customHeight="1">
      <c r="D370" s="61"/>
    </row>
    <row r="371" ht="15.75" customHeight="1">
      <c r="D371" s="61"/>
    </row>
    <row r="372" ht="15.75" customHeight="1">
      <c r="D372" s="61"/>
    </row>
    <row r="373" ht="15.75" customHeight="1">
      <c r="D373" s="61"/>
    </row>
    <row r="374" ht="15.75" customHeight="1">
      <c r="D374" s="61"/>
    </row>
    <row r="375" ht="15.75" customHeight="1">
      <c r="D375" s="61"/>
    </row>
    <row r="376" ht="15.75" customHeight="1">
      <c r="D376" s="61"/>
    </row>
    <row r="377" ht="15.75" customHeight="1">
      <c r="D377" s="61"/>
    </row>
    <row r="378" ht="15.75" customHeight="1">
      <c r="D378" s="61"/>
    </row>
    <row r="379" ht="15.75" customHeight="1">
      <c r="D379" s="61"/>
    </row>
    <row r="380" ht="15.75" customHeight="1">
      <c r="D380" s="61"/>
    </row>
    <row r="381" ht="15.75" customHeight="1">
      <c r="D381" s="61"/>
    </row>
    <row r="382" ht="15.75" customHeight="1">
      <c r="D382" s="61"/>
    </row>
    <row r="383" ht="15.75" customHeight="1">
      <c r="D383" s="61"/>
    </row>
    <row r="384" ht="15.75" customHeight="1">
      <c r="D384" s="61"/>
    </row>
    <row r="385" ht="15.75" customHeight="1">
      <c r="D385" s="61"/>
    </row>
    <row r="386" ht="15.75" customHeight="1">
      <c r="D386" s="61"/>
    </row>
    <row r="387" ht="15.75" customHeight="1">
      <c r="D387" s="61"/>
    </row>
    <row r="388" ht="15.75" customHeight="1">
      <c r="D388" s="61"/>
    </row>
    <row r="389" ht="15.75" customHeight="1">
      <c r="D389" s="61"/>
    </row>
    <row r="390" ht="15.75" customHeight="1">
      <c r="D390" s="61"/>
    </row>
    <row r="391" ht="15.75" customHeight="1">
      <c r="D391" s="61"/>
    </row>
    <row r="392" ht="15.75" customHeight="1">
      <c r="D392" s="61"/>
    </row>
    <row r="393" ht="15.75" customHeight="1">
      <c r="D393" s="61"/>
    </row>
    <row r="394" ht="15.75" customHeight="1">
      <c r="D394" s="61"/>
    </row>
    <row r="395" ht="15.75" customHeight="1">
      <c r="D395" s="61"/>
    </row>
    <row r="396" ht="15.75" customHeight="1">
      <c r="D396" s="61"/>
    </row>
    <row r="397" ht="15.75" customHeight="1">
      <c r="D397" s="61"/>
    </row>
    <row r="398" ht="15.75" customHeight="1">
      <c r="D398" s="61"/>
    </row>
    <row r="399" ht="15.75" customHeight="1">
      <c r="D399" s="61"/>
    </row>
    <row r="400" ht="15.75" customHeight="1">
      <c r="D400" s="61"/>
    </row>
    <row r="401" ht="15.75" customHeight="1">
      <c r="D401" s="61"/>
    </row>
    <row r="402" ht="15.75" customHeight="1">
      <c r="D402" s="61"/>
    </row>
    <row r="403" ht="15.75" customHeight="1">
      <c r="D403" s="61"/>
    </row>
    <row r="404" ht="15.75" customHeight="1">
      <c r="D404" s="61"/>
    </row>
    <row r="405" ht="15.75" customHeight="1">
      <c r="D405" s="61"/>
    </row>
    <row r="406" ht="15.75" customHeight="1">
      <c r="D406" s="61"/>
    </row>
    <row r="407" ht="15.75" customHeight="1">
      <c r="D407" s="61"/>
    </row>
    <row r="408" ht="15.75" customHeight="1">
      <c r="D408" s="61"/>
    </row>
    <row r="409" ht="15.75" customHeight="1">
      <c r="D409" s="61"/>
    </row>
    <row r="410" ht="15.75" customHeight="1">
      <c r="D410" s="61"/>
    </row>
    <row r="411" ht="15.75" customHeight="1">
      <c r="D411" s="61"/>
    </row>
    <row r="412" ht="15.75" customHeight="1">
      <c r="D412" s="61"/>
    </row>
    <row r="413" ht="15.75" customHeight="1">
      <c r="D413" s="61"/>
    </row>
    <row r="414" ht="15.75" customHeight="1">
      <c r="D414" s="61"/>
    </row>
    <row r="415" ht="15.75" customHeight="1">
      <c r="D415" s="61"/>
    </row>
    <row r="416" ht="15.75" customHeight="1">
      <c r="D416" s="61"/>
    </row>
    <row r="417" ht="15.75" customHeight="1">
      <c r="D417" s="61"/>
    </row>
    <row r="418" ht="15.75" customHeight="1">
      <c r="D418" s="61"/>
    </row>
    <row r="419" ht="15.75" customHeight="1">
      <c r="D419" s="61"/>
    </row>
    <row r="420" ht="15.75" customHeight="1">
      <c r="D420" s="61"/>
    </row>
    <row r="421" ht="15.75" customHeight="1">
      <c r="D421" s="61"/>
    </row>
    <row r="422" ht="15.75" customHeight="1">
      <c r="D422" s="61"/>
    </row>
    <row r="423" ht="15.75" customHeight="1">
      <c r="D423" s="61"/>
    </row>
    <row r="424" ht="15.75" customHeight="1">
      <c r="D424" s="61"/>
    </row>
    <row r="425" ht="15.75" customHeight="1">
      <c r="D425" s="61"/>
    </row>
    <row r="426" ht="15.75" customHeight="1">
      <c r="D426" s="61"/>
    </row>
    <row r="427" ht="15.75" customHeight="1">
      <c r="D427" s="61"/>
    </row>
    <row r="428" ht="15.75" customHeight="1">
      <c r="D428" s="61"/>
    </row>
    <row r="429" ht="15.75" customHeight="1">
      <c r="D429" s="61"/>
    </row>
    <row r="430" ht="15.75" customHeight="1">
      <c r="D430" s="61"/>
    </row>
    <row r="431" ht="15.75" customHeight="1">
      <c r="D431" s="61"/>
    </row>
    <row r="432" ht="15.75" customHeight="1">
      <c r="D432" s="61"/>
    </row>
    <row r="433" ht="15.75" customHeight="1">
      <c r="D433" s="61"/>
    </row>
    <row r="434" ht="15.75" customHeight="1">
      <c r="D434" s="61"/>
    </row>
    <row r="435" ht="15.75" customHeight="1">
      <c r="D435" s="61"/>
    </row>
    <row r="436" ht="15.75" customHeight="1">
      <c r="D436" s="61"/>
    </row>
    <row r="437" ht="15.75" customHeight="1">
      <c r="D437" s="61"/>
    </row>
    <row r="438" ht="15.75" customHeight="1">
      <c r="D438" s="61"/>
    </row>
    <row r="439" ht="15.75" customHeight="1">
      <c r="D439" s="61"/>
    </row>
    <row r="440" ht="15.75" customHeight="1">
      <c r="D440" s="61"/>
    </row>
    <row r="441" ht="15.75" customHeight="1">
      <c r="D441" s="61"/>
    </row>
    <row r="442" ht="15.75" customHeight="1">
      <c r="D442" s="61"/>
    </row>
    <row r="443" ht="15.75" customHeight="1">
      <c r="D443" s="61"/>
    </row>
    <row r="444" ht="15.75" customHeight="1">
      <c r="D444" s="61"/>
    </row>
    <row r="445" ht="15.75" customHeight="1">
      <c r="D445" s="61"/>
    </row>
    <row r="446" ht="15.75" customHeight="1">
      <c r="D446" s="61"/>
    </row>
    <row r="447" ht="15.75" customHeight="1">
      <c r="D447" s="61"/>
    </row>
    <row r="448" ht="15.75" customHeight="1">
      <c r="D448" s="61"/>
    </row>
    <row r="449" ht="15.75" customHeight="1">
      <c r="D449" s="61"/>
    </row>
    <row r="450" ht="15.75" customHeight="1">
      <c r="D450" s="61"/>
    </row>
    <row r="451" ht="15.75" customHeight="1">
      <c r="D451" s="61"/>
    </row>
    <row r="452" ht="15.75" customHeight="1">
      <c r="D452" s="61"/>
    </row>
    <row r="453" ht="15.75" customHeight="1">
      <c r="D453" s="61"/>
    </row>
    <row r="454" ht="15.75" customHeight="1">
      <c r="D454" s="61"/>
    </row>
    <row r="455" ht="15.75" customHeight="1">
      <c r="D455" s="61"/>
    </row>
    <row r="456" ht="15.75" customHeight="1">
      <c r="D456" s="61"/>
    </row>
    <row r="457" ht="15.75" customHeight="1">
      <c r="D457" s="61"/>
    </row>
    <row r="458" ht="15.75" customHeight="1">
      <c r="D458" s="61"/>
    </row>
    <row r="459" ht="15.75" customHeight="1">
      <c r="D459" s="61"/>
    </row>
    <row r="460" ht="15.75" customHeight="1">
      <c r="D460" s="61"/>
    </row>
    <row r="461" ht="15.75" customHeight="1">
      <c r="D461" s="61"/>
    </row>
    <row r="462" ht="15.75" customHeight="1">
      <c r="D462" s="61"/>
    </row>
    <row r="463" ht="15.75" customHeight="1">
      <c r="D463" s="61"/>
    </row>
    <row r="464" ht="15.75" customHeight="1">
      <c r="D464" s="61"/>
    </row>
    <row r="465" ht="15.75" customHeight="1">
      <c r="D465" s="61"/>
    </row>
    <row r="466" ht="15.75" customHeight="1">
      <c r="D466" s="61"/>
    </row>
    <row r="467" ht="15.75" customHeight="1">
      <c r="D467" s="61"/>
    </row>
    <row r="468" ht="15.75" customHeight="1">
      <c r="D468" s="61"/>
    </row>
    <row r="469" ht="15.75" customHeight="1">
      <c r="D469" s="61"/>
    </row>
    <row r="470" ht="15.75" customHeight="1">
      <c r="D470" s="61"/>
    </row>
    <row r="471" ht="15.75" customHeight="1">
      <c r="D471" s="61"/>
    </row>
    <row r="472" ht="15.75" customHeight="1">
      <c r="D472" s="61"/>
    </row>
    <row r="473" ht="15.75" customHeight="1">
      <c r="D473" s="61"/>
    </row>
    <row r="474" ht="15.75" customHeight="1">
      <c r="D474" s="61"/>
    </row>
    <row r="475" ht="15.75" customHeight="1">
      <c r="D475" s="61"/>
    </row>
    <row r="476" ht="15.75" customHeight="1">
      <c r="D476" s="61"/>
    </row>
    <row r="477" ht="15.75" customHeight="1">
      <c r="D477" s="61"/>
    </row>
    <row r="478" ht="15.75" customHeight="1">
      <c r="D478" s="61"/>
    </row>
    <row r="479" ht="15.75" customHeight="1">
      <c r="D479" s="61"/>
    </row>
    <row r="480" ht="15.75" customHeight="1">
      <c r="D480" s="61"/>
    </row>
    <row r="481" ht="15.75" customHeight="1">
      <c r="D481" s="61"/>
    </row>
    <row r="482" ht="15.75" customHeight="1">
      <c r="D482" s="61"/>
    </row>
    <row r="483" ht="15.75" customHeight="1">
      <c r="D483" s="61"/>
    </row>
    <row r="484" ht="15.75" customHeight="1">
      <c r="D484" s="61"/>
    </row>
    <row r="485" ht="15.75" customHeight="1">
      <c r="D485" s="61"/>
    </row>
    <row r="486" ht="15.75" customHeight="1">
      <c r="D486" s="61"/>
    </row>
    <row r="487" ht="15.75" customHeight="1">
      <c r="D487" s="61"/>
    </row>
    <row r="488" ht="15.75" customHeight="1">
      <c r="D488" s="61"/>
    </row>
    <row r="489" ht="15.75" customHeight="1">
      <c r="D489" s="61"/>
    </row>
    <row r="490" ht="15.75" customHeight="1">
      <c r="D490" s="61"/>
    </row>
    <row r="491" ht="15.75" customHeight="1">
      <c r="D491" s="61"/>
    </row>
    <row r="492" ht="15.75" customHeight="1">
      <c r="D492" s="61"/>
    </row>
    <row r="493" ht="15.75" customHeight="1">
      <c r="D493" s="61"/>
    </row>
    <row r="494" ht="15.75" customHeight="1">
      <c r="D494" s="61"/>
    </row>
    <row r="495" ht="15.75" customHeight="1">
      <c r="D495" s="61"/>
    </row>
    <row r="496" ht="15.75" customHeight="1">
      <c r="D496" s="61"/>
    </row>
    <row r="497" ht="15.75" customHeight="1">
      <c r="D497" s="61"/>
    </row>
    <row r="498" ht="15.75" customHeight="1">
      <c r="D498" s="61"/>
    </row>
    <row r="499" ht="15.75" customHeight="1">
      <c r="D499" s="61"/>
    </row>
    <row r="500" ht="15.75" customHeight="1">
      <c r="D500" s="61"/>
    </row>
    <row r="501" ht="15.75" customHeight="1">
      <c r="D501" s="61"/>
    </row>
    <row r="502" ht="15.75" customHeight="1">
      <c r="D502" s="61"/>
    </row>
    <row r="503" ht="15.75" customHeight="1">
      <c r="D503" s="61"/>
    </row>
    <row r="504" ht="15.75" customHeight="1">
      <c r="D504" s="61"/>
    </row>
    <row r="505" ht="15.75" customHeight="1">
      <c r="D505" s="61"/>
    </row>
    <row r="506" ht="15.75" customHeight="1">
      <c r="D506" s="61"/>
    </row>
    <row r="507" ht="15.75" customHeight="1">
      <c r="D507" s="61"/>
    </row>
    <row r="508" ht="15.75" customHeight="1">
      <c r="D508" s="61"/>
    </row>
    <row r="509" ht="15.75" customHeight="1">
      <c r="D509" s="61"/>
    </row>
    <row r="510" ht="15.75" customHeight="1">
      <c r="D510" s="61"/>
    </row>
    <row r="511" ht="15.75" customHeight="1">
      <c r="D511" s="61"/>
    </row>
    <row r="512" ht="15.75" customHeight="1">
      <c r="D512" s="61"/>
    </row>
    <row r="513" ht="15.75" customHeight="1">
      <c r="D513" s="61"/>
    </row>
    <row r="514" ht="15.75" customHeight="1">
      <c r="D514" s="61"/>
    </row>
    <row r="515" ht="15.75" customHeight="1">
      <c r="D515" s="61"/>
    </row>
    <row r="516" ht="15.75" customHeight="1">
      <c r="D516" s="61"/>
    </row>
    <row r="517" ht="15.75" customHeight="1">
      <c r="D517" s="61"/>
    </row>
    <row r="518" ht="15.75" customHeight="1">
      <c r="D518" s="61"/>
    </row>
    <row r="519" ht="15.75" customHeight="1">
      <c r="D519" s="61"/>
    </row>
    <row r="520" ht="15.75" customHeight="1">
      <c r="D520" s="61"/>
    </row>
    <row r="521" ht="15.75" customHeight="1">
      <c r="D521" s="61"/>
    </row>
    <row r="522" ht="15.75" customHeight="1">
      <c r="D522" s="61"/>
    </row>
    <row r="523" ht="15.75" customHeight="1">
      <c r="D523" s="61"/>
    </row>
    <row r="524" ht="15.75" customHeight="1">
      <c r="D524" s="61"/>
    </row>
    <row r="525" ht="15.75" customHeight="1">
      <c r="D525" s="61"/>
    </row>
    <row r="526" ht="15.75" customHeight="1">
      <c r="D526" s="61"/>
    </row>
    <row r="527" ht="15.75" customHeight="1">
      <c r="D527" s="61"/>
    </row>
    <row r="528" ht="15.75" customHeight="1">
      <c r="D528" s="61"/>
    </row>
    <row r="529" ht="15.75" customHeight="1">
      <c r="D529" s="61"/>
    </row>
    <row r="530" ht="15.75" customHeight="1">
      <c r="D530" s="61"/>
    </row>
    <row r="531" ht="15.75" customHeight="1">
      <c r="D531" s="61"/>
    </row>
    <row r="532" ht="15.75" customHeight="1">
      <c r="D532" s="61"/>
    </row>
    <row r="533" ht="15.75" customHeight="1">
      <c r="D533" s="61"/>
    </row>
    <row r="534" ht="15.75" customHeight="1">
      <c r="D534" s="61"/>
    </row>
    <row r="535" ht="15.75" customHeight="1">
      <c r="D535" s="61"/>
    </row>
    <row r="536" ht="15.75" customHeight="1">
      <c r="D536" s="61"/>
    </row>
    <row r="537" ht="15.75" customHeight="1">
      <c r="D537" s="61"/>
    </row>
    <row r="538" ht="15.75" customHeight="1">
      <c r="D538" s="61"/>
    </row>
    <row r="539" ht="15.75" customHeight="1">
      <c r="D539" s="61"/>
    </row>
    <row r="540" ht="15.75" customHeight="1">
      <c r="D540" s="61"/>
    </row>
    <row r="541" ht="15.75" customHeight="1">
      <c r="D541" s="61"/>
    </row>
    <row r="542" ht="15.75" customHeight="1">
      <c r="D542" s="61"/>
    </row>
    <row r="543" ht="15.75" customHeight="1">
      <c r="D543" s="61"/>
    </row>
    <row r="544" ht="15.75" customHeight="1">
      <c r="D544" s="61"/>
    </row>
    <row r="545" ht="15.75" customHeight="1">
      <c r="D545" s="61"/>
    </row>
    <row r="546" ht="15.75" customHeight="1">
      <c r="D546" s="61"/>
    </row>
    <row r="547" ht="15.75" customHeight="1">
      <c r="D547" s="61"/>
    </row>
    <row r="548" ht="15.75" customHeight="1">
      <c r="D548" s="61"/>
    </row>
    <row r="549" ht="15.75" customHeight="1">
      <c r="D549" s="61"/>
    </row>
    <row r="550" ht="15.75" customHeight="1">
      <c r="D550" s="61"/>
    </row>
    <row r="551" ht="15.75" customHeight="1">
      <c r="D551" s="61"/>
    </row>
    <row r="552" ht="15.75" customHeight="1">
      <c r="D552" s="61"/>
    </row>
    <row r="553" ht="15.75" customHeight="1">
      <c r="D553" s="61"/>
    </row>
    <row r="554" ht="15.75" customHeight="1">
      <c r="D554" s="61"/>
    </row>
    <row r="555" ht="15.75" customHeight="1">
      <c r="D555" s="61"/>
    </row>
    <row r="556" ht="15.75" customHeight="1">
      <c r="D556" s="61"/>
    </row>
    <row r="557" ht="15.75" customHeight="1">
      <c r="D557" s="61"/>
    </row>
    <row r="558" ht="15.75" customHeight="1">
      <c r="D558" s="61"/>
    </row>
    <row r="559" ht="15.75" customHeight="1">
      <c r="D559" s="61"/>
    </row>
    <row r="560" ht="15.75" customHeight="1">
      <c r="D560" s="61"/>
    </row>
    <row r="561" ht="15.75" customHeight="1">
      <c r="D561" s="61"/>
    </row>
    <row r="562" ht="15.75" customHeight="1">
      <c r="D562" s="61"/>
    </row>
    <row r="563" ht="15.75" customHeight="1">
      <c r="D563" s="61"/>
    </row>
    <row r="564" ht="15.75" customHeight="1">
      <c r="D564" s="61"/>
    </row>
    <row r="565" ht="15.75" customHeight="1">
      <c r="D565" s="61"/>
    </row>
    <row r="566" ht="15.75" customHeight="1">
      <c r="D566" s="61"/>
    </row>
    <row r="567" ht="15.75" customHeight="1">
      <c r="D567" s="61"/>
    </row>
    <row r="568" ht="15.75" customHeight="1">
      <c r="D568" s="61"/>
    </row>
    <row r="569" ht="15.75" customHeight="1">
      <c r="D569" s="61"/>
    </row>
    <row r="570" ht="15.75" customHeight="1">
      <c r="D570" s="61"/>
    </row>
    <row r="571" ht="15.75" customHeight="1">
      <c r="D571" s="61"/>
    </row>
    <row r="572" ht="15.75" customHeight="1">
      <c r="D572" s="61"/>
    </row>
    <row r="573" ht="15.75" customHeight="1">
      <c r="D573" s="61"/>
    </row>
    <row r="574" ht="15.75" customHeight="1">
      <c r="D574" s="61"/>
    </row>
    <row r="575" ht="15.75" customHeight="1">
      <c r="D575" s="61"/>
    </row>
    <row r="576" ht="15.75" customHeight="1">
      <c r="D576" s="61"/>
    </row>
    <row r="577" ht="15.75" customHeight="1">
      <c r="D577" s="61"/>
    </row>
    <row r="578" ht="15.75" customHeight="1">
      <c r="D578" s="61"/>
    </row>
    <row r="579" ht="15.75" customHeight="1">
      <c r="D579" s="61"/>
    </row>
    <row r="580" ht="15.75" customHeight="1">
      <c r="D580" s="61"/>
    </row>
    <row r="581" ht="15.75" customHeight="1">
      <c r="D581" s="61"/>
    </row>
    <row r="582" ht="15.75" customHeight="1">
      <c r="D582" s="61"/>
    </row>
    <row r="583" ht="15.75" customHeight="1">
      <c r="D583" s="61"/>
    </row>
    <row r="584" ht="15.75" customHeight="1">
      <c r="D584" s="61"/>
    </row>
    <row r="585" ht="15.75" customHeight="1">
      <c r="D585" s="61"/>
    </row>
    <row r="586" ht="15.75" customHeight="1">
      <c r="D586" s="61"/>
    </row>
    <row r="587" ht="15.75" customHeight="1">
      <c r="D587" s="61"/>
    </row>
    <row r="588" ht="15.75" customHeight="1">
      <c r="D588" s="61"/>
    </row>
    <row r="589" ht="15.75" customHeight="1">
      <c r="D589" s="61"/>
    </row>
    <row r="590" ht="15.75" customHeight="1">
      <c r="D590" s="61"/>
    </row>
    <row r="591" ht="15.75" customHeight="1">
      <c r="D591" s="61"/>
    </row>
    <row r="592" ht="15.75" customHeight="1">
      <c r="D592" s="61"/>
    </row>
    <row r="593" ht="15.75" customHeight="1">
      <c r="D593" s="61"/>
    </row>
    <row r="594" ht="15.75" customHeight="1">
      <c r="D594" s="61"/>
    </row>
    <row r="595" ht="15.75" customHeight="1">
      <c r="D595" s="61"/>
    </row>
    <row r="596" ht="15.75" customHeight="1">
      <c r="D596" s="61"/>
    </row>
    <row r="597" ht="15.75" customHeight="1">
      <c r="D597" s="61"/>
    </row>
    <row r="598" ht="15.75" customHeight="1">
      <c r="D598" s="61"/>
    </row>
    <row r="599" ht="15.75" customHeight="1">
      <c r="D599" s="61"/>
    </row>
    <row r="600" ht="15.75" customHeight="1">
      <c r="D600" s="61"/>
    </row>
    <row r="601" ht="15.75" customHeight="1">
      <c r="D601" s="61"/>
    </row>
    <row r="602" ht="15.75" customHeight="1">
      <c r="D602" s="61"/>
    </row>
    <row r="603" ht="15.75" customHeight="1">
      <c r="D603" s="61"/>
    </row>
    <row r="604" ht="15.75" customHeight="1">
      <c r="D604" s="61"/>
    </row>
    <row r="605" ht="15.75" customHeight="1">
      <c r="D605" s="61"/>
    </row>
    <row r="606" ht="15.75" customHeight="1">
      <c r="D606" s="61"/>
    </row>
    <row r="607" ht="15.75" customHeight="1">
      <c r="D607" s="61"/>
    </row>
    <row r="608" ht="15.75" customHeight="1">
      <c r="D608" s="61"/>
    </row>
    <row r="609" ht="15.75" customHeight="1">
      <c r="D609" s="61"/>
    </row>
    <row r="610" ht="15.75" customHeight="1">
      <c r="D610" s="61"/>
    </row>
    <row r="611" ht="15.75" customHeight="1">
      <c r="D611" s="61"/>
    </row>
    <row r="612" ht="15.75" customHeight="1">
      <c r="D612" s="61"/>
    </row>
    <row r="613" ht="15.75" customHeight="1">
      <c r="D613" s="61"/>
    </row>
    <row r="614" ht="15.75" customHeight="1">
      <c r="D614" s="61"/>
    </row>
    <row r="615" ht="15.75" customHeight="1">
      <c r="D615" s="61"/>
    </row>
    <row r="616" ht="15.75" customHeight="1">
      <c r="D616" s="61"/>
    </row>
    <row r="617" ht="15.75" customHeight="1">
      <c r="D617" s="61"/>
    </row>
    <row r="618" ht="15.75" customHeight="1">
      <c r="D618" s="61"/>
    </row>
    <row r="619" ht="15.75" customHeight="1">
      <c r="D619" s="61"/>
    </row>
    <row r="620" ht="15.75" customHeight="1">
      <c r="D620" s="61"/>
    </row>
    <row r="621" ht="15.75" customHeight="1">
      <c r="D621" s="61"/>
    </row>
    <row r="622" ht="15.75" customHeight="1">
      <c r="D622" s="61"/>
    </row>
    <row r="623" ht="15.75" customHeight="1">
      <c r="D623" s="61"/>
    </row>
    <row r="624" ht="15.75" customHeight="1">
      <c r="D624" s="61"/>
    </row>
    <row r="625" ht="15.75" customHeight="1">
      <c r="D625" s="61"/>
    </row>
    <row r="626" ht="15.75" customHeight="1">
      <c r="D626" s="61"/>
    </row>
    <row r="627" ht="15.75" customHeight="1">
      <c r="D627" s="61"/>
    </row>
    <row r="628" ht="15.75" customHeight="1">
      <c r="D628" s="61"/>
    </row>
    <row r="629" ht="15.75" customHeight="1">
      <c r="D629" s="61"/>
    </row>
    <row r="630" ht="15.75" customHeight="1">
      <c r="D630" s="61"/>
    </row>
    <row r="631" ht="15.75" customHeight="1">
      <c r="D631" s="61"/>
    </row>
    <row r="632" ht="15.75" customHeight="1">
      <c r="D632" s="61"/>
    </row>
    <row r="633" ht="15.75" customHeight="1">
      <c r="D633" s="61"/>
    </row>
    <row r="634" ht="15.75" customHeight="1">
      <c r="D634" s="61"/>
    </row>
    <row r="635" ht="15.75" customHeight="1">
      <c r="D635" s="61"/>
    </row>
    <row r="636" ht="15.75" customHeight="1">
      <c r="D636" s="61"/>
    </row>
    <row r="637" ht="15.75" customHeight="1">
      <c r="D637" s="61"/>
    </row>
    <row r="638" ht="15.75" customHeight="1">
      <c r="D638" s="61"/>
    </row>
    <row r="639" ht="15.75" customHeight="1">
      <c r="D639" s="61"/>
    </row>
    <row r="640" ht="15.75" customHeight="1">
      <c r="D640" s="61"/>
    </row>
    <row r="641" ht="15.75" customHeight="1">
      <c r="D641" s="61"/>
    </row>
    <row r="642" ht="15.75" customHeight="1">
      <c r="D642" s="61"/>
    </row>
    <row r="643" ht="15.75" customHeight="1">
      <c r="D643" s="61"/>
    </row>
    <row r="644" ht="15.75" customHeight="1">
      <c r="D644" s="61"/>
    </row>
    <row r="645" ht="15.75" customHeight="1">
      <c r="D645" s="61"/>
    </row>
    <row r="646" ht="15.75" customHeight="1">
      <c r="D646" s="61"/>
    </row>
    <row r="647" ht="15.75" customHeight="1">
      <c r="D647" s="61"/>
    </row>
    <row r="648" ht="15.75" customHeight="1">
      <c r="D648" s="61"/>
    </row>
    <row r="649" ht="15.75" customHeight="1">
      <c r="D649" s="61"/>
    </row>
    <row r="650" ht="15.75" customHeight="1">
      <c r="D650" s="61"/>
    </row>
    <row r="651" ht="15.75" customHeight="1">
      <c r="D651" s="61"/>
    </row>
    <row r="652" ht="15.75" customHeight="1">
      <c r="D652" s="61"/>
    </row>
    <row r="653" ht="15.75" customHeight="1">
      <c r="D653" s="61"/>
    </row>
    <row r="654" ht="15.75" customHeight="1">
      <c r="D654" s="61"/>
    </row>
    <row r="655" ht="15.75" customHeight="1">
      <c r="D655" s="61"/>
    </row>
    <row r="656" ht="15.75" customHeight="1">
      <c r="D656" s="61"/>
    </row>
    <row r="657" ht="15.75" customHeight="1">
      <c r="D657" s="61"/>
    </row>
    <row r="658" ht="15.75" customHeight="1">
      <c r="D658" s="61"/>
    </row>
    <row r="659" ht="15.75" customHeight="1">
      <c r="D659" s="61"/>
    </row>
    <row r="660" ht="15.75" customHeight="1">
      <c r="D660" s="61"/>
    </row>
    <row r="661" ht="15.75" customHeight="1">
      <c r="D661" s="61"/>
    </row>
    <row r="662" ht="15.75" customHeight="1">
      <c r="D662" s="61"/>
    </row>
    <row r="663" ht="15.75" customHeight="1">
      <c r="D663" s="61"/>
    </row>
    <row r="664" ht="15.75" customHeight="1">
      <c r="D664" s="61"/>
    </row>
    <row r="665" ht="15.75" customHeight="1">
      <c r="D665" s="61"/>
    </row>
    <row r="666" ht="15.75" customHeight="1">
      <c r="D666" s="61"/>
    </row>
    <row r="667" ht="15.75" customHeight="1">
      <c r="D667" s="61"/>
    </row>
    <row r="668" ht="15.75" customHeight="1">
      <c r="D668" s="61"/>
    </row>
    <row r="669" ht="15.75" customHeight="1">
      <c r="D669" s="61"/>
    </row>
    <row r="670" ht="15.75" customHeight="1">
      <c r="D670" s="61"/>
    </row>
    <row r="671" ht="15.75" customHeight="1">
      <c r="D671" s="61"/>
    </row>
    <row r="672" ht="15.75" customHeight="1">
      <c r="D672" s="61"/>
    </row>
    <row r="673" ht="15.75" customHeight="1">
      <c r="D673" s="61"/>
    </row>
    <row r="674" ht="15.75" customHeight="1">
      <c r="D674" s="61"/>
    </row>
    <row r="675" ht="15.75" customHeight="1">
      <c r="D675" s="61"/>
    </row>
    <row r="676" ht="15.75" customHeight="1">
      <c r="D676" s="61"/>
    </row>
    <row r="677" ht="15.75" customHeight="1">
      <c r="D677" s="61"/>
    </row>
    <row r="678" ht="15.75" customHeight="1">
      <c r="D678" s="61"/>
    </row>
    <row r="679" ht="15.75" customHeight="1">
      <c r="D679" s="61"/>
    </row>
    <row r="680" ht="15.75" customHeight="1">
      <c r="D680" s="61"/>
    </row>
    <row r="681" ht="15.75" customHeight="1">
      <c r="D681" s="61"/>
    </row>
    <row r="682" ht="15.75" customHeight="1">
      <c r="D682" s="61"/>
    </row>
    <row r="683" ht="15.75" customHeight="1">
      <c r="D683" s="61"/>
    </row>
    <row r="684" ht="15.75" customHeight="1">
      <c r="D684" s="61"/>
    </row>
    <row r="685" ht="15.75" customHeight="1">
      <c r="D685" s="61"/>
    </row>
    <row r="686" ht="15.75" customHeight="1">
      <c r="D686" s="61"/>
    </row>
    <row r="687" ht="15.75" customHeight="1">
      <c r="D687" s="61"/>
    </row>
    <row r="688" ht="15.75" customHeight="1">
      <c r="D688" s="61"/>
    </row>
    <row r="689" ht="15.75" customHeight="1">
      <c r="D689" s="61"/>
    </row>
    <row r="690" ht="15.75" customHeight="1">
      <c r="D690" s="61"/>
    </row>
    <row r="691" ht="15.75" customHeight="1">
      <c r="D691" s="61"/>
    </row>
    <row r="692" ht="15.75" customHeight="1">
      <c r="D692" s="61"/>
    </row>
    <row r="693" ht="15.75" customHeight="1">
      <c r="D693" s="61"/>
    </row>
    <row r="694" ht="15.75" customHeight="1">
      <c r="D694" s="61"/>
    </row>
    <row r="695" ht="15.75" customHeight="1">
      <c r="D695" s="61"/>
    </row>
    <row r="696" ht="15.75" customHeight="1">
      <c r="D696" s="61"/>
    </row>
    <row r="697" ht="15.75" customHeight="1">
      <c r="D697" s="61"/>
    </row>
    <row r="698" ht="15.75" customHeight="1">
      <c r="D698" s="61"/>
    </row>
    <row r="699" ht="15.75" customHeight="1">
      <c r="D699" s="61"/>
    </row>
    <row r="700" ht="15.75" customHeight="1">
      <c r="D700" s="61"/>
    </row>
    <row r="701" ht="15.75" customHeight="1">
      <c r="D701" s="61"/>
    </row>
    <row r="702" ht="15.75" customHeight="1">
      <c r="D702" s="61"/>
    </row>
    <row r="703" ht="15.75" customHeight="1">
      <c r="D703" s="61"/>
    </row>
    <row r="704" ht="15.75" customHeight="1">
      <c r="D704" s="61"/>
    </row>
    <row r="705" ht="15.75" customHeight="1">
      <c r="D705" s="61"/>
    </row>
    <row r="706" ht="15.75" customHeight="1">
      <c r="D706" s="61"/>
    </row>
    <row r="707" ht="15.75" customHeight="1">
      <c r="D707" s="61"/>
    </row>
    <row r="708" ht="15.75" customHeight="1">
      <c r="D708" s="61"/>
    </row>
    <row r="709" ht="15.75" customHeight="1">
      <c r="D709" s="61"/>
    </row>
    <row r="710" ht="15.75" customHeight="1">
      <c r="D710" s="61"/>
    </row>
    <row r="711" ht="15.75" customHeight="1">
      <c r="D711" s="61"/>
    </row>
    <row r="712" ht="15.75" customHeight="1">
      <c r="D712" s="61"/>
    </row>
    <row r="713" ht="15.75" customHeight="1">
      <c r="D713" s="61"/>
    </row>
    <row r="714" ht="15.75" customHeight="1">
      <c r="D714" s="61"/>
    </row>
    <row r="715" ht="15.75" customHeight="1">
      <c r="D715" s="61"/>
    </row>
    <row r="716" ht="15.75" customHeight="1">
      <c r="D716" s="61"/>
    </row>
    <row r="717" ht="15.75" customHeight="1">
      <c r="D717" s="61"/>
    </row>
    <row r="718" ht="15.75" customHeight="1">
      <c r="D718" s="61"/>
    </row>
    <row r="719" ht="15.75" customHeight="1">
      <c r="D719" s="61"/>
    </row>
    <row r="720" ht="15.75" customHeight="1">
      <c r="D720" s="61"/>
    </row>
    <row r="721" ht="15.75" customHeight="1">
      <c r="D721" s="61"/>
    </row>
    <row r="722" ht="15.75" customHeight="1">
      <c r="D722" s="61"/>
    </row>
    <row r="723" ht="15.75" customHeight="1">
      <c r="D723" s="61"/>
    </row>
    <row r="724" ht="15.75" customHeight="1">
      <c r="D724" s="61"/>
    </row>
    <row r="725" ht="15.75" customHeight="1">
      <c r="D725" s="61"/>
    </row>
    <row r="726" ht="15.75" customHeight="1">
      <c r="D726" s="61"/>
    </row>
    <row r="727" ht="15.75" customHeight="1">
      <c r="D727" s="61"/>
    </row>
    <row r="728" ht="15.75" customHeight="1">
      <c r="D728" s="61"/>
    </row>
    <row r="729" ht="15.75" customHeight="1">
      <c r="D729" s="61"/>
    </row>
    <row r="730" ht="15.75" customHeight="1">
      <c r="D730" s="61"/>
    </row>
    <row r="731" ht="15.75" customHeight="1">
      <c r="D731" s="61"/>
    </row>
    <row r="732" ht="15.75" customHeight="1">
      <c r="D732" s="61"/>
    </row>
    <row r="733" ht="15.75" customHeight="1">
      <c r="D733" s="61"/>
    </row>
    <row r="734" ht="15.75" customHeight="1">
      <c r="D734" s="61"/>
    </row>
    <row r="735" ht="15.75" customHeight="1">
      <c r="D735" s="61"/>
    </row>
    <row r="736" ht="15.75" customHeight="1">
      <c r="D736" s="61"/>
    </row>
    <row r="737" ht="15.75" customHeight="1">
      <c r="D737" s="61"/>
    </row>
    <row r="738" ht="15.75" customHeight="1">
      <c r="D738" s="61"/>
    </row>
    <row r="739" ht="15.75" customHeight="1">
      <c r="D739" s="61"/>
    </row>
    <row r="740" ht="15.75" customHeight="1">
      <c r="D740" s="61"/>
    </row>
    <row r="741" ht="15.75" customHeight="1">
      <c r="D741" s="61"/>
    </row>
    <row r="742" ht="15.75" customHeight="1">
      <c r="D742" s="61"/>
    </row>
    <row r="743" ht="15.75" customHeight="1">
      <c r="D743" s="61"/>
    </row>
    <row r="744" ht="15.75" customHeight="1">
      <c r="D744" s="61"/>
    </row>
    <row r="745" ht="15.75" customHeight="1">
      <c r="D745" s="61"/>
    </row>
    <row r="746" ht="15.75" customHeight="1">
      <c r="D746" s="61"/>
    </row>
    <row r="747" ht="15.75" customHeight="1">
      <c r="D747" s="61"/>
    </row>
    <row r="748" ht="15.75" customHeight="1">
      <c r="D748" s="61"/>
    </row>
    <row r="749" ht="15.75" customHeight="1">
      <c r="D749" s="61"/>
    </row>
    <row r="750" ht="15.75" customHeight="1">
      <c r="D750" s="61"/>
    </row>
    <row r="751" ht="15.75" customHeight="1">
      <c r="D751" s="61"/>
    </row>
    <row r="752" ht="15.75" customHeight="1">
      <c r="D752" s="61"/>
    </row>
    <row r="753" ht="15.75" customHeight="1">
      <c r="D753" s="61"/>
    </row>
    <row r="754" ht="15.75" customHeight="1">
      <c r="D754" s="61"/>
    </row>
    <row r="755" ht="15.75" customHeight="1">
      <c r="D755" s="61"/>
    </row>
    <row r="756" ht="15.75" customHeight="1">
      <c r="D756" s="61"/>
    </row>
    <row r="757" ht="15.75" customHeight="1">
      <c r="D757" s="61"/>
    </row>
    <row r="758" ht="15.75" customHeight="1">
      <c r="D758" s="61"/>
    </row>
    <row r="759" ht="15.75" customHeight="1">
      <c r="D759" s="61"/>
    </row>
    <row r="760" ht="15.75" customHeight="1">
      <c r="D760" s="61"/>
    </row>
    <row r="761" ht="15.75" customHeight="1">
      <c r="D761" s="61"/>
    </row>
    <row r="762" ht="15.75" customHeight="1">
      <c r="D762" s="61"/>
    </row>
    <row r="763" ht="15.75" customHeight="1">
      <c r="D763" s="61"/>
    </row>
    <row r="764" ht="15.75" customHeight="1">
      <c r="D764" s="61"/>
    </row>
    <row r="765" ht="15.75" customHeight="1">
      <c r="D765" s="61"/>
    </row>
    <row r="766" ht="15.75" customHeight="1">
      <c r="D766" s="61"/>
    </row>
    <row r="767" ht="15.75" customHeight="1">
      <c r="D767" s="61"/>
    </row>
    <row r="768" ht="15.75" customHeight="1">
      <c r="D768" s="61"/>
    </row>
    <row r="769" ht="15.75" customHeight="1">
      <c r="D769" s="61"/>
    </row>
    <row r="770" ht="15.75" customHeight="1">
      <c r="D770" s="61"/>
    </row>
    <row r="771" ht="15.75" customHeight="1">
      <c r="D771" s="61"/>
    </row>
    <row r="772" ht="15.75" customHeight="1">
      <c r="D772" s="61"/>
    </row>
    <row r="773" ht="15.75" customHeight="1">
      <c r="D773" s="61"/>
    </row>
    <row r="774" ht="15.75" customHeight="1">
      <c r="D774" s="61"/>
    </row>
    <row r="775" ht="15.75" customHeight="1">
      <c r="D775" s="61"/>
    </row>
    <row r="776" ht="15.75" customHeight="1">
      <c r="D776" s="61"/>
    </row>
    <row r="777" ht="15.75" customHeight="1">
      <c r="D777" s="61"/>
    </row>
    <row r="778" ht="15.75" customHeight="1">
      <c r="D778" s="61"/>
    </row>
    <row r="779" ht="15.75" customHeight="1">
      <c r="D779" s="61"/>
    </row>
    <row r="780" ht="15.75" customHeight="1">
      <c r="D780" s="61"/>
    </row>
    <row r="781" ht="15.75" customHeight="1">
      <c r="D781" s="61"/>
    </row>
    <row r="782" ht="15.75" customHeight="1">
      <c r="D782" s="61"/>
    </row>
    <row r="783" ht="15.75" customHeight="1">
      <c r="D783" s="61"/>
    </row>
    <row r="784" ht="15.75" customHeight="1">
      <c r="D784" s="61"/>
    </row>
    <row r="785" ht="15.75" customHeight="1">
      <c r="D785" s="61"/>
    </row>
    <row r="786" ht="15.75" customHeight="1">
      <c r="D786" s="61"/>
    </row>
    <row r="787" ht="15.75" customHeight="1">
      <c r="D787" s="61"/>
    </row>
    <row r="788" ht="15.75" customHeight="1">
      <c r="D788" s="61"/>
    </row>
    <row r="789" ht="15.75" customHeight="1">
      <c r="D789" s="61"/>
    </row>
    <row r="790" ht="15.75" customHeight="1">
      <c r="D790" s="61"/>
    </row>
    <row r="791" ht="15.75" customHeight="1">
      <c r="D791" s="61"/>
    </row>
    <row r="792" ht="15.75" customHeight="1">
      <c r="D792" s="61"/>
    </row>
    <row r="793" ht="15.75" customHeight="1">
      <c r="D793" s="61"/>
    </row>
    <row r="794" ht="15.75" customHeight="1">
      <c r="D794" s="61"/>
    </row>
    <row r="795" ht="15.75" customHeight="1">
      <c r="D795" s="61"/>
    </row>
    <row r="796" ht="15.75" customHeight="1">
      <c r="D796" s="61"/>
    </row>
    <row r="797" ht="15.75" customHeight="1">
      <c r="D797" s="61"/>
    </row>
    <row r="798" ht="15.75" customHeight="1">
      <c r="D798" s="61"/>
    </row>
    <row r="799" ht="15.75" customHeight="1">
      <c r="D799" s="61"/>
    </row>
    <row r="800" ht="15.75" customHeight="1">
      <c r="D800" s="61"/>
    </row>
    <row r="801" ht="15.75" customHeight="1">
      <c r="D801" s="61"/>
    </row>
    <row r="802" ht="15.75" customHeight="1">
      <c r="D802" s="61"/>
    </row>
    <row r="803" ht="15.75" customHeight="1">
      <c r="D803" s="61"/>
    </row>
    <row r="804" ht="15.75" customHeight="1">
      <c r="D804" s="61"/>
    </row>
    <row r="805" ht="15.75" customHeight="1">
      <c r="D805" s="61"/>
    </row>
    <row r="806" ht="15.75" customHeight="1">
      <c r="D806" s="61"/>
    </row>
    <row r="807" ht="15.75" customHeight="1">
      <c r="D807" s="61"/>
    </row>
    <row r="808" ht="15.75" customHeight="1">
      <c r="D808" s="61"/>
    </row>
    <row r="809" ht="15.75" customHeight="1">
      <c r="D809" s="61"/>
    </row>
    <row r="810" ht="15.75" customHeight="1">
      <c r="D810" s="61"/>
    </row>
    <row r="811" ht="15.75" customHeight="1">
      <c r="D811" s="61"/>
    </row>
    <row r="812" ht="15.75" customHeight="1">
      <c r="D812" s="61"/>
    </row>
    <row r="813" ht="15.75" customHeight="1">
      <c r="D813" s="61"/>
    </row>
    <row r="814" ht="15.75" customHeight="1">
      <c r="D814" s="61"/>
    </row>
    <row r="815" ht="15.75" customHeight="1">
      <c r="D815" s="61"/>
    </row>
    <row r="816" ht="15.75" customHeight="1">
      <c r="D816" s="61"/>
    </row>
    <row r="817" ht="15.75" customHeight="1">
      <c r="D817" s="61"/>
    </row>
    <row r="818" ht="15.75" customHeight="1">
      <c r="D818" s="61"/>
    </row>
    <row r="819" ht="15.75" customHeight="1">
      <c r="D819" s="61"/>
    </row>
    <row r="820" ht="15.75" customHeight="1">
      <c r="D820" s="61"/>
    </row>
    <row r="821" ht="15.75" customHeight="1">
      <c r="D821" s="61"/>
    </row>
    <row r="822" ht="15.75" customHeight="1">
      <c r="D822" s="61"/>
    </row>
    <row r="823" ht="15.75" customHeight="1">
      <c r="D823" s="61"/>
    </row>
    <row r="824" ht="15.75" customHeight="1">
      <c r="D824" s="61"/>
    </row>
    <row r="825" ht="15.75" customHeight="1">
      <c r="D825" s="61"/>
    </row>
    <row r="826" ht="15.75" customHeight="1">
      <c r="D826" s="61"/>
    </row>
    <row r="827" ht="15.75" customHeight="1">
      <c r="D827" s="61"/>
    </row>
    <row r="828" ht="15.75" customHeight="1">
      <c r="D828" s="61"/>
    </row>
    <row r="829" ht="15.75" customHeight="1">
      <c r="D829" s="61"/>
    </row>
    <row r="830" ht="15.75" customHeight="1">
      <c r="D830" s="61"/>
    </row>
    <row r="831" ht="15.75" customHeight="1">
      <c r="D831" s="61"/>
    </row>
    <row r="832" ht="15.75" customHeight="1">
      <c r="D832" s="61"/>
    </row>
    <row r="833" ht="15.75" customHeight="1">
      <c r="D833" s="61"/>
    </row>
    <row r="834" ht="15.75" customHeight="1">
      <c r="D834" s="61"/>
    </row>
    <row r="835" ht="15.75" customHeight="1">
      <c r="D835" s="61"/>
    </row>
    <row r="836" ht="15.75" customHeight="1">
      <c r="D836" s="61"/>
    </row>
    <row r="837" ht="15.75" customHeight="1">
      <c r="D837" s="61"/>
    </row>
    <row r="838" ht="15.75" customHeight="1">
      <c r="D838" s="61"/>
    </row>
    <row r="839" ht="15.75" customHeight="1">
      <c r="D839" s="61"/>
    </row>
    <row r="840" ht="15.75" customHeight="1">
      <c r="D840" s="61"/>
    </row>
    <row r="841" ht="15.75" customHeight="1">
      <c r="D841" s="61"/>
    </row>
    <row r="842" ht="15.75" customHeight="1">
      <c r="D842" s="61"/>
    </row>
    <row r="843" ht="15.75" customHeight="1">
      <c r="D843" s="61"/>
    </row>
    <row r="844" ht="15.75" customHeight="1">
      <c r="D844" s="61"/>
    </row>
    <row r="845" ht="15.75" customHeight="1">
      <c r="D845" s="61"/>
    </row>
    <row r="846" ht="15.75" customHeight="1">
      <c r="D846" s="61"/>
    </row>
    <row r="847" ht="15.75" customHeight="1">
      <c r="D847" s="61"/>
    </row>
    <row r="848" ht="15.75" customHeight="1">
      <c r="D848" s="61"/>
    </row>
    <row r="849" ht="15.75" customHeight="1">
      <c r="D849" s="61"/>
    </row>
    <row r="850" ht="15.75" customHeight="1">
      <c r="D850" s="61"/>
    </row>
    <row r="851" ht="15.75" customHeight="1">
      <c r="D851" s="61"/>
    </row>
    <row r="852" ht="15.75" customHeight="1">
      <c r="D852" s="61"/>
    </row>
    <row r="853" ht="15.75" customHeight="1">
      <c r="D853" s="61"/>
    </row>
    <row r="854" ht="15.75" customHeight="1">
      <c r="D854" s="61"/>
    </row>
    <row r="855" ht="15.75" customHeight="1">
      <c r="D855" s="61"/>
    </row>
    <row r="856" ht="15.75" customHeight="1">
      <c r="D856" s="61"/>
    </row>
    <row r="857" ht="15.75" customHeight="1">
      <c r="D857" s="61"/>
    </row>
    <row r="858" ht="15.75" customHeight="1">
      <c r="D858" s="61"/>
    </row>
    <row r="859" ht="15.75" customHeight="1">
      <c r="D859" s="61"/>
    </row>
    <row r="860" ht="15.75" customHeight="1">
      <c r="D860" s="61"/>
    </row>
    <row r="861" ht="15.75" customHeight="1">
      <c r="D861" s="61"/>
    </row>
    <row r="862" ht="15.75" customHeight="1">
      <c r="D862" s="61"/>
    </row>
    <row r="863" ht="15.75" customHeight="1">
      <c r="D863" s="61"/>
    </row>
    <row r="864" ht="15.75" customHeight="1">
      <c r="D864" s="61"/>
    </row>
    <row r="865" ht="15.75" customHeight="1">
      <c r="D865" s="61"/>
    </row>
    <row r="866" ht="15.75" customHeight="1">
      <c r="D866" s="61"/>
    </row>
    <row r="867" ht="15.75" customHeight="1">
      <c r="D867" s="61"/>
    </row>
    <row r="868" ht="15.75" customHeight="1">
      <c r="D868" s="61"/>
    </row>
    <row r="869" ht="15.75" customHeight="1">
      <c r="D869" s="61"/>
    </row>
    <row r="870" ht="15.75" customHeight="1">
      <c r="D870" s="61"/>
    </row>
    <row r="871" ht="15.75" customHeight="1">
      <c r="D871" s="61"/>
    </row>
    <row r="872" ht="15.75" customHeight="1">
      <c r="D872" s="61"/>
    </row>
    <row r="873" ht="15.75" customHeight="1">
      <c r="D873" s="61"/>
    </row>
    <row r="874" ht="15.75" customHeight="1">
      <c r="D874" s="61"/>
    </row>
    <row r="875" ht="15.75" customHeight="1">
      <c r="D875" s="61"/>
    </row>
    <row r="876" ht="15.75" customHeight="1">
      <c r="D876" s="61"/>
    </row>
    <row r="877" ht="15.75" customHeight="1">
      <c r="D877" s="61"/>
    </row>
    <row r="878" ht="15.75" customHeight="1">
      <c r="D878" s="61"/>
    </row>
    <row r="879" ht="15.75" customHeight="1">
      <c r="D879" s="61"/>
    </row>
    <row r="880" ht="15.75" customHeight="1">
      <c r="D880" s="61"/>
    </row>
    <row r="881" ht="15.75" customHeight="1">
      <c r="D881" s="61"/>
    </row>
    <row r="882" ht="15.75" customHeight="1">
      <c r="D882" s="61"/>
    </row>
    <row r="883" ht="15.75" customHeight="1">
      <c r="D883" s="61"/>
    </row>
    <row r="884" ht="15.75" customHeight="1">
      <c r="D884" s="61"/>
    </row>
    <row r="885" ht="15.75" customHeight="1">
      <c r="D885" s="61"/>
    </row>
    <row r="886" ht="15.75" customHeight="1">
      <c r="D886" s="61"/>
    </row>
    <row r="887" ht="15.75" customHeight="1">
      <c r="D887" s="61"/>
    </row>
    <row r="888" ht="15.75" customHeight="1">
      <c r="D888" s="61"/>
    </row>
    <row r="889" ht="15.75" customHeight="1">
      <c r="D889" s="61"/>
    </row>
    <row r="890" ht="15.75" customHeight="1">
      <c r="D890" s="61"/>
    </row>
    <row r="891" ht="15.75" customHeight="1">
      <c r="D891" s="61"/>
    </row>
    <row r="892" ht="15.75" customHeight="1">
      <c r="D892" s="61"/>
    </row>
    <row r="893" ht="15.75" customHeight="1">
      <c r="D893" s="61"/>
    </row>
    <row r="894" ht="15.75" customHeight="1">
      <c r="D894" s="61"/>
    </row>
    <row r="895" ht="15.75" customHeight="1">
      <c r="D895" s="61"/>
    </row>
    <row r="896" ht="15.75" customHeight="1">
      <c r="D896" s="61"/>
    </row>
    <row r="897" ht="15.75" customHeight="1">
      <c r="D897" s="61"/>
    </row>
    <row r="898" ht="15.75" customHeight="1">
      <c r="D898" s="61"/>
    </row>
    <row r="899" ht="15.75" customHeight="1">
      <c r="D899" s="61"/>
    </row>
    <row r="900" ht="15.75" customHeight="1">
      <c r="D900" s="61"/>
    </row>
    <row r="901" ht="15.75" customHeight="1">
      <c r="D901" s="61"/>
    </row>
    <row r="902" ht="15.75" customHeight="1">
      <c r="D902" s="61"/>
    </row>
    <row r="903" ht="15.75" customHeight="1">
      <c r="D903" s="61"/>
    </row>
    <row r="904" ht="15.75" customHeight="1">
      <c r="D904" s="61"/>
    </row>
    <row r="905" ht="15.75" customHeight="1">
      <c r="D905" s="61"/>
    </row>
    <row r="906" ht="15.75" customHeight="1">
      <c r="D906" s="61"/>
    </row>
    <row r="907" ht="15.75" customHeight="1">
      <c r="D907" s="61"/>
    </row>
    <row r="908" ht="15.75" customHeight="1">
      <c r="D908" s="61"/>
    </row>
    <row r="909" ht="15.75" customHeight="1">
      <c r="D909" s="61"/>
    </row>
    <row r="910" ht="15.75" customHeight="1">
      <c r="D910" s="61"/>
    </row>
    <row r="911" ht="15.75" customHeight="1">
      <c r="D911" s="61"/>
    </row>
    <row r="912" ht="15.75" customHeight="1">
      <c r="D912" s="61"/>
    </row>
    <row r="913" ht="15.75" customHeight="1">
      <c r="D913" s="61"/>
    </row>
    <row r="914" ht="15.75" customHeight="1">
      <c r="D914" s="61"/>
    </row>
    <row r="915" ht="15.75" customHeight="1">
      <c r="D915" s="61"/>
    </row>
    <row r="916" ht="15.75" customHeight="1">
      <c r="D916" s="61"/>
    </row>
    <row r="917" ht="15.75" customHeight="1">
      <c r="D917" s="61"/>
    </row>
    <row r="918" ht="15.75" customHeight="1">
      <c r="D918" s="61"/>
    </row>
    <row r="919" ht="15.75" customHeight="1">
      <c r="D919" s="61"/>
    </row>
    <row r="920" ht="15.75" customHeight="1">
      <c r="D920" s="61"/>
    </row>
    <row r="921" ht="15.75" customHeight="1">
      <c r="D921" s="61"/>
    </row>
    <row r="922" ht="15.75" customHeight="1">
      <c r="D922" s="61"/>
    </row>
    <row r="923" ht="15.75" customHeight="1">
      <c r="D923" s="61"/>
    </row>
    <row r="924" ht="15.75" customHeight="1">
      <c r="D924" s="61"/>
    </row>
    <row r="925" ht="15.75" customHeight="1">
      <c r="D925" s="61"/>
    </row>
    <row r="926" ht="15.75" customHeight="1">
      <c r="D926" s="61"/>
    </row>
    <row r="927" ht="15.75" customHeight="1">
      <c r="D927" s="61"/>
    </row>
    <row r="928" ht="15.75" customHeight="1">
      <c r="D928" s="61"/>
    </row>
    <row r="929" ht="15.75" customHeight="1">
      <c r="D929" s="61"/>
    </row>
    <row r="930" ht="15.75" customHeight="1">
      <c r="D930" s="61"/>
    </row>
    <row r="931" ht="15.75" customHeight="1">
      <c r="D931" s="61"/>
    </row>
    <row r="932" ht="15.75" customHeight="1">
      <c r="D932" s="61"/>
    </row>
    <row r="933" ht="15.75" customHeight="1">
      <c r="D933" s="61"/>
    </row>
    <row r="934" ht="15.75" customHeight="1">
      <c r="D934" s="61"/>
    </row>
    <row r="935" ht="15.75" customHeight="1">
      <c r="D935" s="61"/>
    </row>
    <row r="936" ht="15.75" customHeight="1">
      <c r="D936" s="61"/>
    </row>
    <row r="937" ht="15.75" customHeight="1">
      <c r="D937" s="61"/>
    </row>
    <row r="938" ht="15.75" customHeight="1">
      <c r="D938" s="61"/>
    </row>
    <row r="939" ht="15.75" customHeight="1">
      <c r="D939" s="61"/>
    </row>
    <row r="940" ht="15.75" customHeight="1">
      <c r="D940" s="61"/>
    </row>
    <row r="941" ht="15.75" customHeight="1">
      <c r="D941" s="61"/>
    </row>
    <row r="942" ht="15.75" customHeight="1">
      <c r="D942" s="61"/>
    </row>
    <row r="943" ht="15.75" customHeight="1">
      <c r="D943" s="61"/>
    </row>
    <row r="944" ht="15.75" customHeight="1">
      <c r="D944" s="61"/>
    </row>
    <row r="945" ht="15.75" customHeight="1">
      <c r="D945" s="61"/>
    </row>
    <row r="946" ht="15.75" customHeight="1">
      <c r="D946" s="61"/>
    </row>
    <row r="947" ht="15.75" customHeight="1">
      <c r="D947" s="61"/>
    </row>
    <row r="948" ht="15.75" customHeight="1">
      <c r="D948" s="61"/>
    </row>
    <row r="949" ht="15.75" customHeight="1">
      <c r="D949" s="61"/>
    </row>
    <row r="950" ht="15.75" customHeight="1">
      <c r="D950" s="61"/>
    </row>
    <row r="951" ht="15.75" customHeight="1">
      <c r="D951" s="61"/>
    </row>
    <row r="952" ht="15.75" customHeight="1">
      <c r="D952" s="61"/>
    </row>
    <row r="953" ht="15.75" customHeight="1">
      <c r="D953" s="61"/>
    </row>
    <row r="954" ht="15.75" customHeight="1">
      <c r="D954" s="61"/>
    </row>
    <row r="955" ht="15.75" customHeight="1">
      <c r="D955" s="61"/>
    </row>
    <row r="956" ht="15.75" customHeight="1">
      <c r="D956" s="61"/>
    </row>
    <row r="957" ht="15.75" customHeight="1">
      <c r="D957" s="61"/>
    </row>
    <row r="958" ht="15.75" customHeight="1">
      <c r="D958" s="61"/>
    </row>
    <row r="959" ht="15.75" customHeight="1">
      <c r="D959" s="61"/>
    </row>
    <row r="960" ht="15.75" customHeight="1">
      <c r="D960" s="61"/>
    </row>
    <row r="961" ht="15.75" customHeight="1">
      <c r="D961" s="61"/>
    </row>
    <row r="962" ht="15.75" customHeight="1">
      <c r="D962" s="61"/>
    </row>
    <row r="963" ht="15.75" customHeight="1">
      <c r="D963" s="61"/>
    </row>
    <row r="964" ht="15.75" customHeight="1">
      <c r="D964" s="61"/>
    </row>
    <row r="965" ht="15.75" customHeight="1">
      <c r="D965" s="61"/>
    </row>
    <row r="966" ht="15.75" customHeight="1">
      <c r="D966" s="61"/>
    </row>
    <row r="967" ht="15.75" customHeight="1">
      <c r="D967" s="61"/>
    </row>
    <row r="968" ht="15.75" customHeight="1">
      <c r="D968" s="61"/>
    </row>
    <row r="969" ht="15.75" customHeight="1">
      <c r="D969" s="61"/>
    </row>
    <row r="970" ht="15.75" customHeight="1">
      <c r="D970" s="61"/>
    </row>
    <row r="971" ht="15.75" customHeight="1">
      <c r="D971" s="61"/>
    </row>
    <row r="972" ht="15.75" customHeight="1">
      <c r="D972" s="61"/>
    </row>
    <row r="973" ht="15.75" customHeight="1">
      <c r="D973" s="61"/>
    </row>
    <row r="974" ht="15.75" customHeight="1">
      <c r="D974" s="61"/>
    </row>
    <row r="975" ht="15.75" customHeight="1">
      <c r="D975" s="61"/>
    </row>
    <row r="976" ht="15.75" customHeight="1">
      <c r="D976" s="61"/>
    </row>
    <row r="977" ht="15.75" customHeight="1">
      <c r="D977" s="61"/>
    </row>
    <row r="978" ht="15.75" customHeight="1">
      <c r="D978" s="61"/>
    </row>
    <row r="979" ht="15.75" customHeight="1">
      <c r="D979" s="61"/>
    </row>
    <row r="980" ht="15.75" customHeight="1">
      <c r="D980" s="61"/>
    </row>
    <row r="981" ht="15.75" customHeight="1">
      <c r="D981" s="61"/>
    </row>
    <row r="982" ht="15.75" customHeight="1">
      <c r="D982" s="61"/>
    </row>
    <row r="983" ht="15.75" customHeight="1">
      <c r="D983" s="61"/>
    </row>
    <row r="984" ht="15.75" customHeight="1">
      <c r="D984" s="61"/>
    </row>
    <row r="985" ht="15.75" customHeight="1">
      <c r="D985" s="61"/>
    </row>
    <row r="986" ht="15.75" customHeight="1">
      <c r="D986" s="61"/>
    </row>
    <row r="987" ht="15.75" customHeight="1">
      <c r="D987" s="61"/>
    </row>
    <row r="988" ht="15.75" customHeight="1">
      <c r="D988" s="61"/>
    </row>
    <row r="989" ht="15.75" customHeight="1">
      <c r="D989" s="61"/>
    </row>
    <row r="990" ht="15.75" customHeight="1">
      <c r="D990" s="61"/>
    </row>
    <row r="991" ht="15.75" customHeight="1">
      <c r="D991" s="61"/>
    </row>
    <row r="992" ht="15.75" customHeight="1">
      <c r="D992" s="61"/>
    </row>
    <row r="993" ht="15.75" customHeight="1">
      <c r="D993" s="61"/>
    </row>
    <row r="994" ht="15.75" customHeight="1">
      <c r="D994" s="61"/>
    </row>
    <row r="995" ht="15.75" customHeight="1">
      <c r="D995" s="61"/>
    </row>
    <row r="996" ht="15.75" customHeight="1">
      <c r="D996" s="61"/>
    </row>
    <row r="997" ht="15.75" customHeight="1">
      <c r="D997" s="61"/>
    </row>
    <row r="998" ht="15.75" customHeight="1">
      <c r="D998" s="61"/>
    </row>
    <row r="999" ht="15.75" customHeight="1">
      <c r="D999" s="61"/>
    </row>
    <row r="1000" ht="15.75" customHeight="1">
      <c r="D1000" s="61"/>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7.75"/>
    <col customWidth="1" min="3" max="6" width="12.63"/>
  </cols>
  <sheetData>
    <row r="1" ht="15.75" customHeight="1">
      <c r="B1" s="38" t="s">
        <v>642</v>
      </c>
      <c r="C1" s="38" t="s">
        <v>643</v>
      </c>
    </row>
    <row r="2" ht="15.75" customHeight="1">
      <c r="B2" s="18" t="s">
        <v>1</v>
      </c>
    </row>
    <row r="3" ht="15.75" customHeight="1">
      <c r="B3" s="18" t="s">
        <v>28</v>
      </c>
    </row>
    <row r="4" ht="15.75" customHeight="1">
      <c r="B4" s="18" t="s">
        <v>5</v>
      </c>
    </row>
    <row r="5" ht="15.75" customHeight="1">
      <c r="B5" s="18" t="s">
        <v>29</v>
      </c>
    </row>
    <row r="6" ht="15.75" customHeight="1">
      <c r="B6" s="18" t="s">
        <v>31</v>
      </c>
    </row>
    <row r="7" ht="15.75" customHeight="1">
      <c r="B7" s="18" t="s">
        <v>32</v>
      </c>
    </row>
    <row r="8" ht="15.75" customHeight="1">
      <c r="B8" s="18" t="s">
        <v>34</v>
      </c>
    </row>
    <row r="9" ht="15.75" customHeight="1">
      <c r="B9" s="18" t="s">
        <v>36</v>
      </c>
    </row>
    <row r="10" ht="15.75" customHeight="1">
      <c r="B10" s="18" t="s">
        <v>37</v>
      </c>
    </row>
    <row r="11" ht="15.75" customHeight="1">
      <c r="B11" s="18" t="s">
        <v>39</v>
      </c>
    </row>
    <row r="12" ht="15.75" customHeight="1">
      <c r="B12" s="18" t="s">
        <v>41</v>
      </c>
    </row>
    <row r="13" ht="15.75" customHeight="1">
      <c r="B13" s="18" t="s">
        <v>43</v>
      </c>
    </row>
    <row r="14" ht="15.75" customHeight="1">
      <c r="B14" s="18" t="s">
        <v>44</v>
      </c>
    </row>
    <row r="15" ht="15.75" customHeight="1">
      <c r="B15" s="61"/>
    </row>
    <row r="16" ht="15.75" customHeight="1">
      <c r="B16" s="61"/>
    </row>
    <row r="17" ht="15.75" customHeight="1">
      <c r="B17" s="61"/>
    </row>
    <row r="18" ht="15.75" customHeight="1">
      <c r="B18" s="61"/>
    </row>
    <row r="19" ht="15.75" customHeight="1">
      <c r="B19" s="61"/>
    </row>
    <row r="20" ht="15.75" customHeight="1">
      <c r="B20" s="61"/>
    </row>
    <row r="21" ht="15.75" customHeight="1">
      <c r="B21" s="61"/>
    </row>
    <row r="22" ht="15.75" customHeight="1">
      <c r="B22" s="61"/>
    </row>
    <row r="23" ht="15.75" customHeight="1">
      <c r="B23" s="61"/>
    </row>
    <row r="24" ht="15.75" customHeight="1">
      <c r="B24" s="61"/>
    </row>
    <row r="25" ht="15.75" customHeight="1">
      <c r="B25" s="61"/>
    </row>
    <row r="26" ht="15.75" customHeight="1">
      <c r="B26" s="61"/>
    </row>
    <row r="27" ht="15.75" customHeight="1">
      <c r="B27" s="61"/>
    </row>
    <row r="28" ht="15.75" customHeight="1">
      <c r="B28" s="61"/>
    </row>
    <row r="29" ht="15.75" customHeight="1">
      <c r="B29" s="61"/>
    </row>
    <row r="30" ht="15.75" customHeight="1">
      <c r="B30" s="61"/>
    </row>
    <row r="31" ht="15.75" customHeight="1">
      <c r="B31" s="61"/>
    </row>
    <row r="32" ht="15.75" customHeight="1">
      <c r="B32" s="61"/>
    </row>
    <row r="33" ht="15.75" customHeight="1">
      <c r="B33" s="61"/>
    </row>
    <row r="34" ht="15.75" customHeight="1">
      <c r="B34" s="61"/>
    </row>
    <row r="35" ht="15.75" customHeight="1">
      <c r="B35" s="61"/>
    </row>
    <row r="36" ht="15.75" customHeight="1">
      <c r="B36" s="61"/>
    </row>
    <row r="37" ht="15.75" customHeight="1">
      <c r="B37" s="61"/>
    </row>
    <row r="38" ht="15.75" customHeight="1">
      <c r="B38" s="61"/>
    </row>
    <row r="39" ht="15.75" customHeight="1">
      <c r="B39" s="61"/>
    </row>
    <row r="40" ht="15.75" customHeight="1">
      <c r="B40" s="61"/>
    </row>
    <row r="41" ht="15.75" customHeight="1">
      <c r="B41" s="61"/>
    </row>
    <row r="42" ht="15.75" customHeight="1">
      <c r="B42" s="61"/>
    </row>
    <row r="43" ht="15.75" customHeight="1">
      <c r="B43" s="61"/>
    </row>
    <row r="44" ht="15.75" customHeight="1">
      <c r="B44" s="61"/>
    </row>
    <row r="45" ht="15.75" customHeight="1">
      <c r="B45" s="61"/>
    </row>
    <row r="46" ht="15.75" customHeight="1">
      <c r="B46" s="61"/>
    </row>
    <row r="47" ht="15.75" customHeight="1">
      <c r="B47" s="61"/>
    </row>
    <row r="48" ht="15.75" customHeight="1">
      <c r="B48" s="61"/>
    </row>
    <row r="49" ht="15.75" customHeight="1">
      <c r="B49" s="61"/>
    </row>
    <row r="50" ht="15.75" customHeight="1">
      <c r="B50" s="61"/>
    </row>
    <row r="51" ht="15.75" customHeight="1">
      <c r="B51" s="61"/>
    </row>
    <row r="52" ht="15.75" customHeight="1">
      <c r="B52" s="61"/>
    </row>
    <row r="53" ht="15.75" customHeight="1">
      <c r="B53" s="61"/>
    </row>
    <row r="54" ht="15.75" customHeight="1">
      <c r="B54" s="61"/>
    </row>
    <row r="55" ht="15.75" customHeight="1">
      <c r="B55" s="61"/>
    </row>
    <row r="56" ht="15.75" customHeight="1">
      <c r="B56" s="61"/>
    </row>
    <row r="57" ht="15.75" customHeight="1">
      <c r="B57" s="61"/>
    </row>
    <row r="58" ht="15.75" customHeight="1">
      <c r="B58" s="61"/>
    </row>
    <row r="59" ht="15.75" customHeight="1">
      <c r="B59" s="61"/>
    </row>
    <row r="60" ht="15.75" customHeight="1">
      <c r="B60" s="61"/>
    </row>
    <row r="61" ht="15.75" customHeight="1">
      <c r="B61" s="61"/>
    </row>
    <row r="62" ht="15.75" customHeight="1">
      <c r="B62" s="61"/>
    </row>
    <row r="63" ht="15.75" customHeight="1">
      <c r="B63" s="61"/>
    </row>
    <row r="64" ht="15.75" customHeight="1">
      <c r="B64" s="61"/>
    </row>
    <row r="65" ht="15.75" customHeight="1">
      <c r="B65" s="61"/>
    </row>
    <row r="66" ht="15.75" customHeight="1">
      <c r="B66" s="61"/>
    </row>
    <row r="67" ht="15.75" customHeight="1">
      <c r="B67" s="61"/>
    </row>
    <row r="68" ht="15.75" customHeight="1">
      <c r="B68" s="61"/>
    </row>
    <row r="69" ht="15.75" customHeight="1">
      <c r="B69" s="61"/>
    </row>
    <row r="70" ht="15.75" customHeight="1">
      <c r="B70" s="61"/>
    </row>
    <row r="71" ht="15.75" customHeight="1">
      <c r="B71" s="61"/>
    </row>
    <row r="72" ht="15.75" customHeight="1">
      <c r="B72" s="61"/>
    </row>
    <row r="73" ht="15.75" customHeight="1">
      <c r="B73" s="61"/>
    </row>
    <row r="74" ht="15.75" customHeight="1">
      <c r="B74" s="61"/>
    </row>
    <row r="75" ht="15.75" customHeight="1">
      <c r="B75" s="61"/>
    </row>
    <row r="76" ht="15.75" customHeight="1">
      <c r="B76" s="61"/>
    </row>
    <row r="77" ht="15.75" customHeight="1">
      <c r="B77" s="61"/>
    </row>
    <row r="78" ht="15.75" customHeight="1">
      <c r="B78" s="61"/>
    </row>
    <row r="79" ht="15.75" customHeight="1">
      <c r="B79" s="61"/>
    </row>
    <row r="80" ht="15.75" customHeight="1">
      <c r="B80" s="61"/>
    </row>
    <row r="81" ht="15.75" customHeight="1">
      <c r="B81" s="61"/>
    </row>
    <row r="82" ht="15.75" customHeight="1">
      <c r="B82" s="61"/>
    </row>
    <row r="83" ht="15.75" customHeight="1">
      <c r="B83" s="61"/>
    </row>
    <row r="84" ht="15.75" customHeight="1">
      <c r="B84" s="61"/>
    </row>
    <row r="85" ht="15.75" customHeight="1">
      <c r="B85" s="61"/>
    </row>
    <row r="86" ht="15.75" customHeight="1">
      <c r="B86" s="61"/>
    </row>
    <row r="87" ht="15.75" customHeight="1">
      <c r="B87" s="61"/>
    </row>
    <row r="88" ht="15.75" customHeight="1">
      <c r="B88" s="61"/>
    </row>
    <row r="89" ht="15.75" customHeight="1">
      <c r="B89" s="61"/>
    </row>
    <row r="90" ht="15.75" customHeight="1">
      <c r="B90" s="61"/>
    </row>
    <row r="91" ht="15.75" customHeight="1">
      <c r="B91" s="61"/>
    </row>
    <row r="92" ht="15.75" customHeight="1">
      <c r="B92" s="61"/>
    </row>
    <row r="93" ht="15.75" customHeight="1">
      <c r="B93" s="61"/>
    </row>
    <row r="94" ht="15.75" customHeight="1">
      <c r="B94" s="61"/>
    </row>
    <row r="95" ht="15.75" customHeight="1">
      <c r="B95" s="61"/>
    </row>
    <row r="96" ht="15.75" customHeight="1">
      <c r="B96" s="61"/>
    </row>
    <row r="97" ht="15.75" customHeight="1">
      <c r="B97" s="61"/>
    </row>
    <row r="98" ht="15.75" customHeight="1">
      <c r="B98" s="61"/>
    </row>
    <row r="99" ht="15.75" customHeight="1">
      <c r="B99" s="61"/>
    </row>
    <row r="100" ht="15.75" customHeight="1">
      <c r="B100" s="61"/>
    </row>
    <row r="101" ht="15.75" customHeight="1">
      <c r="B101" s="61"/>
    </row>
    <row r="102" ht="15.75" customHeight="1">
      <c r="B102" s="61"/>
    </row>
    <row r="103" ht="15.75" customHeight="1">
      <c r="B103" s="61"/>
    </row>
    <row r="104" ht="15.75" customHeight="1">
      <c r="B104" s="61"/>
    </row>
    <row r="105" ht="15.75" customHeight="1">
      <c r="B105" s="61"/>
    </row>
    <row r="106" ht="15.75" customHeight="1">
      <c r="B106" s="61"/>
    </row>
    <row r="107" ht="15.75" customHeight="1">
      <c r="B107" s="61"/>
    </row>
    <row r="108" ht="15.75" customHeight="1">
      <c r="B108" s="61"/>
    </row>
    <row r="109" ht="15.75" customHeight="1">
      <c r="B109" s="61"/>
    </row>
    <row r="110" ht="15.75" customHeight="1">
      <c r="B110" s="61"/>
    </row>
    <row r="111" ht="15.75" customHeight="1">
      <c r="B111" s="61"/>
    </row>
    <row r="112" ht="15.75" customHeight="1">
      <c r="B112" s="61"/>
    </row>
    <row r="113" ht="15.75" customHeight="1">
      <c r="B113" s="61"/>
    </row>
    <row r="114" ht="15.75" customHeight="1">
      <c r="B114" s="61"/>
    </row>
    <row r="115" ht="15.75" customHeight="1">
      <c r="B115" s="61"/>
    </row>
    <row r="116" ht="15.75" customHeight="1">
      <c r="B116" s="61"/>
    </row>
    <row r="117" ht="15.75" customHeight="1">
      <c r="B117" s="61"/>
    </row>
    <row r="118" ht="15.75" customHeight="1">
      <c r="B118" s="61"/>
    </row>
    <row r="119" ht="15.75" customHeight="1">
      <c r="B119" s="61"/>
    </row>
    <row r="120" ht="15.75" customHeight="1">
      <c r="B120" s="61"/>
    </row>
    <row r="121" ht="15.75" customHeight="1">
      <c r="B121" s="61"/>
    </row>
    <row r="122" ht="15.75" customHeight="1">
      <c r="B122" s="61"/>
    </row>
    <row r="123" ht="15.75" customHeight="1">
      <c r="B123" s="61"/>
    </row>
    <row r="124" ht="15.75" customHeight="1">
      <c r="B124" s="61"/>
    </row>
    <row r="125" ht="15.75" customHeight="1">
      <c r="B125" s="61"/>
    </row>
    <row r="126" ht="15.75" customHeight="1">
      <c r="B126" s="61"/>
    </row>
    <row r="127" ht="15.75" customHeight="1">
      <c r="B127" s="61"/>
    </row>
    <row r="128" ht="15.75" customHeight="1">
      <c r="B128" s="61"/>
    </row>
    <row r="129" ht="15.75" customHeight="1">
      <c r="B129" s="61"/>
    </row>
    <row r="130" ht="15.75" customHeight="1">
      <c r="B130" s="61"/>
    </row>
    <row r="131" ht="15.75" customHeight="1">
      <c r="B131" s="61"/>
    </row>
    <row r="132" ht="15.75" customHeight="1">
      <c r="B132" s="61"/>
    </row>
    <row r="133" ht="15.75" customHeight="1">
      <c r="B133" s="61"/>
    </row>
    <row r="134" ht="15.75" customHeight="1">
      <c r="B134" s="61"/>
    </row>
    <row r="135" ht="15.75" customHeight="1">
      <c r="B135" s="61"/>
    </row>
    <row r="136" ht="15.75" customHeight="1">
      <c r="B136" s="61"/>
    </row>
    <row r="137" ht="15.75" customHeight="1">
      <c r="B137" s="61"/>
    </row>
    <row r="138" ht="15.75" customHeight="1">
      <c r="B138" s="61"/>
    </row>
    <row r="139" ht="15.75" customHeight="1">
      <c r="B139" s="61"/>
    </row>
    <row r="140" ht="15.75" customHeight="1">
      <c r="B140" s="61"/>
    </row>
    <row r="141" ht="15.75" customHeight="1">
      <c r="B141" s="61"/>
    </row>
    <row r="142" ht="15.75" customHeight="1">
      <c r="B142" s="61"/>
    </row>
    <row r="143" ht="15.75" customHeight="1">
      <c r="B143" s="61"/>
    </row>
    <row r="144" ht="15.75" customHeight="1">
      <c r="B144" s="61"/>
    </row>
    <row r="145" ht="15.75" customHeight="1">
      <c r="B145" s="61"/>
    </row>
    <row r="146" ht="15.75" customHeight="1">
      <c r="B146" s="61"/>
    </row>
    <row r="147" ht="15.75" customHeight="1">
      <c r="B147" s="61"/>
    </row>
    <row r="148" ht="15.75" customHeight="1">
      <c r="B148" s="61"/>
    </row>
    <row r="149" ht="15.75" customHeight="1">
      <c r="B149" s="61"/>
    </row>
    <row r="150" ht="15.75" customHeight="1">
      <c r="B150" s="61"/>
    </row>
    <row r="151" ht="15.75" customHeight="1">
      <c r="B151" s="61"/>
    </row>
    <row r="152" ht="15.75" customHeight="1">
      <c r="B152" s="61"/>
    </row>
    <row r="153" ht="15.75" customHeight="1">
      <c r="B153" s="61"/>
    </row>
    <row r="154" ht="15.75" customHeight="1">
      <c r="B154" s="61"/>
    </row>
    <row r="155" ht="15.75" customHeight="1">
      <c r="B155" s="61"/>
    </row>
    <row r="156" ht="15.75" customHeight="1">
      <c r="B156" s="61"/>
    </row>
    <row r="157" ht="15.75" customHeight="1">
      <c r="B157" s="61"/>
    </row>
    <row r="158" ht="15.75" customHeight="1">
      <c r="B158" s="61"/>
    </row>
    <row r="159" ht="15.75" customHeight="1">
      <c r="B159" s="61"/>
    </row>
    <row r="160" ht="15.75" customHeight="1">
      <c r="B160" s="61"/>
    </row>
    <row r="161" ht="15.75" customHeight="1">
      <c r="B161" s="61"/>
    </row>
    <row r="162" ht="15.75" customHeight="1">
      <c r="B162" s="61"/>
    </row>
    <row r="163" ht="15.75" customHeight="1">
      <c r="B163" s="61"/>
    </row>
    <row r="164" ht="15.75" customHeight="1">
      <c r="B164" s="61"/>
    </row>
    <row r="165" ht="15.75" customHeight="1">
      <c r="B165" s="61"/>
    </row>
    <row r="166" ht="15.75" customHeight="1">
      <c r="B166" s="61"/>
    </row>
    <row r="167" ht="15.75" customHeight="1">
      <c r="B167" s="61"/>
    </row>
    <row r="168" ht="15.75" customHeight="1">
      <c r="B168" s="61"/>
    </row>
    <row r="169" ht="15.75" customHeight="1">
      <c r="B169" s="61"/>
    </row>
    <row r="170" ht="15.75" customHeight="1">
      <c r="B170" s="61"/>
    </row>
    <row r="171" ht="15.75" customHeight="1">
      <c r="B171" s="61"/>
    </row>
    <row r="172" ht="15.75" customHeight="1">
      <c r="B172" s="61"/>
    </row>
    <row r="173" ht="15.75" customHeight="1">
      <c r="B173" s="61"/>
    </row>
    <row r="174" ht="15.75" customHeight="1">
      <c r="B174" s="61"/>
    </row>
    <row r="175" ht="15.75" customHeight="1">
      <c r="B175" s="61"/>
    </row>
    <row r="176" ht="15.75" customHeight="1">
      <c r="B176" s="61"/>
    </row>
    <row r="177" ht="15.75" customHeight="1">
      <c r="B177" s="61"/>
    </row>
    <row r="178" ht="15.75" customHeight="1">
      <c r="B178" s="61"/>
    </row>
    <row r="179" ht="15.75" customHeight="1">
      <c r="B179" s="61"/>
    </row>
    <row r="180" ht="15.75" customHeight="1">
      <c r="B180" s="61"/>
    </row>
    <row r="181" ht="15.75" customHeight="1">
      <c r="B181" s="61"/>
    </row>
    <row r="182" ht="15.75" customHeight="1">
      <c r="B182" s="61"/>
    </row>
    <row r="183" ht="15.75" customHeight="1">
      <c r="B183" s="61"/>
    </row>
    <row r="184" ht="15.75" customHeight="1">
      <c r="B184" s="61"/>
    </row>
    <row r="185" ht="15.75" customHeight="1">
      <c r="B185" s="61"/>
    </row>
    <row r="186" ht="15.75" customHeight="1">
      <c r="B186" s="61"/>
    </row>
    <row r="187" ht="15.75" customHeight="1">
      <c r="B187" s="61"/>
    </row>
    <row r="188" ht="15.75" customHeight="1">
      <c r="B188" s="61"/>
    </row>
    <row r="189" ht="15.75" customHeight="1">
      <c r="B189" s="61"/>
    </row>
    <row r="190" ht="15.75" customHeight="1">
      <c r="B190" s="61"/>
    </row>
    <row r="191" ht="15.75" customHeight="1">
      <c r="B191" s="61"/>
    </row>
    <row r="192" ht="15.75" customHeight="1">
      <c r="B192" s="61"/>
    </row>
    <row r="193" ht="15.75" customHeight="1">
      <c r="B193" s="61"/>
    </row>
    <row r="194" ht="15.75" customHeight="1">
      <c r="B194" s="61"/>
    </row>
    <row r="195" ht="15.75" customHeight="1">
      <c r="B195" s="61"/>
    </row>
    <row r="196" ht="15.75" customHeight="1">
      <c r="B196" s="61"/>
    </row>
    <row r="197" ht="15.75" customHeight="1">
      <c r="B197" s="61"/>
    </row>
    <row r="198" ht="15.75" customHeight="1">
      <c r="B198" s="61"/>
    </row>
    <row r="199" ht="15.75" customHeight="1">
      <c r="B199" s="61"/>
    </row>
    <row r="200" ht="15.75" customHeight="1">
      <c r="B200" s="61"/>
    </row>
    <row r="201" ht="15.75" customHeight="1">
      <c r="B201" s="61"/>
    </row>
    <row r="202" ht="15.75" customHeight="1">
      <c r="B202" s="61"/>
    </row>
    <row r="203" ht="15.75" customHeight="1">
      <c r="B203" s="61"/>
    </row>
    <row r="204" ht="15.75" customHeight="1">
      <c r="B204" s="61"/>
    </row>
    <row r="205" ht="15.75" customHeight="1">
      <c r="B205" s="61"/>
    </row>
    <row r="206" ht="15.75" customHeight="1">
      <c r="B206" s="61"/>
    </row>
    <row r="207" ht="15.75" customHeight="1">
      <c r="B207" s="61"/>
    </row>
    <row r="208" ht="15.75" customHeight="1">
      <c r="B208" s="61"/>
    </row>
    <row r="209" ht="15.75" customHeight="1">
      <c r="B209" s="61"/>
    </row>
    <row r="210" ht="15.75" customHeight="1">
      <c r="B210" s="61"/>
    </row>
    <row r="211" ht="15.75" customHeight="1">
      <c r="B211" s="61"/>
    </row>
    <row r="212" ht="15.75" customHeight="1">
      <c r="B212" s="61"/>
    </row>
    <row r="213" ht="15.75" customHeight="1">
      <c r="B213" s="61"/>
    </row>
    <row r="214" ht="15.75" customHeight="1">
      <c r="B214" s="61"/>
    </row>
    <row r="215" ht="15.75" customHeight="1">
      <c r="B215" s="61"/>
    </row>
    <row r="216" ht="15.75" customHeight="1">
      <c r="B216" s="61"/>
    </row>
    <row r="217" ht="15.75" customHeight="1">
      <c r="B217" s="61"/>
    </row>
    <row r="218" ht="15.75" customHeight="1">
      <c r="B218" s="61"/>
    </row>
    <row r="219" ht="15.75" customHeight="1">
      <c r="B219" s="61"/>
    </row>
    <row r="220" ht="15.75" customHeight="1">
      <c r="B220" s="61"/>
    </row>
    <row r="221" ht="15.75" customHeight="1">
      <c r="B221" s="61"/>
    </row>
    <row r="222" ht="15.75" customHeight="1">
      <c r="B222" s="61"/>
    </row>
    <row r="223" ht="15.75" customHeight="1">
      <c r="B223" s="61"/>
    </row>
    <row r="224" ht="15.75" customHeight="1">
      <c r="B224" s="61"/>
    </row>
    <row r="225" ht="15.75" customHeight="1">
      <c r="B225" s="61"/>
    </row>
    <row r="226" ht="15.75" customHeight="1">
      <c r="B226" s="61"/>
    </row>
    <row r="227" ht="15.75" customHeight="1">
      <c r="B227" s="61"/>
    </row>
    <row r="228" ht="15.75" customHeight="1">
      <c r="B228" s="61"/>
    </row>
    <row r="229" ht="15.75" customHeight="1">
      <c r="B229" s="61"/>
    </row>
    <row r="230" ht="15.75" customHeight="1">
      <c r="B230" s="61"/>
    </row>
    <row r="231" ht="15.75" customHeight="1">
      <c r="B231" s="61"/>
    </row>
    <row r="232" ht="15.75" customHeight="1">
      <c r="B232" s="61"/>
    </row>
    <row r="233" ht="15.75" customHeight="1">
      <c r="B233" s="61"/>
    </row>
    <row r="234" ht="15.75" customHeight="1">
      <c r="B234" s="61"/>
    </row>
    <row r="235" ht="15.75" customHeight="1">
      <c r="B235" s="61"/>
    </row>
    <row r="236" ht="15.75" customHeight="1">
      <c r="B236" s="61"/>
    </row>
    <row r="237" ht="15.75" customHeight="1">
      <c r="B237" s="61"/>
    </row>
    <row r="238" ht="15.75" customHeight="1">
      <c r="B238" s="61"/>
    </row>
    <row r="239" ht="15.75" customHeight="1">
      <c r="B239" s="61"/>
    </row>
    <row r="240" ht="15.75" customHeight="1">
      <c r="B240" s="61"/>
    </row>
    <row r="241" ht="15.75" customHeight="1">
      <c r="B241" s="61"/>
    </row>
    <row r="242" ht="15.75" customHeight="1">
      <c r="B242" s="61"/>
    </row>
    <row r="243" ht="15.75" customHeight="1">
      <c r="B243" s="61"/>
    </row>
    <row r="244" ht="15.75" customHeight="1">
      <c r="B244" s="61"/>
    </row>
    <row r="245" ht="15.75" customHeight="1">
      <c r="B245" s="61"/>
    </row>
    <row r="246" ht="15.75" customHeight="1">
      <c r="B246" s="61"/>
    </row>
    <row r="247" ht="15.75" customHeight="1">
      <c r="B247" s="61"/>
    </row>
    <row r="248" ht="15.75" customHeight="1">
      <c r="B248" s="61"/>
    </row>
    <row r="249" ht="15.75" customHeight="1">
      <c r="B249" s="61"/>
    </row>
    <row r="250" ht="15.75" customHeight="1">
      <c r="B250" s="61"/>
    </row>
    <row r="251" ht="15.75" customHeight="1">
      <c r="B251" s="61"/>
    </row>
    <row r="252" ht="15.75" customHeight="1">
      <c r="B252" s="61"/>
    </row>
    <row r="253" ht="15.75" customHeight="1">
      <c r="B253" s="61"/>
    </row>
    <row r="254" ht="15.75" customHeight="1">
      <c r="B254" s="61"/>
    </row>
    <row r="255" ht="15.75" customHeight="1">
      <c r="B255" s="61"/>
    </row>
    <row r="256" ht="15.75" customHeight="1">
      <c r="B256" s="61"/>
    </row>
    <row r="257" ht="15.75" customHeight="1">
      <c r="B257" s="61"/>
    </row>
    <row r="258" ht="15.75" customHeight="1">
      <c r="B258" s="61"/>
    </row>
    <row r="259" ht="15.75" customHeight="1">
      <c r="B259" s="61"/>
    </row>
    <row r="260" ht="15.75" customHeight="1">
      <c r="B260" s="61"/>
    </row>
    <row r="261" ht="15.75" customHeight="1">
      <c r="B261" s="61"/>
    </row>
    <row r="262" ht="15.75" customHeight="1">
      <c r="B262" s="61"/>
    </row>
    <row r="263" ht="15.75" customHeight="1">
      <c r="B263" s="61"/>
    </row>
    <row r="264" ht="15.75" customHeight="1">
      <c r="B264" s="61"/>
    </row>
    <row r="265" ht="15.75" customHeight="1">
      <c r="B265" s="61"/>
    </row>
    <row r="266" ht="15.75" customHeight="1">
      <c r="B266" s="61"/>
    </row>
    <row r="267" ht="15.75" customHeight="1">
      <c r="B267" s="61"/>
    </row>
    <row r="268" ht="15.75" customHeight="1">
      <c r="B268" s="61"/>
    </row>
    <row r="269" ht="15.75" customHeight="1">
      <c r="B269" s="61"/>
    </row>
    <row r="270" ht="15.75" customHeight="1">
      <c r="B270" s="61"/>
    </row>
    <row r="271" ht="15.75" customHeight="1">
      <c r="B271" s="61"/>
    </row>
    <row r="272" ht="15.75" customHeight="1">
      <c r="B272" s="61"/>
    </row>
    <row r="273" ht="15.75" customHeight="1">
      <c r="B273" s="61"/>
    </row>
    <row r="274" ht="15.75" customHeight="1">
      <c r="B274" s="61"/>
    </row>
    <row r="275" ht="15.75" customHeight="1">
      <c r="B275" s="61"/>
    </row>
    <row r="276" ht="15.75" customHeight="1">
      <c r="B276" s="61"/>
    </row>
    <row r="277" ht="15.75" customHeight="1">
      <c r="B277" s="61"/>
    </row>
    <row r="278" ht="15.75" customHeight="1">
      <c r="B278" s="61"/>
    </row>
    <row r="279" ht="15.75" customHeight="1">
      <c r="B279" s="61"/>
    </row>
    <row r="280" ht="15.75" customHeight="1">
      <c r="B280" s="61"/>
    </row>
    <row r="281" ht="15.75" customHeight="1">
      <c r="B281" s="61"/>
    </row>
    <row r="282" ht="15.75" customHeight="1">
      <c r="B282" s="61"/>
    </row>
    <row r="283" ht="15.75" customHeight="1">
      <c r="B283" s="61"/>
    </row>
    <row r="284" ht="15.75" customHeight="1">
      <c r="B284" s="61"/>
    </row>
    <row r="285" ht="15.75" customHeight="1">
      <c r="B285" s="61"/>
    </row>
    <row r="286" ht="15.75" customHeight="1">
      <c r="B286" s="61"/>
    </row>
    <row r="287" ht="15.75" customHeight="1">
      <c r="B287" s="61"/>
    </row>
    <row r="288" ht="15.75" customHeight="1">
      <c r="B288" s="61"/>
    </row>
    <row r="289" ht="15.75" customHeight="1">
      <c r="B289" s="61"/>
    </row>
    <row r="290" ht="15.75" customHeight="1">
      <c r="B290" s="61"/>
    </row>
    <row r="291" ht="15.75" customHeight="1">
      <c r="B291" s="61"/>
    </row>
    <row r="292" ht="15.75" customHeight="1">
      <c r="B292" s="61"/>
    </row>
    <row r="293" ht="15.75" customHeight="1">
      <c r="B293" s="61"/>
    </row>
    <row r="294" ht="15.75" customHeight="1">
      <c r="B294" s="61"/>
    </row>
    <row r="295" ht="15.75" customHeight="1">
      <c r="B295" s="61"/>
    </row>
    <row r="296" ht="15.75" customHeight="1">
      <c r="B296" s="61"/>
    </row>
    <row r="297" ht="15.75" customHeight="1">
      <c r="B297" s="61"/>
    </row>
    <row r="298" ht="15.75" customHeight="1">
      <c r="B298" s="61"/>
    </row>
    <row r="299" ht="15.75" customHeight="1">
      <c r="B299" s="61"/>
    </row>
    <row r="300" ht="15.75" customHeight="1">
      <c r="B300" s="61"/>
    </row>
    <row r="301" ht="15.75" customHeight="1">
      <c r="B301" s="61"/>
    </row>
    <row r="302" ht="15.75" customHeight="1">
      <c r="B302" s="61"/>
    </row>
    <row r="303" ht="15.75" customHeight="1">
      <c r="B303" s="61"/>
    </row>
    <row r="304" ht="15.75" customHeight="1">
      <c r="B304" s="61"/>
    </row>
    <row r="305" ht="15.75" customHeight="1">
      <c r="B305" s="61"/>
    </row>
    <row r="306" ht="15.75" customHeight="1">
      <c r="B306" s="61"/>
    </row>
    <row r="307" ht="15.75" customHeight="1">
      <c r="B307" s="61"/>
    </row>
    <row r="308" ht="15.75" customHeight="1">
      <c r="B308" s="61"/>
    </row>
    <row r="309" ht="15.75" customHeight="1">
      <c r="B309" s="61"/>
    </row>
    <row r="310" ht="15.75" customHeight="1">
      <c r="B310" s="61"/>
    </row>
    <row r="311" ht="15.75" customHeight="1">
      <c r="B311" s="61"/>
    </row>
    <row r="312" ht="15.75" customHeight="1">
      <c r="B312" s="61"/>
    </row>
    <row r="313" ht="15.75" customHeight="1">
      <c r="B313" s="61"/>
    </row>
    <row r="314" ht="15.75" customHeight="1">
      <c r="B314" s="61"/>
    </row>
    <row r="315" ht="15.75" customHeight="1">
      <c r="B315" s="61"/>
    </row>
    <row r="316" ht="15.75" customHeight="1">
      <c r="B316" s="61"/>
    </row>
    <row r="317" ht="15.75" customHeight="1">
      <c r="B317" s="61"/>
    </row>
    <row r="318" ht="15.75" customHeight="1">
      <c r="B318" s="61"/>
    </row>
    <row r="319" ht="15.75" customHeight="1">
      <c r="B319" s="61"/>
    </row>
    <row r="320" ht="15.75" customHeight="1">
      <c r="B320" s="61"/>
    </row>
    <row r="321" ht="15.75" customHeight="1">
      <c r="B321" s="61"/>
    </row>
    <row r="322" ht="15.75" customHeight="1">
      <c r="B322" s="61"/>
    </row>
    <row r="323" ht="15.75" customHeight="1">
      <c r="B323" s="61"/>
    </row>
    <row r="324" ht="15.75" customHeight="1">
      <c r="B324" s="61"/>
    </row>
    <row r="325" ht="15.75" customHeight="1">
      <c r="B325" s="61"/>
    </row>
    <row r="326" ht="15.75" customHeight="1">
      <c r="B326" s="61"/>
    </row>
    <row r="327" ht="15.75" customHeight="1">
      <c r="B327" s="61"/>
    </row>
    <row r="328" ht="15.75" customHeight="1">
      <c r="B328" s="61"/>
    </row>
    <row r="329" ht="15.75" customHeight="1">
      <c r="B329" s="61"/>
    </row>
    <row r="330" ht="15.75" customHeight="1">
      <c r="B330" s="61"/>
    </row>
    <row r="331" ht="15.75" customHeight="1">
      <c r="B331" s="61"/>
    </row>
    <row r="332" ht="15.75" customHeight="1">
      <c r="B332" s="61"/>
    </row>
    <row r="333" ht="15.75" customHeight="1">
      <c r="B333" s="61"/>
    </row>
    <row r="334" ht="15.75" customHeight="1">
      <c r="B334" s="61"/>
    </row>
    <row r="335" ht="15.75" customHeight="1">
      <c r="B335" s="61"/>
    </row>
    <row r="336" ht="15.75" customHeight="1">
      <c r="B336" s="61"/>
    </row>
    <row r="337" ht="15.75" customHeight="1">
      <c r="B337" s="61"/>
    </row>
    <row r="338" ht="15.75" customHeight="1">
      <c r="B338" s="61"/>
    </row>
    <row r="339" ht="15.75" customHeight="1">
      <c r="B339" s="61"/>
    </row>
    <row r="340" ht="15.75" customHeight="1">
      <c r="B340" s="61"/>
    </row>
    <row r="341" ht="15.75" customHeight="1">
      <c r="B341" s="61"/>
    </row>
    <row r="342" ht="15.75" customHeight="1">
      <c r="B342" s="61"/>
    </row>
    <row r="343" ht="15.75" customHeight="1">
      <c r="B343" s="61"/>
    </row>
    <row r="344" ht="15.75" customHeight="1">
      <c r="B344" s="61"/>
    </row>
    <row r="345" ht="15.75" customHeight="1">
      <c r="B345" s="61"/>
    </row>
    <row r="346" ht="15.75" customHeight="1">
      <c r="B346" s="61"/>
    </row>
    <row r="347" ht="15.75" customHeight="1">
      <c r="B347" s="61"/>
    </row>
    <row r="348" ht="15.75" customHeight="1">
      <c r="B348" s="61"/>
    </row>
    <row r="349" ht="15.75" customHeight="1">
      <c r="B349" s="61"/>
    </row>
    <row r="350" ht="15.75" customHeight="1">
      <c r="B350" s="61"/>
    </row>
    <row r="351" ht="15.75" customHeight="1">
      <c r="B351" s="61"/>
    </row>
    <row r="352" ht="15.75" customHeight="1">
      <c r="B352" s="61"/>
    </row>
    <row r="353" ht="15.75" customHeight="1">
      <c r="B353" s="61"/>
    </row>
    <row r="354" ht="15.75" customHeight="1">
      <c r="B354" s="61"/>
    </row>
    <row r="355" ht="15.75" customHeight="1">
      <c r="B355" s="61"/>
    </row>
    <row r="356" ht="15.75" customHeight="1">
      <c r="B356" s="61"/>
    </row>
    <row r="357" ht="15.75" customHeight="1">
      <c r="B357" s="61"/>
    </row>
    <row r="358" ht="15.75" customHeight="1">
      <c r="B358" s="61"/>
    </row>
    <row r="359" ht="15.75" customHeight="1">
      <c r="B359" s="61"/>
    </row>
    <row r="360" ht="15.75" customHeight="1">
      <c r="B360" s="61"/>
    </row>
    <row r="361" ht="15.75" customHeight="1">
      <c r="B361" s="61"/>
    </row>
    <row r="362" ht="15.75" customHeight="1">
      <c r="B362" s="61"/>
    </row>
    <row r="363" ht="15.75" customHeight="1">
      <c r="B363" s="61"/>
    </row>
    <row r="364" ht="15.75" customHeight="1">
      <c r="B364" s="61"/>
    </row>
    <row r="365" ht="15.75" customHeight="1">
      <c r="B365" s="61"/>
    </row>
    <row r="366" ht="15.75" customHeight="1">
      <c r="B366" s="61"/>
    </row>
    <row r="367" ht="15.75" customHeight="1">
      <c r="B367" s="61"/>
    </row>
    <row r="368" ht="15.75" customHeight="1">
      <c r="B368" s="61"/>
    </row>
    <row r="369" ht="15.75" customHeight="1">
      <c r="B369" s="61"/>
    </row>
    <row r="370" ht="15.75" customHeight="1">
      <c r="B370" s="61"/>
    </row>
    <row r="371" ht="15.75" customHeight="1">
      <c r="B371" s="61"/>
    </row>
    <row r="372" ht="15.75" customHeight="1">
      <c r="B372" s="61"/>
    </row>
    <row r="373" ht="15.75" customHeight="1">
      <c r="B373" s="61"/>
    </row>
    <row r="374" ht="15.75" customHeight="1">
      <c r="B374" s="61"/>
    </row>
    <row r="375" ht="15.75" customHeight="1">
      <c r="B375" s="61"/>
    </row>
    <row r="376" ht="15.75" customHeight="1">
      <c r="B376" s="61"/>
    </row>
    <row r="377" ht="15.75" customHeight="1">
      <c r="B377" s="61"/>
    </row>
    <row r="378" ht="15.75" customHeight="1">
      <c r="B378" s="61"/>
    </row>
    <row r="379" ht="15.75" customHeight="1">
      <c r="B379" s="61"/>
    </row>
    <row r="380" ht="15.75" customHeight="1">
      <c r="B380" s="61"/>
    </row>
    <row r="381" ht="15.75" customHeight="1">
      <c r="B381" s="61"/>
    </row>
    <row r="382" ht="15.75" customHeight="1">
      <c r="B382" s="61"/>
    </row>
    <row r="383" ht="15.75" customHeight="1">
      <c r="B383" s="61"/>
    </row>
    <row r="384" ht="15.75" customHeight="1">
      <c r="B384" s="61"/>
    </row>
    <row r="385" ht="15.75" customHeight="1">
      <c r="B385" s="61"/>
    </row>
    <row r="386" ht="15.75" customHeight="1">
      <c r="B386" s="61"/>
    </row>
    <row r="387" ht="15.75" customHeight="1">
      <c r="B387" s="61"/>
    </row>
    <row r="388" ht="15.75" customHeight="1">
      <c r="B388" s="61"/>
    </row>
    <row r="389" ht="15.75" customHeight="1">
      <c r="B389" s="61"/>
    </row>
    <row r="390" ht="15.75" customHeight="1">
      <c r="B390" s="61"/>
    </row>
    <row r="391" ht="15.75" customHeight="1">
      <c r="B391" s="61"/>
    </row>
    <row r="392" ht="15.75" customHeight="1">
      <c r="B392" s="61"/>
    </row>
    <row r="393" ht="15.75" customHeight="1">
      <c r="B393" s="61"/>
    </row>
    <row r="394" ht="15.75" customHeight="1">
      <c r="B394" s="61"/>
    </row>
    <row r="395" ht="15.75" customHeight="1">
      <c r="B395" s="61"/>
    </row>
    <row r="396" ht="15.75" customHeight="1">
      <c r="B396" s="61"/>
    </row>
    <row r="397" ht="15.75" customHeight="1">
      <c r="B397" s="61"/>
    </row>
    <row r="398" ht="15.75" customHeight="1">
      <c r="B398" s="61"/>
    </row>
    <row r="399" ht="15.75" customHeight="1">
      <c r="B399" s="61"/>
    </row>
    <row r="400" ht="15.75" customHeight="1">
      <c r="B400" s="61"/>
    </row>
    <row r="401" ht="15.75" customHeight="1">
      <c r="B401" s="61"/>
    </row>
    <row r="402" ht="15.75" customHeight="1">
      <c r="B402" s="61"/>
    </row>
    <row r="403" ht="15.75" customHeight="1">
      <c r="B403" s="61"/>
    </row>
    <row r="404" ht="15.75" customHeight="1">
      <c r="B404" s="61"/>
    </row>
    <row r="405" ht="15.75" customHeight="1">
      <c r="B405" s="61"/>
    </row>
    <row r="406" ht="15.75" customHeight="1">
      <c r="B406" s="61"/>
    </row>
    <row r="407" ht="15.75" customHeight="1">
      <c r="B407" s="61"/>
    </row>
    <row r="408" ht="15.75" customHeight="1">
      <c r="B408" s="61"/>
    </row>
    <row r="409" ht="15.75" customHeight="1">
      <c r="B409" s="61"/>
    </row>
    <row r="410" ht="15.75" customHeight="1">
      <c r="B410" s="61"/>
    </row>
    <row r="411" ht="15.75" customHeight="1">
      <c r="B411" s="61"/>
    </row>
    <row r="412" ht="15.75" customHeight="1">
      <c r="B412" s="61"/>
    </row>
    <row r="413" ht="15.75" customHeight="1">
      <c r="B413" s="61"/>
    </row>
    <row r="414" ht="15.75" customHeight="1">
      <c r="B414" s="61"/>
    </row>
    <row r="415" ht="15.75" customHeight="1">
      <c r="B415" s="61"/>
    </row>
    <row r="416" ht="15.75" customHeight="1">
      <c r="B416" s="61"/>
    </row>
    <row r="417" ht="15.75" customHeight="1">
      <c r="B417" s="61"/>
    </row>
    <row r="418" ht="15.75" customHeight="1">
      <c r="B418" s="61"/>
    </row>
    <row r="419" ht="15.75" customHeight="1">
      <c r="B419" s="61"/>
    </row>
    <row r="420" ht="15.75" customHeight="1">
      <c r="B420" s="61"/>
    </row>
    <row r="421" ht="15.75" customHeight="1">
      <c r="B421" s="61"/>
    </row>
    <row r="422" ht="15.75" customHeight="1">
      <c r="B422" s="61"/>
    </row>
    <row r="423" ht="15.75" customHeight="1">
      <c r="B423" s="61"/>
    </row>
    <row r="424" ht="15.75" customHeight="1">
      <c r="B424" s="61"/>
    </row>
    <row r="425" ht="15.75" customHeight="1">
      <c r="B425" s="61"/>
    </row>
    <row r="426" ht="15.75" customHeight="1">
      <c r="B426" s="61"/>
    </row>
    <row r="427" ht="15.75" customHeight="1">
      <c r="B427" s="61"/>
    </row>
    <row r="428" ht="15.75" customHeight="1">
      <c r="B428" s="61"/>
    </row>
    <row r="429" ht="15.75" customHeight="1">
      <c r="B429" s="61"/>
    </row>
    <row r="430" ht="15.75" customHeight="1">
      <c r="B430" s="61"/>
    </row>
    <row r="431" ht="15.75" customHeight="1">
      <c r="B431" s="61"/>
    </row>
    <row r="432" ht="15.75" customHeight="1">
      <c r="B432" s="61"/>
    </row>
    <row r="433" ht="15.75" customHeight="1">
      <c r="B433" s="61"/>
    </row>
    <row r="434" ht="15.75" customHeight="1">
      <c r="B434" s="61"/>
    </row>
    <row r="435" ht="15.75" customHeight="1">
      <c r="B435" s="61"/>
    </row>
    <row r="436" ht="15.75" customHeight="1">
      <c r="B436" s="61"/>
    </row>
    <row r="437" ht="15.75" customHeight="1">
      <c r="B437" s="61"/>
    </row>
    <row r="438" ht="15.75" customHeight="1">
      <c r="B438" s="61"/>
    </row>
    <row r="439" ht="15.75" customHeight="1">
      <c r="B439" s="61"/>
    </row>
    <row r="440" ht="15.75" customHeight="1">
      <c r="B440" s="61"/>
    </row>
    <row r="441" ht="15.75" customHeight="1">
      <c r="B441" s="61"/>
    </row>
    <row r="442" ht="15.75" customHeight="1">
      <c r="B442" s="61"/>
    </row>
    <row r="443" ht="15.75" customHeight="1">
      <c r="B443" s="61"/>
    </row>
    <row r="444" ht="15.75" customHeight="1">
      <c r="B444" s="61"/>
    </row>
    <row r="445" ht="15.75" customHeight="1">
      <c r="B445" s="61"/>
    </row>
    <row r="446" ht="15.75" customHeight="1">
      <c r="B446" s="61"/>
    </row>
    <row r="447" ht="15.75" customHeight="1">
      <c r="B447" s="61"/>
    </row>
    <row r="448" ht="15.75" customHeight="1">
      <c r="B448" s="61"/>
    </row>
    <row r="449" ht="15.75" customHeight="1">
      <c r="B449" s="61"/>
    </row>
    <row r="450" ht="15.75" customHeight="1">
      <c r="B450" s="61"/>
    </row>
    <row r="451" ht="15.75" customHeight="1">
      <c r="B451" s="61"/>
    </row>
    <row r="452" ht="15.75" customHeight="1">
      <c r="B452" s="61"/>
    </row>
    <row r="453" ht="15.75" customHeight="1">
      <c r="B453" s="61"/>
    </row>
    <row r="454" ht="15.75" customHeight="1">
      <c r="B454" s="61"/>
    </row>
    <row r="455" ht="15.75" customHeight="1">
      <c r="B455" s="61"/>
    </row>
    <row r="456" ht="15.75" customHeight="1">
      <c r="B456" s="61"/>
    </row>
    <row r="457" ht="15.75" customHeight="1">
      <c r="B457" s="61"/>
    </row>
    <row r="458" ht="15.75" customHeight="1">
      <c r="B458" s="61"/>
    </row>
    <row r="459" ht="15.75" customHeight="1">
      <c r="B459" s="61"/>
    </row>
    <row r="460" ht="15.75" customHeight="1">
      <c r="B460" s="61"/>
    </row>
    <row r="461" ht="15.75" customHeight="1">
      <c r="B461" s="61"/>
    </row>
    <row r="462" ht="15.75" customHeight="1">
      <c r="B462" s="61"/>
    </row>
    <row r="463" ht="15.75" customHeight="1">
      <c r="B463" s="61"/>
    </row>
    <row r="464" ht="15.75" customHeight="1">
      <c r="B464" s="61"/>
    </row>
    <row r="465" ht="15.75" customHeight="1">
      <c r="B465" s="61"/>
    </row>
    <row r="466" ht="15.75" customHeight="1">
      <c r="B466" s="61"/>
    </row>
    <row r="467" ht="15.75" customHeight="1">
      <c r="B467" s="61"/>
    </row>
    <row r="468" ht="15.75" customHeight="1">
      <c r="B468" s="61"/>
    </row>
    <row r="469" ht="15.75" customHeight="1">
      <c r="B469" s="61"/>
    </row>
    <row r="470" ht="15.75" customHeight="1">
      <c r="B470" s="61"/>
    </row>
    <row r="471" ht="15.75" customHeight="1">
      <c r="B471" s="61"/>
    </row>
    <row r="472" ht="15.75" customHeight="1">
      <c r="B472" s="61"/>
    </row>
    <row r="473" ht="15.75" customHeight="1">
      <c r="B473" s="61"/>
    </row>
    <row r="474" ht="15.75" customHeight="1">
      <c r="B474" s="61"/>
    </row>
    <row r="475" ht="15.75" customHeight="1">
      <c r="B475" s="61"/>
    </row>
    <row r="476" ht="15.75" customHeight="1">
      <c r="B476" s="61"/>
    </row>
    <row r="477" ht="15.75" customHeight="1">
      <c r="B477" s="61"/>
    </row>
    <row r="478" ht="15.75" customHeight="1">
      <c r="B478" s="61"/>
    </row>
    <row r="479" ht="15.75" customHeight="1">
      <c r="B479" s="61"/>
    </row>
    <row r="480" ht="15.75" customHeight="1">
      <c r="B480" s="61"/>
    </row>
    <row r="481" ht="15.75" customHeight="1">
      <c r="B481" s="61"/>
    </row>
    <row r="482" ht="15.75" customHeight="1">
      <c r="B482" s="61"/>
    </row>
    <row r="483" ht="15.75" customHeight="1">
      <c r="B483" s="61"/>
    </row>
    <row r="484" ht="15.75" customHeight="1">
      <c r="B484" s="61"/>
    </row>
    <row r="485" ht="15.75" customHeight="1">
      <c r="B485" s="61"/>
    </row>
    <row r="486" ht="15.75" customHeight="1">
      <c r="B486" s="61"/>
    </row>
    <row r="487" ht="15.75" customHeight="1">
      <c r="B487" s="61"/>
    </row>
    <row r="488" ht="15.75" customHeight="1">
      <c r="B488" s="61"/>
    </row>
    <row r="489" ht="15.75" customHeight="1">
      <c r="B489" s="61"/>
    </row>
    <row r="490" ht="15.75" customHeight="1">
      <c r="B490" s="61"/>
    </row>
    <row r="491" ht="15.75" customHeight="1">
      <c r="B491" s="61"/>
    </row>
    <row r="492" ht="15.75" customHeight="1">
      <c r="B492" s="61"/>
    </row>
    <row r="493" ht="15.75" customHeight="1">
      <c r="B493" s="61"/>
    </row>
    <row r="494" ht="15.75" customHeight="1">
      <c r="B494" s="61"/>
    </row>
    <row r="495" ht="15.75" customHeight="1">
      <c r="B495" s="61"/>
    </row>
    <row r="496" ht="15.75" customHeight="1">
      <c r="B496" s="61"/>
    </row>
    <row r="497" ht="15.75" customHeight="1">
      <c r="B497" s="61"/>
    </row>
    <row r="498" ht="15.75" customHeight="1">
      <c r="B498" s="61"/>
    </row>
    <row r="499" ht="15.75" customHeight="1">
      <c r="B499" s="61"/>
    </row>
    <row r="500" ht="15.75" customHeight="1">
      <c r="B500" s="61"/>
    </row>
    <row r="501" ht="15.75" customHeight="1">
      <c r="B501" s="61"/>
    </row>
    <row r="502" ht="15.75" customHeight="1">
      <c r="B502" s="61"/>
    </row>
    <row r="503" ht="15.75" customHeight="1">
      <c r="B503" s="61"/>
    </row>
    <row r="504" ht="15.75" customHeight="1">
      <c r="B504" s="61"/>
    </row>
    <row r="505" ht="15.75" customHeight="1">
      <c r="B505" s="61"/>
    </row>
    <row r="506" ht="15.75" customHeight="1">
      <c r="B506" s="61"/>
    </row>
    <row r="507" ht="15.75" customHeight="1">
      <c r="B507" s="61"/>
    </row>
    <row r="508" ht="15.75" customHeight="1">
      <c r="B508" s="61"/>
    </row>
    <row r="509" ht="15.75" customHeight="1">
      <c r="B509" s="61"/>
    </row>
    <row r="510" ht="15.75" customHeight="1">
      <c r="B510" s="61"/>
    </row>
    <row r="511" ht="15.75" customHeight="1">
      <c r="B511" s="61"/>
    </row>
    <row r="512" ht="15.75" customHeight="1">
      <c r="B512" s="61"/>
    </row>
    <row r="513" ht="15.75" customHeight="1">
      <c r="B513" s="61"/>
    </row>
    <row r="514" ht="15.75" customHeight="1">
      <c r="B514" s="61"/>
    </row>
    <row r="515" ht="15.75" customHeight="1">
      <c r="B515" s="61"/>
    </row>
    <row r="516" ht="15.75" customHeight="1">
      <c r="B516" s="61"/>
    </row>
    <row r="517" ht="15.75" customHeight="1">
      <c r="B517" s="61"/>
    </row>
    <row r="518" ht="15.75" customHeight="1">
      <c r="B518" s="61"/>
    </row>
    <row r="519" ht="15.75" customHeight="1">
      <c r="B519" s="61"/>
    </row>
    <row r="520" ht="15.75" customHeight="1">
      <c r="B520" s="61"/>
    </row>
    <row r="521" ht="15.75" customHeight="1">
      <c r="B521" s="61"/>
    </row>
    <row r="522" ht="15.75" customHeight="1">
      <c r="B522" s="61"/>
    </row>
    <row r="523" ht="15.75" customHeight="1">
      <c r="B523" s="61"/>
    </row>
    <row r="524" ht="15.75" customHeight="1">
      <c r="B524" s="61"/>
    </row>
    <row r="525" ht="15.75" customHeight="1">
      <c r="B525" s="61"/>
    </row>
    <row r="526" ht="15.75" customHeight="1">
      <c r="B526" s="61"/>
    </row>
    <row r="527" ht="15.75" customHeight="1">
      <c r="B527" s="61"/>
    </row>
    <row r="528" ht="15.75" customHeight="1">
      <c r="B528" s="61"/>
    </row>
    <row r="529" ht="15.75" customHeight="1">
      <c r="B529" s="61"/>
    </row>
    <row r="530" ht="15.75" customHeight="1">
      <c r="B530" s="61"/>
    </row>
    <row r="531" ht="15.75" customHeight="1">
      <c r="B531" s="61"/>
    </row>
    <row r="532" ht="15.75" customHeight="1">
      <c r="B532" s="61"/>
    </row>
    <row r="533" ht="15.75" customHeight="1">
      <c r="B533" s="61"/>
    </row>
    <row r="534" ht="15.75" customHeight="1">
      <c r="B534" s="61"/>
    </row>
    <row r="535" ht="15.75" customHeight="1">
      <c r="B535" s="61"/>
    </row>
    <row r="536" ht="15.75" customHeight="1">
      <c r="B536" s="61"/>
    </row>
    <row r="537" ht="15.75" customHeight="1">
      <c r="B537" s="61"/>
    </row>
    <row r="538" ht="15.75" customHeight="1">
      <c r="B538" s="61"/>
    </row>
    <row r="539" ht="15.75" customHeight="1">
      <c r="B539" s="61"/>
    </row>
    <row r="540" ht="15.75" customHeight="1">
      <c r="B540" s="61"/>
    </row>
    <row r="541" ht="15.75" customHeight="1">
      <c r="B541" s="61"/>
    </row>
    <row r="542" ht="15.75" customHeight="1">
      <c r="B542" s="61"/>
    </row>
    <row r="543" ht="15.75" customHeight="1">
      <c r="B543" s="61"/>
    </row>
    <row r="544" ht="15.75" customHeight="1">
      <c r="B544" s="61"/>
    </row>
    <row r="545" ht="15.75" customHeight="1">
      <c r="B545" s="61"/>
    </row>
    <row r="546" ht="15.75" customHeight="1">
      <c r="B546" s="61"/>
    </row>
    <row r="547" ht="15.75" customHeight="1">
      <c r="B547" s="61"/>
    </row>
    <row r="548" ht="15.75" customHeight="1">
      <c r="B548" s="61"/>
    </row>
    <row r="549" ht="15.75" customHeight="1">
      <c r="B549" s="61"/>
    </row>
    <row r="550" ht="15.75" customHeight="1">
      <c r="B550" s="61"/>
    </row>
    <row r="551" ht="15.75" customHeight="1">
      <c r="B551" s="61"/>
    </row>
    <row r="552" ht="15.75" customHeight="1">
      <c r="B552" s="61"/>
    </row>
    <row r="553" ht="15.75" customHeight="1">
      <c r="B553" s="61"/>
    </row>
    <row r="554" ht="15.75" customHeight="1">
      <c r="B554" s="61"/>
    </row>
    <row r="555" ht="15.75" customHeight="1">
      <c r="B555" s="61"/>
    </row>
    <row r="556" ht="15.75" customHeight="1">
      <c r="B556" s="61"/>
    </row>
    <row r="557" ht="15.75" customHeight="1">
      <c r="B557" s="61"/>
    </row>
    <row r="558" ht="15.75" customHeight="1">
      <c r="B558" s="61"/>
    </row>
    <row r="559" ht="15.75" customHeight="1">
      <c r="B559" s="61"/>
    </row>
    <row r="560" ht="15.75" customHeight="1">
      <c r="B560" s="61"/>
    </row>
    <row r="561" ht="15.75" customHeight="1">
      <c r="B561" s="61"/>
    </row>
    <row r="562" ht="15.75" customHeight="1">
      <c r="B562" s="61"/>
    </row>
    <row r="563" ht="15.75" customHeight="1">
      <c r="B563" s="61"/>
    </row>
    <row r="564" ht="15.75" customHeight="1">
      <c r="B564" s="61"/>
    </row>
    <row r="565" ht="15.75" customHeight="1">
      <c r="B565" s="61"/>
    </row>
    <row r="566" ht="15.75" customHeight="1">
      <c r="B566" s="61"/>
    </row>
    <row r="567" ht="15.75" customHeight="1">
      <c r="B567" s="61"/>
    </row>
    <row r="568" ht="15.75" customHeight="1">
      <c r="B568" s="61"/>
    </row>
    <row r="569" ht="15.75" customHeight="1">
      <c r="B569" s="61"/>
    </row>
    <row r="570" ht="15.75" customHeight="1">
      <c r="B570" s="61"/>
    </row>
    <row r="571" ht="15.75" customHeight="1">
      <c r="B571" s="61"/>
    </row>
    <row r="572" ht="15.75" customHeight="1">
      <c r="B572" s="61"/>
    </row>
    <row r="573" ht="15.75" customHeight="1">
      <c r="B573" s="61"/>
    </row>
    <row r="574" ht="15.75" customHeight="1">
      <c r="B574" s="61"/>
    </row>
    <row r="575" ht="15.75" customHeight="1">
      <c r="B575" s="61"/>
    </row>
    <row r="576" ht="15.75" customHeight="1">
      <c r="B576" s="61"/>
    </row>
    <row r="577" ht="15.75" customHeight="1">
      <c r="B577" s="61"/>
    </row>
    <row r="578" ht="15.75" customHeight="1">
      <c r="B578" s="61"/>
    </row>
    <row r="579" ht="15.75" customHeight="1">
      <c r="B579" s="61"/>
    </row>
    <row r="580" ht="15.75" customHeight="1">
      <c r="B580" s="61"/>
    </row>
    <row r="581" ht="15.75" customHeight="1">
      <c r="B581" s="61"/>
    </row>
    <row r="582" ht="15.75" customHeight="1">
      <c r="B582" s="61"/>
    </row>
    <row r="583" ht="15.75" customHeight="1">
      <c r="B583" s="61"/>
    </row>
    <row r="584" ht="15.75" customHeight="1">
      <c r="B584" s="61"/>
    </row>
    <row r="585" ht="15.75" customHeight="1">
      <c r="B585" s="61"/>
    </row>
    <row r="586" ht="15.75" customHeight="1">
      <c r="B586" s="61"/>
    </row>
    <row r="587" ht="15.75" customHeight="1">
      <c r="B587" s="61"/>
    </row>
    <row r="588" ht="15.75" customHeight="1">
      <c r="B588" s="61"/>
    </row>
    <row r="589" ht="15.75" customHeight="1">
      <c r="B589" s="61"/>
    </row>
    <row r="590" ht="15.75" customHeight="1">
      <c r="B590" s="61"/>
    </row>
    <row r="591" ht="15.75" customHeight="1">
      <c r="B591" s="61"/>
    </row>
    <row r="592" ht="15.75" customHeight="1">
      <c r="B592" s="61"/>
    </row>
    <row r="593" ht="15.75" customHeight="1">
      <c r="B593" s="61"/>
    </row>
    <row r="594" ht="15.75" customHeight="1">
      <c r="B594" s="61"/>
    </row>
    <row r="595" ht="15.75" customHeight="1">
      <c r="B595" s="61"/>
    </row>
    <row r="596" ht="15.75" customHeight="1">
      <c r="B596" s="61"/>
    </row>
    <row r="597" ht="15.75" customHeight="1">
      <c r="B597" s="61"/>
    </row>
    <row r="598" ht="15.75" customHeight="1">
      <c r="B598" s="61"/>
    </row>
    <row r="599" ht="15.75" customHeight="1">
      <c r="B599" s="61"/>
    </row>
    <row r="600" ht="15.75" customHeight="1">
      <c r="B600" s="61"/>
    </row>
    <row r="601" ht="15.75" customHeight="1">
      <c r="B601" s="61"/>
    </row>
    <row r="602" ht="15.75" customHeight="1">
      <c r="B602" s="61"/>
    </row>
    <row r="603" ht="15.75" customHeight="1">
      <c r="B603" s="61"/>
    </row>
    <row r="604" ht="15.75" customHeight="1">
      <c r="B604" s="61"/>
    </row>
    <row r="605" ht="15.75" customHeight="1">
      <c r="B605" s="61"/>
    </row>
    <row r="606" ht="15.75" customHeight="1">
      <c r="B606" s="61"/>
    </row>
    <row r="607" ht="15.75" customHeight="1">
      <c r="B607" s="61"/>
    </row>
    <row r="608" ht="15.75" customHeight="1">
      <c r="B608" s="61"/>
    </row>
    <row r="609" ht="15.75" customHeight="1">
      <c r="B609" s="61"/>
    </row>
    <row r="610" ht="15.75" customHeight="1">
      <c r="B610" s="61"/>
    </row>
    <row r="611" ht="15.75" customHeight="1">
      <c r="B611" s="61"/>
    </row>
    <row r="612" ht="15.75" customHeight="1">
      <c r="B612" s="61"/>
    </row>
    <row r="613" ht="15.75" customHeight="1">
      <c r="B613" s="61"/>
    </row>
    <row r="614" ht="15.75" customHeight="1">
      <c r="B614" s="61"/>
    </row>
    <row r="615" ht="15.75" customHeight="1">
      <c r="B615" s="61"/>
    </row>
    <row r="616" ht="15.75" customHeight="1">
      <c r="B616" s="61"/>
    </row>
    <row r="617" ht="15.75" customHeight="1">
      <c r="B617" s="61"/>
    </row>
    <row r="618" ht="15.75" customHeight="1">
      <c r="B618" s="61"/>
    </row>
    <row r="619" ht="15.75" customHeight="1">
      <c r="B619" s="61"/>
    </row>
    <row r="620" ht="15.75" customHeight="1">
      <c r="B620" s="61"/>
    </row>
    <row r="621" ht="15.75" customHeight="1">
      <c r="B621" s="61"/>
    </row>
    <row r="622" ht="15.75" customHeight="1">
      <c r="B622" s="61"/>
    </row>
    <row r="623" ht="15.75" customHeight="1">
      <c r="B623" s="61"/>
    </row>
    <row r="624" ht="15.75" customHeight="1">
      <c r="B624" s="61"/>
    </row>
    <row r="625" ht="15.75" customHeight="1">
      <c r="B625" s="61"/>
    </row>
    <row r="626" ht="15.75" customHeight="1">
      <c r="B626" s="61"/>
    </row>
    <row r="627" ht="15.75" customHeight="1">
      <c r="B627" s="61"/>
    </row>
    <row r="628" ht="15.75" customHeight="1">
      <c r="B628" s="61"/>
    </row>
    <row r="629" ht="15.75" customHeight="1">
      <c r="B629" s="61"/>
    </row>
    <row r="630" ht="15.75" customHeight="1">
      <c r="B630" s="61"/>
    </row>
    <row r="631" ht="15.75" customHeight="1">
      <c r="B631" s="61"/>
    </row>
    <row r="632" ht="15.75" customHeight="1">
      <c r="B632" s="61"/>
    </row>
    <row r="633" ht="15.75" customHeight="1">
      <c r="B633" s="61"/>
    </row>
    <row r="634" ht="15.75" customHeight="1">
      <c r="B634" s="61"/>
    </row>
    <row r="635" ht="15.75" customHeight="1">
      <c r="B635" s="61"/>
    </row>
    <row r="636" ht="15.75" customHeight="1">
      <c r="B636" s="61"/>
    </row>
    <row r="637" ht="15.75" customHeight="1">
      <c r="B637" s="61"/>
    </row>
    <row r="638" ht="15.75" customHeight="1">
      <c r="B638" s="61"/>
    </row>
    <row r="639" ht="15.75" customHeight="1">
      <c r="B639" s="61"/>
    </row>
    <row r="640" ht="15.75" customHeight="1">
      <c r="B640" s="61"/>
    </row>
    <row r="641" ht="15.75" customHeight="1">
      <c r="B641" s="61"/>
    </row>
    <row r="642" ht="15.75" customHeight="1">
      <c r="B642" s="61"/>
    </row>
    <row r="643" ht="15.75" customHeight="1">
      <c r="B643" s="61"/>
    </row>
    <row r="644" ht="15.75" customHeight="1">
      <c r="B644" s="61"/>
    </row>
    <row r="645" ht="15.75" customHeight="1">
      <c r="B645" s="61"/>
    </row>
    <row r="646" ht="15.75" customHeight="1">
      <c r="B646" s="61"/>
    </row>
    <row r="647" ht="15.75" customHeight="1">
      <c r="B647" s="61"/>
    </row>
    <row r="648" ht="15.75" customHeight="1">
      <c r="B648" s="61"/>
    </row>
    <row r="649" ht="15.75" customHeight="1">
      <c r="B649" s="61"/>
    </row>
    <row r="650" ht="15.75" customHeight="1">
      <c r="B650" s="61"/>
    </row>
    <row r="651" ht="15.75" customHeight="1">
      <c r="B651" s="61"/>
    </row>
    <row r="652" ht="15.75" customHeight="1">
      <c r="B652" s="61"/>
    </row>
    <row r="653" ht="15.75" customHeight="1">
      <c r="B653" s="61"/>
    </row>
    <row r="654" ht="15.75" customHeight="1">
      <c r="B654" s="61"/>
    </row>
    <row r="655" ht="15.75" customHeight="1">
      <c r="B655" s="61"/>
    </row>
    <row r="656" ht="15.75" customHeight="1">
      <c r="B656" s="61"/>
    </row>
    <row r="657" ht="15.75" customHeight="1">
      <c r="B657" s="61"/>
    </row>
    <row r="658" ht="15.75" customHeight="1">
      <c r="B658" s="61"/>
    </row>
    <row r="659" ht="15.75" customHeight="1">
      <c r="B659" s="61"/>
    </row>
    <row r="660" ht="15.75" customHeight="1">
      <c r="B660" s="61"/>
    </row>
    <row r="661" ht="15.75" customHeight="1">
      <c r="B661" s="61"/>
    </row>
    <row r="662" ht="15.75" customHeight="1">
      <c r="B662" s="61"/>
    </row>
    <row r="663" ht="15.75" customHeight="1">
      <c r="B663" s="61"/>
    </row>
    <row r="664" ht="15.75" customHeight="1">
      <c r="B664" s="61"/>
    </row>
    <row r="665" ht="15.75" customHeight="1">
      <c r="B665" s="61"/>
    </row>
    <row r="666" ht="15.75" customHeight="1">
      <c r="B666" s="61"/>
    </row>
    <row r="667" ht="15.75" customHeight="1">
      <c r="B667" s="61"/>
    </row>
    <row r="668" ht="15.75" customHeight="1">
      <c r="B668" s="61"/>
    </row>
    <row r="669" ht="15.75" customHeight="1">
      <c r="B669" s="61"/>
    </row>
    <row r="670" ht="15.75" customHeight="1">
      <c r="B670" s="61"/>
    </row>
    <row r="671" ht="15.75" customHeight="1">
      <c r="B671" s="61"/>
    </row>
    <row r="672" ht="15.75" customHeight="1">
      <c r="B672" s="61"/>
    </row>
    <row r="673" ht="15.75" customHeight="1">
      <c r="B673" s="61"/>
    </row>
    <row r="674" ht="15.75" customHeight="1">
      <c r="B674" s="61"/>
    </row>
    <row r="675" ht="15.75" customHeight="1">
      <c r="B675" s="61"/>
    </row>
    <row r="676" ht="15.75" customHeight="1">
      <c r="B676" s="61"/>
    </row>
    <row r="677" ht="15.75" customHeight="1">
      <c r="B677" s="61"/>
    </row>
    <row r="678" ht="15.75" customHeight="1">
      <c r="B678" s="61"/>
    </row>
    <row r="679" ht="15.75" customHeight="1">
      <c r="B679" s="61"/>
    </row>
    <row r="680" ht="15.75" customHeight="1">
      <c r="B680" s="61"/>
    </row>
    <row r="681" ht="15.75" customHeight="1">
      <c r="B681" s="61"/>
    </row>
    <row r="682" ht="15.75" customHeight="1">
      <c r="B682" s="61"/>
    </row>
    <row r="683" ht="15.75" customHeight="1">
      <c r="B683" s="61"/>
    </row>
    <row r="684" ht="15.75" customHeight="1">
      <c r="B684" s="61"/>
    </row>
    <row r="685" ht="15.75" customHeight="1">
      <c r="B685" s="61"/>
    </row>
    <row r="686" ht="15.75" customHeight="1">
      <c r="B686" s="61"/>
    </row>
    <row r="687" ht="15.75" customHeight="1">
      <c r="B687" s="61"/>
    </row>
    <row r="688" ht="15.75" customHeight="1">
      <c r="B688" s="61"/>
    </row>
    <row r="689" ht="15.75" customHeight="1">
      <c r="B689" s="61"/>
    </row>
    <row r="690" ht="15.75" customHeight="1">
      <c r="B690" s="61"/>
    </row>
    <row r="691" ht="15.75" customHeight="1">
      <c r="B691" s="61"/>
    </row>
    <row r="692" ht="15.75" customHeight="1">
      <c r="B692" s="61"/>
    </row>
    <row r="693" ht="15.75" customHeight="1">
      <c r="B693" s="61"/>
    </row>
    <row r="694" ht="15.75" customHeight="1">
      <c r="B694" s="61"/>
    </row>
    <row r="695" ht="15.75" customHeight="1">
      <c r="B695" s="61"/>
    </row>
    <row r="696" ht="15.75" customHeight="1">
      <c r="B696" s="61"/>
    </row>
    <row r="697" ht="15.75" customHeight="1">
      <c r="B697" s="61"/>
    </row>
    <row r="698" ht="15.75" customHeight="1">
      <c r="B698" s="61"/>
    </row>
    <row r="699" ht="15.75" customHeight="1">
      <c r="B699" s="61"/>
    </row>
    <row r="700" ht="15.75" customHeight="1">
      <c r="B700" s="61"/>
    </row>
    <row r="701" ht="15.75" customHeight="1">
      <c r="B701" s="61"/>
    </row>
    <row r="702" ht="15.75" customHeight="1">
      <c r="B702" s="61"/>
    </row>
    <row r="703" ht="15.75" customHeight="1">
      <c r="B703" s="61"/>
    </row>
    <row r="704" ht="15.75" customHeight="1">
      <c r="B704" s="61"/>
    </row>
    <row r="705" ht="15.75" customHeight="1">
      <c r="B705" s="61"/>
    </row>
    <row r="706" ht="15.75" customHeight="1">
      <c r="B706" s="61"/>
    </row>
    <row r="707" ht="15.75" customHeight="1">
      <c r="B707" s="61"/>
    </row>
    <row r="708" ht="15.75" customHeight="1">
      <c r="B708" s="61"/>
    </row>
    <row r="709" ht="15.75" customHeight="1">
      <c r="B709" s="61"/>
    </row>
    <row r="710" ht="15.75" customHeight="1">
      <c r="B710" s="61"/>
    </row>
    <row r="711" ht="15.75" customHeight="1">
      <c r="B711" s="61"/>
    </row>
    <row r="712" ht="15.75" customHeight="1">
      <c r="B712" s="61"/>
    </row>
    <row r="713" ht="15.75" customHeight="1">
      <c r="B713" s="61"/>
    </row>
    <row r="714" ht="15.75" customHeight="1">
      <c r="B714" s="61"/>
    </row>
    <row r="715" ht="15.75" customHeight="1">
      <c r="B715" s="61"/>
    </row>
    <row r="716" ht="15.75" customHeight="1">
      <c r="B716" s="61"/>
    </row>
    <row r="717" ht="15.75" customHeight="1">
      <c r="B717" s="61"/>
    </row>
    <row r="718" ht="15.75" customHeight="1">
      <c r="B718" s="61"/>
    </row>
    <row r="719" ht="15.75" customHeight="1">
      <c r="B719" s="61"/>
    </row>
    <row r="720" ht="15.75" customHeight="1">
      <c r="B720" s="61"/>
    </row>
    <row r="721" ht="15.75" customHeight="1">
      <c r="B721" s="61"/>
    </row>
    <row r="722" ht="15.75" customHeight="1">
      <c r="B722" s="61"/>
    </row>
    <row r="723" ht="15.75" customHeight="1">
      <c r="B723" s="61"/>
    </row>
    <row r="724" ht="15.75" customHeight="1">
      <c r="B724" s="61"/>
    </row>
    <row r="725" ht="15.75" customHeight="1">
      <c r="B725" s="61"/>
    </row>
    <row r="726" ht="15.75" customHeight="1">
      <c r="B726" s="61"/>
    </row>
    <row r="727" ht="15.75" customHeight="1">
      <c r="B727" s="61"/>
    </row>
    <row r="728" ht="15.75" customHeight="1">
      <c r="B728" s="61"/>
    </row>
    <row r="729" ht="15.75" customHeight="1">
      <c r="B729" s="61"/>
    </row>
    <row r="730" ht="15.75" customHeight="1">
      <c r="B730" s="61"/>
    </row>
    <row r="731" ht="15.75" customHeight="1">
      <c r="B731" s="61"/>
    </row>
    <row r="732" ht="15.75" customHeight="1">
      <c r="B732" s="61"/>
    </row>
    <row r="733" ht="15.75" customHeight="1">
      <c r="B733" s="61"/>
    </row>
    <row r="734" ht="15.75" customHeight="1">
      <c r="B734" s="61"/>
    </row>
    <row r="735" ht="15.75" customHeight="1">
      <c r="B735" s="61"/>
    </row>
    <row r="736" ht="15.75" customHeight="1">
      <c r="B736" s="61"/>
    </row>
    <row r="737" ht="15.75" customHeight="1">
      <c r="B737" s="61"/>
    </row>
    <row r="738" ht="15.75" customHeight="1">
      <c r="B738" s="61"/>
    </row>
    <row r="739" ht="15.75" customHeight="1">
      <c r="B739" s="61"/>
    </row>
    <row r="740" ht="15.75" customHeight="1">
      <c r="B740" s="61"/>
    </row>
    <row r="741" ht="15.75" customHeight="1">
      <c r="B741" s="61"/>
    </row>
    <row r="742" ht="15.75" customHeight="1">
      <c r="B742" s="61"/>
    </row>
    <row r="743" ht="15.75" customHeight="1">
      <c r="B743" s="61"/>
    </row>
    <row r="744" ht="15.75" customHeight="1">
      <c r="B744" s="61"/>
    </row>
    <row r="745" ht="15.75" customHeight="1">
      <c r="B745" s="61"/>
    </row>
    <row r="746" ht="15.75" customHeight="1">
      <c r="B746" s="61"/>
    </row>
    <row r="747" ht="15.75" customHeight="1">
      <c r="B747" s="61"/>
    </row>
    <row r="748" ht="15.75" customHeight="1">
      <c r="B748" s="61"/>
    </row>
    <row r="749" ht="15.75" customHeight="1">
      <c r="B749" s="61"/>
    </row>
    <row r="750" ht="15.75" customHeight="1">
      <c r="B750" s="61"/>
    </row>
    <row r="751" ht="15.75" customHeight="1">
      <c r="B751" s="61"/>
    </row>
    <row r="752" ht="15.75" customHeight="1">
      <c r="B752" s="61"/>
    </row>
    <row r="753" ht="15.75" customHeight="1">
      <c r="B753" s="61"/>
    </row>
    <row r="754" ht="15.75" customHeight="1">
      <c r="B754" s="61"/>
    </row>
    <row r="755" ht="15.75" customHeight="1">
      <c r="B755" s="61"/>
    </row>
    <row r="756" ht="15.75" customHeight="1">
      <c r="B756" s="61"/>
    </row>
    <row r="757" ht="15.75" customHeight="1">
      <c r="B757" s="61"/>
    </row>
    <row r="758" ht="15.75" customHeight="1">
      <c r="B758" s="61"/>
    </row>
    <row r="759" ht="15.75" customHeight="1">
      <c r="B759" s="61"/>
    </row>
    <row r="760" ht="15.75" customHeight="1">
      <c r="B760" s="61"/>
    </row>
    <row r="761" ht="15.75" customHeight="1">
      <c r="B761" s="61"/>
    </row>
    <row r="762" ht="15.75" customHeight="1">
      <c r="B762" s="61"/>
    </row>
    <row r="763" ht="15.75" customHeight="1">
      <c r="B763" s="61"/>
    </row>
    <row r="764" ht="15.75" customHeight="1">
      <c r="B764" s="61"/>
    </row>
    <row r="765" ht="15.75" customHeight="1">
      <c r="B765" s="61"/>
    </row>
    <row r="766" ht="15.75" customHeight="1">
      <c r="B766" s="61"/>
    </row>
    <row r="767" ht="15.75" customHeight="1">
      <c r="B767" s="61"/>
    </row>
    <row r="768" ht="15.75" customHeight="1">
      <c r="B768" s="61"/>
    </row>
    <row r="769" ht="15.75" customHeight="1">
      <c r="B769" s="61"/>
    </row>
    <row r="770" ht="15.75" customHeight="1">
      <c r="B770" s="61"/>
    </row>
    <row r="771" ht="15.75" customHeight="1">
      <c r="B771" s="61"/>
    </row>
    <row r="772" ht="15.75" customHeight="1">
      <c r="B772" s="61"/>
    </row>
    <row r="773" ht="15.75" customHeight="1">
      <c r="B773" s="61"/>
    </row>
    <row r="774" ht="15.75" customHeight="1">
      <c r="B774" s="61"/>
    </row>
    <row r="775" ht="15.75" customHeight="1">
      <c r="B775" s="61"/>
    </row>
    <row r="776" ht="15.75" customHeight="1">
      <c r="B776" s="61"/>
    </row>
    <row r="777" ht="15.75" customHeight="1">
      <c r="B777" s="61"/>
    </row>
    <row r="778" ht="15.75" customHeight="1">
      <c r="B778" s="61"/>
    </row>
    <row r="779" ht="15.75" customHeight="1">
      <c r="B779" s="61"/>
    </row>
    <row r="780" ht="15.75" customHeight="1">
      <c r="B780" s="61"/>
    </row>
    <row r="781" ht="15.75" customHeight="1">
      <c r="B781" s="61"/>
    </row>
    <row r="782" ht="15.75" customHeight="1">
      <c r="B782" s="61"/>
    </row>
    <row r="783" ht="15.75" customHeight="1">
      <c r="B783" s="61"/>
    </row>
    <row r="784" ht="15.75" customHeight="1">
      <c r="B784" s="61"/>
    </row>
    <row r="785" ht="15.75" customHeight="1">
      <c r="B785" s="61"/>
    </row>
    <row r="786" ht="15.75" customHeight="1">
      <c r="B786" s="61"/>
    </row>
    <row r="787" ht="15.75" customHeight="1">
      <c r="B787" s="61"/>
    </row>
    <row r="788" ht="15.75" customHeight="1">
      <c r="B788" s="61"/>
    </row>
    <row r="789" ht="15.75" customHeight="1">
      <c r="B789" s="61"/>
    </row>
    <row r="790" ht="15.75" customHeight="1">
      <c r="B790" s="61"/>
    </row>
    <row r="791" ht="15.75" customHeight="1">
      <c r="B791" s="61"/>
    </row>
    <row r="792" ht="15.75" customHeight="1">
      <c r="B792" s="61"/>
    </row>
    <row r="793" ht="15.75" customHeight="1">
      <c r="B793" s="61"/>
    </row>
    <row r="794" ht="15.75" customHeight="1">
      <c r="B794" s="61"/>
    </row>
    <row r="795" ht="15.75" customHeight="1">
      <c r="B795" s="61"/>
    </row>
    <row r="796" ht="15.75" customHeight="1">
      <c r="B796" s="61"/>
    </row>
    <row r="797" ht="15.75" customHeight="1">
      <c r="B797" s="61"/>
    </row>
    <row r="798" ht="15.75" customHeight="1">
      <c r="B798" s="61"/>
    </row>
    <row r="799" ht="15.75" customHeight="1">
      <c r="B799" s="61"/>
    </row>
    <row r="800" ht="15.75" customHeight="1">
      <c r="B800" s="61"/>
    </row>
    <row r="801" ht="15.75" customHeight="1">
      <c r="B801" s="61"/>
    </row>
    <row r="802" ht="15.75" customHeight="1">
      <c r="B802" s="61"/>
    </row>
    <row r="803" ht="15.75" customHeight="1">
      <c r="B803" s="61"/>
    </row>
    <row r="804" ht="15.75" customHeight="1">
      <c r="B804" s="61"/>
    </row>
    <row r="805" ht="15.75" customHeight="1">
      <c r="B805" s="61"/>
    </row>
    <row r="806" ht="15.75" customHeight="1">
      <c r="B806" s="61"/>
    </row>
    <row r="807" ht="15.75" customHeight="1">
      <c r="B807" s="61"/>
    </row>
    <row r="808" ht="15.75" customHeight="1">
      <c r="B808" s="61"/>
    </row>
    <row r="809" ht="15.75" customHeight="1">
      <c r="B809" s="61"/>
    </row>
    <row r="810" ht="15.75" customHeight="1">
      <c r="B810" s="61"/>
    </row>
    <row r="811" ht="15.75" customHeight="1">
      <c r="B811" s="61"/>
    </row>
    <row r="812" ht="15.75" customHeight="1">
      <c r="B812" s="61"/>
    </row>
    <row r="813" ht="15.75" customHeight="1">
      <c r="B813" s="61"/>
    </row>
    <row r="814" ht="15.75" customHeight="1">
      <c r="B814" s="61"/>
    </row>
    <row r="815" ht="15.75" customHeight="1">
      <c r="B815" s="61"/>
    </row>
    <row r="816" ht="15.75" customHeight="1">
      <c r="B816" s="61"/>
    </row>
    <row r="817" ht="15.75" customHeight="1">
      <c r="B817" s="61"/>
    </row>
    <row r="818" ht="15.75" customHeight="1">
      <c r="B818" s="61"/>
    </row>
    <row r="819" ht="15.75" customHeight="1">
      <c r="B819" s="61"/>
    </row>
    <row r="820" ht="15.75" customHeight="1">
      <c r="B820" s="61"/>
    </row>
    <row r="821" ht="15.75" customHeight="1">
      <c r="B821" s="61"/>
    </row>
    <row r="822" ht="15.75" customHeight="1">
      <c r="B822" s="61"/>
    </row>
    <row r="823" ht="15.75" customHeight="1">
      <c r="B823" s="61"/>
    </row>
    <row r="824" ht="15.75" customHeight="1">
      <c r="B824" s="61"/>
    </row>
    <row r="825" ht="15.75" customHeight="1">
      <c r="B825" s="61"/>
    </row>
    <row r="826" ht="15.75" customHeight="1">
      <c r="B826" s="61"/>
    </row>
    <row r="827" ht="15.75" customHeight="1">
      <c r="B827" s="61"/>
    </row>
    <row r="828" ht="15.75" customHeight="1">
      <c r="B828" s="61"/>
    </row>
    <row r="829" ht="15.75" customHeight="1">
      <c r="B829" s="61"/>
    </row>
    <row r="830" ht="15.75" customHeight="1">
      <c r="B830" s="61"/>
    </row>
    <row r="831" ht="15.75" customHeight="1">
      <c r="B831" s="61"/>
    </row>
    <row r="832" ht="15.75" customHeight="1">
      <c r="B832" s="61"/>
    </row>
    <row r="833" ht="15.75" customHeight="1">
      <c r="B833" s="61"/>
    </row>
    <row r="834" ht="15.75" customHeight="1">
      <c r="B834" s="61"/>
    </row>
    <row r="835" ht="15.75" customHeight="1">
      <c r="B835" s="61"/>
    </row>
    <row r="836" ht="15.75" customHeight="1">
      <c r="B836" s="61"/>
    </row>
    <row r="837" ht="15.75" customHeight="1">
      <c r="B837" s="61"/>
    </row>
    <row r="838" ht="15.75" customHeight="1">
      <c r="B838" s="61"/>
    </row>
    <row r="839" ht="15.75" customHeight="1">
      <c r="B839" s="61"/>
    </row>
    <row r="840" ht="15.75" customHeight="1">
      <c r="B840" s="61"/>
    </row>
    <row r="841" ht="15.75" customHeight="1">
      <c r="B841" s="61"/>
    </row>
    <row r="842" ht="15.75" customHeight="1">
      <c r="B842" s="61"/>
    </row>
    <row r="843" ht="15.75" customHeight="1">
      <c r="B843" s="61"/>
    </row>
    <row r="844" ht="15.75" customHeight="1">
      <c r="B844" s="61"/>
    </row>
    <row r="845" ht="15.75" customHeight="1">
      <c r="B845" s="61"/>
    </row>
    <row r="846" ht="15.75" customHeight="1">
      <c r="B846" s="61"/>
    </row>
    <row r="847" ht="15.75" customHeight="1">
      <c r="B847" s="61"/>
    </row>
    <row r="848" ht="15.75" customHeight="1">
      <c r="B848" s="61"/>
    </row>
    <row r="849" ht="15.75" customHeight="1">
      <c r="B849" s="61"/>
    </row>
    <row r="850" ht="15.75" customHeight="1">
      <c r="B850" s="61"/>
    </row>
    <row r="851" ht="15.75" customHeight="1">
      <c r="B851" s="61"/>
    </row>
    <row r="852" ht="15.75" customHeight="1">
      <c r="B852" s="61"/>
    </row>
    <row r="853" ht="15.75" customHeight="1">
      <c r="B853" s="61"/>
    </row>
    <row r="854" ht="15.75" customHeight="1">
      <c r="B854" s="61"/>
    </row>
    <row r="855" ht="15.75" customHeight="1">
      <c r="B855" s="61"/>
    </row>
    <row r="856" ht="15.75" customHeight="1">
      <c r="B856" s="61"/>
    </row>
    <row r="857" ht="15.75" customHeight="1">
      <c r="B857" s="61"/>
    </row>
    <row r="858" ht="15.75" customHeight="1">
      <c r="B858" s="61"/>
    </row>
    <row r="859" ht="15.75" customHeight="1">
      <c r="B859" s="61"/>
    </row>
    <row r="860" ht="15.75" customHeight="1">
      <c r="B860" s="61"/>
    </row>
    <row r="861" ht="15.75" customHeight="1">
      <c r="B861" s="61"/>
    </row>
    <row r="862" ht="15.75" customHeight="1">
      <c r="B862" s="61"/>
    </row>
    <row r="863" ht="15.75" customHeight="1">
      <c r="B863" s="61"/>
    </row>
    <row r="864" ht="15.75" customHeight="1">
      <c r="B864" s="61"/>
    </row>
    <row r="865" ht="15.75" customHeight="1">
      <c r="B865" s="61"/>
    </row>
    <row r="866" ht="15.75" customHeight="1">
      <c r="B866" s="61"/>
    </row>
    <row r="867" ht="15.75" customHeight="1">
      <c r="B867" s="61"/>
    </row>
    <row r="868" ht="15.75" customHeight="1">
      <c r="B868" s="61"/>
    </row>
    <row r="869" ht="15.75" customHeight="1">
      <c r="B869" s="61"/>
    </row>
    <row r="870" ht="15.75" customHeight="1">
      <c r="B870" s="61"/>
    </row>
    <row r="871" ht="15.75" customHeight="1">
      <c r="B871" s="61"/>
    </row>
    <row r="872" ht="15.75" customHeight="1">
      <c r="B872" s="61"/>
    </row>
    <row r="873" ht="15.75" customHeight="1">
      <c r="B873" s="61"/>
    </row>
    <row r="874" ht="15.75" customHeight="1">
      <c r="B874" s="61"/>
    </row>
    <row r="875" ht="15.75" customHeight="1">
      <c r="B875" s="61"/>
    </row>
    <row r="876" ht="15.75" customHeight="1">
      <c r="B876" s="61"/>
    </row>
    <row r="877" ht="15.75" customHeight="1">
      <c r="B877" s="61"/>
    </row>
    <row r="878" ht="15.75" customHeight="1">
      <c r="B878" s="61"/>
    </row>
    <row r="879" ht="15.75" customHeight="1">
      <c r="B879" s="61"/>
    </row>
    <row r="880" ht="15.75" customHeight="1">
      <c r="B880" s="61"/>
    </row>
    <row r="881" ht="15.75" customHeight="1">
      <c r="B881" s="61"/>
    </row>
    <row r="882" ht="15.75" customHeight="1">
      <c r="B882" s="61"/>
    </row>
    <row r="883" ht="15.75" customHeight="1">
      <c r="B883" s="61"/>
    </row>
    <row r="884" ht="15.75" customHeight="1">
      <c r="B884" s="61"/>
    </row>
    <row r="885" ht="15.75" customHeight="1">
      <c r="B885" s="61"/>
    </row>
    <row r="886" ht="15.75" customHeight="1">
      <c r="B886" s="61"/>
    </row>
    <row r="887" ht="15.75" customHeight="1">
      <c r="B887" s="61"/>
    </row>
    <row r="888" ht="15.75" customHeight="1">
      <c r="B888" s="61"/>
    </row>
    <row r="889" ht="15.75" customHeight="1">
      <c r="B889" s="61"/>
    </row>
    <row r="890" ht="15.75" customHeight="1">
      <c r="B890" s="61"/>
    </row>
    <row r="891" ht="15.75" customHeight="1">
      <c r="B891" s="61"/>
    </row>
    <row r="892" ht="15.75" customHeight="1">
      <c r="B892" s="61"/>
    </row>
    <row r="893" ht="15.75" customHeight="1">
      <c r="B893" s="61"/>
    </row>
    <row r="894" ht="15.75" customHeight="1">
      <c r="B894" s="61"/>
    </row>
    <row r="895" ht="15.75" customHeight="1">
      <c r="B895" s="61"/>
    </row>
    <row r="896" ht="15.75" customHeight="1">
      <c r="B896" s="61"/>
    </row>
    <row r="897" ht="15.75" customHeight="1">
      <c r="B897" s="61"/>
    </row>
    <row r="898" ht="15.75" customHeight="1">
      <c r="B898" s="61"/>
    </row>
    <row r="899" ht="15.75" customHeight="1">
      <c r="B899" s="61"/>
    </row>
    <row r="900" ht="15.75" customHeight="1">
      <c r="B900" s="61"/>
    </row>
    <row r="901" ht="15.75" customHeight="1">
      <c r="B901" s="61"/>
    </row>
    <row r="902" ht="15.75" customHeight="1">
      <c r="B902" s="61"/>
    </row>
    <row r="903" ht="15.75" customHeight="1">
      <c r="B903" s="61"/>
    </row>
    <row r="904" ht="15.75" customHeight="1">
      <c r="B904" s="61"/>
    </row>
    <row r="905" ht="15.75" customHeight="1">
      <c r="B905" s="61"/>
    </row>
    <row r="906" ht="15.75" customHeight="1">
      <c r="B906" s="61"/>
    </row>
    <row r="907" ht="15.75" customHeight="1">
      <c r="B907" s="61"/>
    </row>
    <row r="908" ht="15.75" customHeight="1">
      <c r="B908" s="61"/>
    </row>
    <row r="909" ht="15.75" customHeight="1">
      <c r="B909" s="61"/>
    </row>
    <row r="910" ht="15.75" customHeight="1">
      <c r="B910" s="61"/>
    </row>
    <row r="911" ht="15.75" customHeight="1">
      <c r="B911" s="61"/>
    </row>
    <row r="912" ht="15.75" customHeight="1">
      <c r="B912" s="61"/>
    </row>
    <row r="913" ht="15.75" customHeight="1">
      <c r="B913" s="61"/>
    </row>
    <row r="914" ht="15.75" customHeight="1">
      <c r="B914" s="61"/>
    </row>
    <row r="915" ht="15.75" customHeight="1">
      <c r="B915" s="61"/>
    </row>
    <row r="916" ht="15.75" customHeight="1">
      <c r="B916" s="61"/>
    </row>
    <row r="917" ht="15.75" customHeight="1">
      <c r="B917" s="61"/>
    </row>
    <row r="918" ht="15.75" customHeight="1">
      <c r="B918" s="61"/>
    </row>
    <row r="919" ht="15.75" customHeight="1">
      <c r="B919" s="61"/>
    </row>
    <row r="920" ht="15.75" customHeight="1">
      <c r="B920" s="61"/>
    </row>
    <row r="921" ht="15.75" customHeight="1">
      <c r="B921" s="61"/>
    </row>
    <row r="922" ht="15.75" customHeight="1">
      <c r="B922" s="61"/>
    </row>
    <row r="923" ht="15.75" customHeight="1">
      <c r="B923" s="61"/>
    </row>
    <row r="924" ht="15.75" customHeight="1">
      <c r="B924" s="61"/>
    </row>
    <row r="925" ht="15.75" customHeight="1">
      <c r="B925" s="61"/>
    </row>
    <row r="926" ht="15.75" customHeight="1">
      <c r="B926" s="61"/>
    </row>
    <row r="927" ht="15.75" customHeight="1">
      <c r="B927" s="61"/>
    </row>
    <row r="928" ht="15.75" customHeight="1">
      <c r="B928" s="61"/>
    </row>
    <row r="929" ht="15.75" customHeight="1">
      <c r="B929" s="61"/>
    </row>
    <row r="930" ht="15.75" customHeight="1">
      <c r="B930" s="61"/>
    </row>
    <row r="931" ht="15.75" customHeight="1">
      <c r="B931" s="61"/>
    </row>
    <row r="932" ht="15.75" customHeight="1">
      <c r="B932" s="61"/>
    </row>
    <row r="933" ht="15.75" customHeight="1">
      <c r="B933" s="61"/>
    </row>
    <row r="934" ht="15.75" customHeight="1">
      <c r="B934" s="61"/>
    </row>
    <row r="935" ht="15.75" customHeight="1">
      <c r="B935" s="61"/>
    </row>
    <row r="936" ht="15.75" customHeight="1">
      <c r="B936" s="61"/>
    </row>
    <row r="937" ht="15.75" customHeight="1">
      <c r="B937" s="61"/>
    </row>
    <row r="938" ht="15.75" customHeight="1">
      <c r="B938" s="61"/>
    </row>
    <row r="939" ht="15.75" customHeight="1">
      <c r="B939" s="61"/>
    </row>
    <row r="940" ht="15.75" customHeight="1">
      <c r="B940" s="61"/>
    </row>
    <row r="941" ht="15.75" customHeight="1">
      <c r="B941" s="61"/>
    </row>
    <row r="942" ht="15.75" customHeight="1">
      <c r="B942" s="61"/>
    </row>
    <row r="943" ht="15.75" customHeight="1">
      <c r="B943" s="61"/>
    </row>
    <row r="944" ht="15.75" customHeight="1">
      <c r="B944" s="61"/>
    </row>
    <row r="945" ht="15.75" customHeight="1">
      <c r="B945" s="61"/>
    </row>
    <row r="946" ht="15.75" customHeight="1">
      <c r="B946" s="61"/>
    </row>
    <row r="947" ht="15.75" customHeight="1">
      <c r="B947" s="61"/>
    </row>
    <row r="948" ht="15.75" customHeight="1">
      <c r="B948" s="61"/>
    </row>
    <row r="949" ht="15.75" customHeight="1">
      <c r="B949" s="61"/>
    </row>
    <row r="950" ht="15.75" customHeight="1">
      <c r="B950" s="61"/>
    </row>
    <row r="951" ht="15.75" customHeight="1">
      <c r="B951" s="61"/>
    </row>
    <row r="952" ht="15.75" customHeight="1">
      <c r="B952" s="61"/>
    </row>
    <row r="953" ht="15.75" customHeight="1">
      <c r="B953" s="61"/>
    </row>
    <row r="954" ht="15.75" customHeight="1">
      <c r="B954" s="61"/>
    </row>
    <row r="955" ht="15.75" customHeight="1">
      <c r="B955" s="61"/>
    </row>
    <row r="956" ht="15.75" customHeight="1">
      <c r="B956" s="61"/>
    </row>
    <row r="957" ht="15.75" customHeight="1">
      <c r="B957" s="61"/>
    </row>
    <row r="958" ht="15.75" customHeight="1">
      <c r="B958" s="61"/>
    </row>
    <row r="959" ht="15.75" customHeight="1">
      <c r="B959" s="61"/>
    </row>
    <row r="960" ht="15.75" customHeight="1">
      <c r="B960" s="61"/>
    </row>
    <row r="961" ht="15.75" customHeight="1">
      <c r="B961" s="61"/>
    </row>
    <row r="962" ht="15.75" customHeight="1">
      <c r="B962" s="61"/>
    </row>
    <row r="963" ht="15.75" customHeight="1">
      <c r="B963" s="61"/>
    </row>
    <row r="964" ht="15.75" customHeight="1">
      <c r="B964" s="61"/>
    </row>
    <row r="965" ht="15.75" customHeight="1">
      <c r="B965" s="61"/>
    </row>
    <row r="966" ht="15.75" customHeight="1">
      <c r="B966" s="61"/>
    </row>
    <row r="967" ht="15.75" customHeight="1">
      <c r="B967" s="61"/>
    </row>
    <row r="968" ht="15.75" customHeight="1">
      <c r="B968" s="61"/>
    </row>
    <row r="969" ht="15.75" customHeight="1">
      <c r="B969" s="61"/>
    </row>
    <row r="970" ht="15.75" customHeight="1">
      <c r="B970" s="61"/>
    </row>
    <row r="971" ht="15.75" customHeight="1">
      <c r="B971" s="61"/>
    </row>
    <row r="972" ht="15.75" customHeight="1">
      <c r="B972" s="61"/>
    </row>
    <row r="973" ht="15.75" customHeight="1">
      <c r="B973" s="61"/>
    </row>
    <row r="974" ht="15.75" customHeight="1">
      <c r="B974" s="61"/>
    </row>
    <row r="975" ht="15.75" customHeight="1">
      <c r="B975" s="61"/>
    </row>
    <row r="976" ht="15.75" customHeight="1">
      <c r="B976" s="61"/>
    </row>
    <row r="977" ht="15.75" customHeight="1">
      <c r="B977" s="61"/>
    </row>
    <row r="978" ht="15.75" customHeight="1">
      <c r="B978" s="61"/>
    </row>
    <row r="979" ht="15.75" customHeight="1">
      <c r="B979" s="61"/>
    </row>
    <row r="980" ht="15.75" customHeight="1">
      <c r="B980" s="61"/>
    </row>
    <row r="981" ht="15.75" customHeight="1">
      <c r="B981" s="61"/>
    </row>
    <row r="982" ht="15.75" customHeight="1">
      <c r="B982" s="61"/>
    </row>
    <row r="983" ht="15.75" customHeight="1">
      <c r="B983" s="61"/>
    </row>
    <row r="984" ht="15.75" customHeight="1">
      <c r="B984" s="61"/>
    </row>
    <row r="985" ht="15.75" customHeight="1">
      <c r="B985" s="61"/>
    </row>
    <row r="986" ht="15.75" customHeight="1">
      <c r="B986" s="61"/>
    </row>
    <row r="987" ht="15.75" customHeight="1">
      <c r="B987" s="61"/>
    </row>
    <row r="988" ht="15.75" customHeight="1">
      <c r="B988" s="61"/>
    </row>
    <row r="989" ht="15.75" customHeight="1">
      <c r="B989" s="61"/>
    </row>
    <row r="990" ht="15.75" customHeight="1">
      <c r="B990" s="61"/>
    </row>
    <row r="991" ht="15.75" customHeight="1">
      <c r="B991" s="61"/>
    </row>
    <row r="992" ht="15.75" customHeight="1">
      <c r="B992" s="61"/>
    </row>
    <row r="993" ht="15.75" customHeight="1">
      <c r="B993" s="61"/>
    </row>
    <row r="994" ht="15.75" customHeight="1">
      <c r="B994" s="61"/>
    </row>
    <row r="995" ht="15.75" customHeight="1">
      <c r="B995" s="61"/>
    </row>
    <row r="996" ht="15.75" customHeight="1">
      <c r="B996" s="61"/>
    </row>
    <row r="997" ht="15.75" customHeight="1">
      <c r="B997" s="61"/>
    </row>
    <row r="998" ht="15.75" customHeight="1">
      <c r="B998" s="61"/>
    </row>
    <row r="999" ht="15.75" customHeight="1">
      <c r="B999" s="61"/>
    </row>
    <row r="1000" ht="15.75" customHeight="1">
      <c r="B1000" s="61"/>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8" t="s">
        <v>338</v>
      </c>
      <c r="B1" s="53" t="s">
        <v>222</v>
      </c>
      <c r="C1" s="53" t="s">
        <v>223</v>
      </c>
      <c r="D1" s="10"/>
      <c r="E1" s="4" t="s">
        <v>125</v>
      </c>
      <c r="F1" s="10"/>
      <c r="G1" s="17" t="s">
        <v>644</v>
      </c>
    </row>
    <row r="2" ht="15.75" customHeight="1">
      <c r="B2" s="53"/>
      <c r="C2" s="53"/>
      <c r="D2" s="18" t="s">
        <v>1</v>
      </c>
      <c r="E2" s="10"/>
      <c r="F2" s="18" t="s">
        <v>2</v>
      </c>
      <c r="G2" s="10"/>
    </row>
    <row r="3" ht="15.75" customHeight="1">
      <c r="B3" s="53"/>
      <c r="C3" s="53"/>
      <c r="D3" s="10"/>
      <c r="E3" s="18" t="s">
        <v>130</v>
      </c>
      <c r="F3" s="10"/>
      <c r="G3" s="10"/>
    </row>
    <row r="4" ht="15.75" customHeight="1">
      <c r="A4" s="59" t="str">
        <f t="array" ref="A4">XLOOKUP(C4, 'マスタ'!$C$2:$C$500, 'マスタ'!$D$2:$D$500, "マスタ未登録")</f>
        <v>売上高</v>
      </c>
      <c r="B4" s="53" t="str">
        <f>IF(AND(C4&lt;&gt;"", COUNTIF('マスタ'!$C:$C, C4)=0), "マスタ未登録", "")</f>
        <v/>
      </c>
      <c r="C4" s="53" t="str">
        <f t="shared" ref="C4:C194" si="1">D4&amp;E4</f>
        <v>Youtube</v>
      </c>
      <c r="D4" s="10"/>
      <c r="E4" s="18" t="s">
        <v>131</v>
      </c>
      <c r="F4" s="10"/>
      <c r="G4" s="10"/>
    </row>
    <row r="5" ht="15.75" customHeight="1">
      <c r="A5" s="59" t="str">
        <f t="array" ref="A5">XLOOKUP(C5, 'マスタ'!$C$2:$C$500, 'マスタ'!$D$2:$D$500, "マスタ未登録")</f>
        <v>売上高</v>
      </c>
      <c r="B5" s="53" t="str">
        <f>IF(AND(C5&lt;&gt;"", COUNTIF('マスタ'!$C:$C, C5)=0), "マスタ未登録", "")</f>
        <v/>
      </c>
      <c r="C5" s="53" t="str">
        <f t="shared" si="1"/>
        <v>Twitch</v>
      </c>
      <c r="D5" s="10"/>
      <c r="E5" s="18" t="s">
        <v>132</v>
      </c>
      <c r="F5" s="10"/>
      <c r="G5" s="10"/>
    </row>
    <row r="6" ht="15.75" customHeight="1">
      <c r="A6" s="59" t="str">
        <f t="array" ref="A6">XLOOKUP(C6, 'マスタ'!$C$2:$C$500, 'マスタ'!$D$2:$D$500, "マスタ未登録")</f>
        <v>売上高</v>
      </c>
      <c r="B6" s="53" t="str">
        <f>IF(AND(C6&lt;&gt;"", COUNTIF('マスタ'!$C:$C, C6)=0), "マスタ未登録", "")</f>
        <v/>
      </c>
      <c r="C6" s="53" t="str">
        <f t="shared" si="1"/>
        <v>LINE</v>
      </c>
      <c r="D6" s="10"/>
      <c r="E6" s="18" t="s">
        <v>133</v>
      </c>
      <c r="F6" s="10"/>
      <c r="G6" s="5"/>
    </row>
    <row r="7" ht="15.75" customHeight="1">
      <c r="A7" s="59" t="str">
        <f t="array" ref="A7">XLOOKUP(C7, 'マスタ'!$C$2:$C$500, 'マスタ'!$D$2:$D$500, "マスタ未登録")</f>
        <v>売上高</v>
      </c>
      <c r="B7" s="53" t="str">
        <f>IF(AND(C7&lt;&gt;"", COUNTIF('マスタ'!$C:$C, C7)=0), "マスタ未登録", "")</f>
        <v/>
      </c>
      <c r="C7" s="53" t="str">
        <f t="shared" si="1"/>
        <v>bilibili</v>
      </c>
      <c r="D7" s="10"/>
      <c r="E7" s="18" t="s">
        <v>146</v>
      </c>
      <c r="F7" s="10"/>
      <c r="G7" s="5"/>
    </row>
    <row r="8" ht="15.75" customHeight="1">
      <c r="A8" s="59" t="str">
        <f t="array" ref="A8">XLOOKUP(C8, 'マスタ'!$C$2:$C$500, 'マスタ'!$D$2:$D$500, "マスタ未登録")</f>
        <v>売上高</v>
      </c>
      <c r="B8" s="53" t="str">
        <f>IF(AND(C8&lt;&gt;"", COUNTIF('マスタ'!$C:$C, C8)=0), "マスタ未登録", "")</f>
        <v/>
      </c>
      <c r="C8" s="53" t="str">
        <f t="shared" si="1"/>
        <v>ライブ</v>
      </c>
      <c r="D8" s="10"/>
      <c r="E8" s="18" t="s">
        <v>134</v>
      </c>
      <c r="F8" s="10"/>
      <c r="G8" s="5"/>
    </row>
    <row r="9" ht="15.75" customHeight="1">
      <c r="A9" s="59" t="str">
        <f t="array" ref="A9">XLOOKUP(C9, 'マスタ'!$C$2:$C$500, 'マスタ'!$D$2:$D$500, "マスタ未登録")</f>
        <v>売上高</v>
      </c>
      <c r="B9" s="53" t="str">
        <f>IF(AND(C9&lt;&gt;"", COUNTIF('マスタ'!$C:$C, C9)=0), "マスタ未登録", "")</f>
        <v/>
      </c>
      <c r="C9" s="53" t="str">
        <f t="shared" si="1"/>
        <v>その他</v>
      </c>
      <c r="D9" s="10"/>
      <c r="E9" s="18" t="s">
        <v>135</v>
      </c>
      <c r="F9" s="10"/>
      <c r="G9" s="5"/>
    </row>
    <row r="10" ht="15.75" customHeight="1">
      <c r="A10" s="59" t="str">
        <f t="array" ref="A10">XLOOKUP(C10, 'マスタ'!$C$2:$C$500, 'マスタ'!$D$2:$D$500, "マスタ未登録")</f>
        <v>売上高</v>
      </c>
      <c r="B10" s="53" t="str">
        <f>IF(AND(C10&lt;&gt;"", COUNTIF('マスタ'!$C:$C, C10)=0), "マスタ未登録", "")</f>
        <v/>
      </c>
      <c r="C10" s="53" t="str">
        <f t="shared" si="1"/>
        <v>売上値引・返品</v>
      </c>
      <c r="D10" s="10"/>
      <c r="E10" s="18" t="s">
        <v>136</v>
      </c>
      <c r="F10" s="10"/>
      <c r="G10" s="5"/>
    </row>
    <row r="11" ht="15.75" customHeight="1">
      <c r="A11" s="59" t="str">
        <f t="array" ref="A11">XLOOKUP(C11, 'マスタ'!$C$2:$C$500, 'マスタ'!$D$2:$D$500, "マスタ未登録")</f>
        <v>マスタ未登録</v>
      </c>
      <c r="B11" s="53" t="str">
        <f>IF(AND(C11&lt;&gt;"", COUNTIF('マスタ'!$C:$C, C11)=0), "マスタ未登録", "")</f>
        <v>マスタ未登録</v>
      </c>
      <c r="C11" s="53" t="str">
        <f t="shared" si="1"/>
        <v>売上高合計</v>
      </c>
      <c r="D11" s="18" t="s">
        <v>67</v>
      </c>
      <c r="E11" s="10"/>
      <c r="F11" s="18" t="s">
        <v>137</v>
      </c>
      <c r="G11" s="6">
        <v>0.0</v>
      </c>
    </row>
    <row r="12" ht="15.75" customHeight="1">
      <c r="A12" s="59" t="str">
        <f t="array" ref="A12">XLOOKUP(C12, 'マスタ'!$C$2:$C$500, 'マスタ'!$D$2:$D$500, "マスタ未登録")</f>
        <v>マスタ未登録</v>
      </c>
      <c r="B12" s="53" t="str">
        <f>IF(AND(C12&lt;&gt;"", COUNTIF('マスタ'!$C:$C, C12)=0), "マスタ未登録", "")</f>
        <v>マスタ未登録</v>
      </c>
      <c r="C12" s="53" t="str">
        <f t="shared" si="1"/>
        <v>売上原価</v>
      </c>
      <c r="D12" s="18" t="s">
        <v>28</v>
      </c>
      <c r="E12" s="10"/>
      <c r="F12" s="18" t="s">
        <v>4</v>
      </c>
      <c r="G12" s="10"/>
    </row>
    <row r="13" ht="15.75" customHeight="1">
      <c r="A13" s="59" t="str">
        <f t="array" ref="A13">XLOOKUP(C13, 'マスタ'!$C$2:$C$500, 'マスタ'!$D$2:$D$500, "マスタ未登録")</f>
        <v>当期商品仕入高</v>
      </c>
      <c r="B13" s="53" t="str">
        <f>IF(AND(C13&lt;&gt;"", COUNTIF('マスタ'!$C:$C, C13)=0), "マスタ未登録", "")</f>
        <v/>
      </c>
      <c r="C13" s="53" t="str">
        <f t="shared" si="1"/>
        <v>仕入高</v>
      </c>
      <c r="D13" s="10"/>
      <c r="E13" s="18" t="s">
        <v>138</v>
      </c>
      <c r="F13" s="10"/>
      <c r="G13" s="6">
        <v>0.0</v>
      </c>
    </row>
    <row r="14" ht="15.75" customHeight="1">
      <c r="A14" s="59" t="str">
        <f t="array" ref="A14">XLOOKUP(C14, 'マスタ'!$C$2:$C$500, 'マスタ'!$D$2:$D$500, "マスタ未登録")</f>
        <v>当期商品仕入高</v>
      </c>
      <c r="B14" s="53" t="str">
        <f>IF(AND(C14&lt;&gt;"", COUNTIF('マスタ'!$C:$C, C14)=0), "マスタ未登録", "")</f>
        <v/>
      </c>
      <c r="C14" s="53" t="str">
        <f t="shared" si="1"/>
        <v>支払手数料(原価)</v>
      </c>
      <c r="D14" s="10"/>
      <c r="E14" s="18" t="s">
        <v>70</v>
      </c>
      <c r="F14" s="10"/>
      <c r="G14" s="6">
        <v>0.0</v>
      </c>
    </row>
    <row r="15" ht="15.75" customHeight="1">
      <c r="A15" s="59" t="str">
        <f t="array" ref="A15">XLOOKUP(C15, 'マスタ'!$C$2:$C$500, 'マスタ'!$D$2:$D$500, "マスタ未登録")</f>
        <v>期末商品棚卸高</v>
      </c>
      <c r="B15" s="53" t="str">
        <f>IF(AND(C15&lt;&gt;"", COUNTIF('マスタ'!$C:$C, C15)=0), "マスタ未登録", "")</f>
        <v/>
      </c>
      <c r="C15" s="53" t="str">
        <f t="shared" si="1"/>
        <v>期末商品棚卸高</v>
      </c>
      <c r="D15" s="10"/>
      <c r="E15" s="18" t="s">
        <v>71</v>
      </c>
      <c r="F15" s="10"/>
      <c r="G15" s="6">
        <v>0.0</v>
      </c>
    </row>
    <row r="16" ht="15.75" customHeight="1">
      <c r="A16" s="59" t="str">
        <f t="array" ref="A16">XLOOKUP(C16, 'マスタ'!$C$2:$C$500, 'マスタ'!$D$2:$D$500, "マスタ未登録")</f>
        <v>マスタ未登録</v>
      </c>
      <c r="B16" s="53" t="str">
        <f>IF(AND(C16&lt;&gt;"", COUNTIF('マスタ'!$C:$C, C16)=0), "マスタ未登録", "")</f>
        <v>マスタ未登録</v>
      </c>
      <c r="C16" s="53" t="str">
        <f t="shared" si="1"/>
        <v>売上原価</v>
      </c>
      <c r="D16" s="18" t="s">
        <v>28</v>
      </c>
      <c r="E16" s="10"/>
      <c r="F16" s="18" t="s">
        <v>4</v>
      </c>
      <c r="G16" s="6">
        <v>0.0</v>
      </c>
    </row>
    <row r="17" ht="15.75" customHeight="1">
      <c r="A17" s="59" t="str">
        <f t="array" ref="A17">XLOOKUP(C17, 'マスタ'!$C$2:$C$500, 'マスタ'!$D$2:$D$500, "マスタ未登録")</f>
        <v>マスタ未登録</v>
      </c>
      <c r="B17" s="53" t="str">
        <f>IF(AND(C17&lt;&gt;"", COUNTIF('マスタ'!$C:$C, C17)=0), "マスタ未登録", "")</f>
        <v>マスタ未登録</v>
      </c>
      <c r="C17" s="53" t="str">
        <f t="shared" si="1"/>
        <v>売上総利益</v>
      </c>
      <c r="D17" s="18" t="s">
        <v>5</v>
      </c>
      <c r="E17" s="10"/>
      <c r="F17" s="18" t="s">
        <v>6</v>
      </c>
      <c r="G17" s="6">
        <v>0.0</v>
      </c>
    </row>
    <row r="18" ht="15.75" customHeight="1">
      <c r="A18" s="59" t="str">
        <f t="array" ref="A18">XLOOKUP(C18, 'マスタ'!$C$2:$C$500, 'マスタ'!$D$2:$D$500, "マスタ未登録")</f>
        <v>マスタ未登録</v>
      </c>
      <c r="B18" s="53" t="str">
        <f>IF(AND(C18&lt;&gt;"", COUNTIF('マスタ'!$C:$C, C18)=0), "マスタ未登録", "")</f>
        <v>マスタ未登録</v>
      </c>
      <c r="C18" s="53" t="str">
        <f t="shared" si="1"/>
        <v>販売費及び一般管理費</v>
      </c>
      <c r="D18" s="18" t="s">
        <v>29</v>
      </c>
      <c r="E18" s="10"/>
      <c r="F18" s="18" t="s">
        <v>30</v>
      </c>
      <c r="G18" s="5"/>
    </row>
    <row r="19" ht="15.75" customHeight="1">
      <c r="A19" s="59" t="str">
        <f t="array" ref="A19">XLOOKUP(C19, 'マスタ'!$C$2:$C$500, 'マスタ'!$D$2:$D$500, "マスタ未登録")</f>
        <v>役員報酬</v>
      </c>
      <c r="B19" s="53" t="str">
        <f>IF(AND(C19&lt;&gt;"", COUNTIF('マスタ'!$C:$C, C19)=0), "マスタ未登録", "")</f>
        <v/>
      </c>
      <c r="C19" s="53" t="str">
        <f t="shared" si="1"/>
        <v>役員報酬</v>
      </c>
      <c r="D19" s="10"/>
      <c r="E19" s="18" t="s">
        <v>72</v>
      </c>
      <c r="F19" s="10"/>
      <c r="G19" s="6">
        <v>0.0</v>
      </c>
    </row>
    <row r="20" ht="15.75" customHeight="1">
      <c r="A20" s="59" t="str">
        <f t="array" ref="A20">XLOOKUP(C20, 'マスタ'!$C$2:$C$500, 'マスタ'!$D$2:$D$500, "マスタ未登録")</f>
        <v>給料手当</v>
      </c>
      <c r="B20" s="53" t="str">
        <f>IF(AND(C20&lt;&gt;"", COUNTIF('マスタ'!$C:$C, C20)=0), "マスタ未登録", "")</f>
        <v/>
      </c>
      <c r="C20" s="53" t="str">
        <f t="shared" si="1"/>
        <v>給料賃金</v>
      </c>
      <c r="D20" s="10"/>
      <c r="E20" s="18" t="s">
        <v>139</v>
      </c>
      <c r="F20" s="10"/>
      <c r="G20" s="6">
        <v>0.0</v>
      </c>
    </row>
    <row r="21" ht="15.75" customHeight="1">
      <c r="A21" s="59" t="str">
        <f t="array" ref="A21">XLOOKUP(C21, 'マスタ'!$C$2:$C$500, 'マスタ'!$D$2:$D$500, "マスタ未登録")</f>
        <v>法定福利費</v>
      </c>
      <c r="B21" s="53" t="str">
        <f>IF(AND(C21&lt;&gt;"", COUNTIF('マスタ'!$C:$C, C21)=0), "マスタ未登録", "")</f>
        <v/>
      </c>
      <c r="C21" s="53" t="str">
        <f t="shared" si="1"/>
        <v>法定福利費</v>
      </c>
      <c r="D21" s="10"/>
      <c r="E21" s="18" t="s">
        <v>74</v>
      </c>
      <c r="F21" s="10"/>
      <c r="G21" s="6">
        <v>0.0</v>
      </c>
    </row>
    <row r="22" ht="15.75" customHeight="1">
      <c r="A22" s="59" t="str">
        <f t="array" ref="A22">XLOOKUP(C22, 'マスタ'!$C$2:$C$500, 'マスタ'!$D$2:$D$500, "マスタ未登録")</f>
        <v>株式報酬費用</v>
      </c>
      <c r="B22" s="53" t="str">
        <f>IF(AND(C22&lt;&gt;"", COUNTIF('マスタ'!$C:$C, C22)=0), "マスタ未登録", "")</f>
        <v/>
      </c>
      <c r="C22" s="53" t="str">
        <f t="shared" si="1"/>
        <v>株式報酬費用</v>
      </c>
      <c r="D22" s="10"/>
      <c r="E22" s="18" t="s">
        <v>76</v>
      </c>
      <c r="F22" s="10"/>
      <c r="G22" s="20">
        <v>0.0</v>
      </c>
    </row>
    <row r="23" ht="15.75" customHeight="1">
      <c r="A23" s="59" t="str">
        <f t="array" ref="A23">XLOOKUP(C23, 'マスタ'!$C$2:$C$500, 'マスタ'!$D$2:$D$500, "マスタ未登録")</f>
        <v>福利厚生費</v>
      </c>
      <c r="B23" s="53" t="str">
        <f>IF(AND(C23&lt;&gt;"", COUNTIF('マスタ'!$C:$C, C23)=0), "マスタ未登録", "")</f>
        <v/>
      </c>
      <c r="C23" s="53" t="str">
        <f t="shared" si="1"/>
        <v>福利厚生費</v>
      </c>
      <c r="D23" s="10"/>
      <c r="E23" s="18" t="s">
        <v>75</v>
      </c>
      <c r="F23" s="10"/>
      <c r="G23" s="6">
        <v>0.0</v>
      </c>
    </row>
    <row r="24" ht="15.75" customHeight="1">
      <c r="A24" s="59" t="str">
        <f t="array" ref="A24">XLOOKUP(C24, 'マスタ'!$C$2:$C$500, 'マスタ'!$D$2:$D$500, "マスタ未登録")</f>
        <v>採用教育費</v>
      </c>
      <c r="B24" s="53" t="str">
        <f>IF(AND(C24&lt;&gt;"", COUNTIF('マスタ'!$C:$C, C24)=0), "マスタ未登録", "")</f>
        <v/>
      </c>
      <c r="C24" s="53" t="str">
        <f t="shared" si="1"/>
        <v>採用費</v>
      </c>
      <c r="D24" s="10"/>
      <c r="E24" s="18" t="s">
        <v>140</v>
      </c>
      <c r="F24" s="10"/>
      <c r="G24" s="6">
        <v>0.0</v>
      </c>
    </row>
    <row r="25" ht="15.75" customHeight="1">
      <c r="A25" s="59" t="str">
        <f t="array" ref="A25">XLOOKUP(C25, 'マスタ'!$C$2:$C$500, 'マスタ'!$D$2:$D$500, "マスタ未登録")</f>
        <v>業務委託費</v>
      </c>
      <c r="B25" s="53" t="str">
        <f>IF(AND(C25&lt;&gt;"", COUNTIF('マスタ'!$C:$C, C25)=0), "マスタ未登録", "")</f>
        <v/>
      </c>
      <c r="C25" s="53" t="str">
        <f t="shared" si="1"/>
        <v>業務委託料</v>
      </c>
      <c r="D25" s="10"/>
      <c r="E25" s="18" t="s">
        <v>141</v>
      </c>
      <c r="F25" s="10"/>
      <c r="G25" s="6">
        <v>0.0</v>
      </c>
    </row>
    <row r="26" ht="15.75" customHeight="1">
      <c r="A26" s="59" t="str">
        <f t="array" ref="A26">XLOOKUP(C26, 'マスタ'!$C$2:$C$500, 'マスタ'!$D$2:$D$500, "マスタ未登録")</f>
        <v>外注費</v>
      </c>
      <c r="B26" s="53" t="str">
        <f>IF(AND(C26&lt;&gt;"", COUNTIF('マスタ'!$C:$C, C26)=0), "マスタ未登録", "")</f>
        <v/>
      </c>
      <c r="C26" s="53" t="str">
        <f t="shared" si="1"/>
        <v>外注費</v>
      </c>
      <c r="D26" s="10"/>
      <c r="E26" s="18" t="s">
        <v>79</v>
      </c>
      <c r="F26" s="10"/>
      <c r="G26" s="6">
        <v>850000.0</v>
      </c>
    </row>
    <row r="27" ht="15.75" customHeight="1">
      <c r="A27" s="59" t="str">
        <f t="array" ref="A27">XLOOKUP(C27, 'マスタ'!$C$2:$C$500, 'マスタ'!$D$2:$D$500, "マスタ未登録")</f>
        <v>荷造運賃</v>
      </c>
      <c r="B27" s="53" t="str">
        <f>IF(AND(C27&lt;&gt;"", COUNTIF('マスタ'!$C:$C, C27)=0), "マスタ未登録", "")</f>
        <v/>
      </c>
      <c r="C27" s="53" t="str">
        <f t="shared" si="1"/>
        <v>荷造運賃</v>
      </c>
      <c r="D27" s="10"/>
      <c r="E27" s="18" t="s">
        <v>80</v>
      </c>
      <c r="F27" s="10"/>
      <c r="G27" s="6">
        <v>1019.0</v>
      </c>
    </row>
    <row r="28" ht="15.75" customHeight="1">
      <c r="A28" s="59" t="str">
        <f t="array" ref="A28">XLOOKUP(C28, 'マスタ'!$C$2:$C$500, 'マスタ'!$D$2:$D$500, "マスタ未登録")</f>
        <v>広告宣伝費</v>
      </c>
      <c r="B28" s="53" t="str">
        <f>IF(AND(C28&lt;&gt;"", COUNTIF('マスタ'!$C:$C, C28)=0), "マスタ未登録", "")</f>
        <v/>
      </c>
      <c r="C28" s="53" t="str">
        <f t="shared" si="1"/>
        <v>広告宣伝費</v>
      </c>
      <c r="D28" s="10"/>
      <c r="E28" s="18" t="s">
        <v>81</v>
      </c>
      <c r="F28" s="10"/>
      <c r="G28" s="6">
        <v>0.0</v>
      </c>
    </row>
    <row r="29" ht="15.75" customHeight="1">
      <c r="A29" s="59" t="str">
        <f t="array" ref="A29">XLOOKUP(C29, 'マスタ'!$C$2:$C$500, 'マスタ'!$D$2:$D$500, "マスタ未登録")</f>
        <v>接待交際費</v>
      </c>
      <c r="B29" s="53" t="str">
        <f>IF(AND(C29&lt;&gt;"", COUNTIF('マスタ'!$C:$C, C29)=0), "マスタ未登録", "")</f>
        <v/>
      </c>
      <c r="C29" s="53" t="str">
        <f t="shared" si="1"/>
        <v>接待交際費</v>
      </c>
      <c r="D29" s="10"/>
      <c r="E29" s="18" t="s">
        <v>82</v>
      </c>
      <c r="F29" s="10"/>
      <c r="G29" s="6">
        <v>0.0</v>
      </c>
    </row>
    <row r="30" ht="15.75" customHeight="1">
      <c r="A30" s="59" t="str">
        <f t="array" ref="A30">XLOOKUP(C30, 'マスタ'!$C$2:$C$500, 'マスタ'!$D$2:$D$500, "マスタ未登録")</f>
        <v>旅費交通費</v>
      </c>
      <c r="B30" s="53" t="str">
        <f>IF(AND(C30&lt;&gt;"", COUNTIF('マスタ'!$C:$C, C30)=0), "マスタ未登録", "")</f>
        <v/>
      </c>
      <c r="C30" s="53" t="str">
        <f t="shared" si="1"/>
        <v>旅費交通費</v>
      </c>
      <c r="D30" s="10"/>
      <c r="E30" s="18" t="s">
        <v>83</v>
      </c>
      <c r="F30" s="10"/>
      <c r="G30" s="6">
        <v>2644.0</v>
      </c>
    </row>
    <row r="31" ht="15.75" customHeight="1">
      <c r="A31" s="59" t="str">
        <f t="array" ref="A31">XLOOKUP(C31, 'マスタ'!$C$2:$C$500, 'マスタ'!$D$2:$D$500, "マスタ未登録")</f>
        <v>通信費</v>
      </c>
      <c r="B31" s="53" t="str">
        <f>IF(AND(C31&lt;&gt;"", COUNTIF('マスタ'!$C:$C, C31)=0), "マスタ未登録", "")</f>
        <v/>
      </c>
      <c r="C31" s="53" t="str">
        <f t="shared" si="1"/>
        <v>通信費</v>
      </c>
      <c r="D31" s="10"/>
      <c r="E31" s="18" t="s">
        <v>84</v>
      </c>
      <c r="F31" s="10"/>
      <c r="G31" s="6">
        <v>0.0</v>
      </c>
    </row>
    <row r="32" ht="15.75" customHeight="1">
      <c r="A32" s="59" t="str">
        <f t="array" ref="A32">XLOOKUP(C32, 'マスタ'!$C$2:$C$500, 'マスタ'!$D$2:$D$500, "マスタ未登録")</f>
        <v>修繕費</v>
      </c>
      <c r="B32" s="53" t="str">
        <f>IF(AND(C32&lt;&gt;"", COUNTIF('マスタ'!$C:$C, C32)=0), "マスタ未登録", "")</f>
        <v/>
      </c>
      <c r="C32" s="53" t="str">
        <f t="shared" si="1"/>
        <v>修繕費</v>
      </c>
      <c r="D32" s="10"/>
      <c r="E32" s="18" t="s">
        <v>85</v>
      </c>
      <c r="F32" s="10"/>
      <c r="G32" s="6">
        <v>0.0</v>
      </c>
    </row>
    <row r="33" ht="15.75" customHeight="1">
      <c r="A33" s="59" t="str">
        <f t="array" ref="A33">XLOOKUP(C33, 'マスタ'!$C$2:$C$500, 'マスタ'!$D$2:$D$500, "マスタ未登録")</f>
        <v>消耗品費</v>
      </c>
      <c r="B33" s="53" t="str">
        <f>IF(AND(C33&lt;&gt;"", COUNTIF('マスタ'!$C:$C, C33)=0), "マスタ未登録", "")</f>
        <v/>
      </c>
      <c r="C33" s="53" t="str">
        <f t="shared" si="1"/>
        <v>備品・消耗品費</v>
      </c>
      <c r="D33" s="10"/>
      <c r="E33" s="18" t="s">
        <v>142</v>
      </c>
      <c r="F33" s="10"/>
      <c r="G33" s="6">
        <v>0.0</v>
      </c>
    </row>
    <row r="34" ht="15.75" customHeight="1">
      <c r="A34" s="59" t="str">
        <f t="array" ref="A34">XLOOKUP(C34, 'マスタ'!$C$2:$C$500, 'マスタ'!$D$2:$D$500, "マスタ未登録")</f>
        <v>賃借料</v>
      </c>
      <c r="B34" s="53" t="str">
        <f>IF(AND(C34&lt;&gt;"", COUNTIF('マスタ'!$C:$C, C34)=0), "マスタ未登録", "")</f>
        <v/>
      </c>
      <c r="C34" s="53" t="str">
        <f t="shared" si="1"/>
        <v>賃借料</v>
      </c>
      <c r="D34" s="10"/>
      <c r="E34" s="18" t="s">
        <v>89</v>
      </c>
      <c r="F34" s="10"/>
      <c r="G34" s="6">
        <v>0.0</v>
      </c>
    </row>
    <row r="35" ht="15.75" customHeight="1">
      <c r="A35" s="59" t="str">
        <f t="array" ref="A35">XLOOKUP(C35, 'マスタ'!$C$2:$C$500, 'マスタ'!$D$2:$D$500, "マスタ未登録")</f>
        <v>地代家賃</v>
      </c>
      <c r="B35" s="53" t="str">
        <f>IF(AND(C35&lt;&gt;"", COUNTIF('マスタ'!$C:$C, C35)=0), "マスタ未登録", "")</f>
        <v/>
      </c>
      <c r="C35" s="53" t="str">
        <f t="shared" si="1"/>
        <v>地代家賃</v>
      </c>
      <c r="D35" s="10"/>
      <c r="E35" s="18" t="s">
        <v>87</v>
      </c>
      <c r="F35" s="10"/>
      <c r="G35" s="6">
        <v>0.0</v>
      </c>
    </row>
    <row r="36" ht="15.75" customHeight="1">
      <c r="A36" s="59" t="str">
        <f t="array" ref="A36">XLOOKUP(C36, 'マスタ'!$C$2:$C$500, 'マスタ'!$D$2:$D$500, "マスタ未登録")</f>
        <v>リース料</v>
      </c>
      <c r="B36" s="53" t="str">
        <f>IF(AND(C36&lt;&gt;"", COUNTIF('マスタ'!$C:$C, C36)=0), "マスタ未登録", "")</f>
        <v/>
      </c>
      <c r="C36" s="53" t="str">
        <f t="shared" si="1"/>
        <v>リース料</v>
      </c>
      <c r="D36" s="10"/>
      <c r="E36" s="18" t="s">
        <v>88</v>
      </c>
      <c r="F36" s="10"/>
      <c r="G36" s="20">
        <v>0.0</v>
      </c>
    </row>
    <row r="37" ht="15.75" customHeight="1">
      <c r="A37" s="59" t="str">
        <f t="array" ref="A37">XLOOKUP(C37, 'マスタ'!$C$2:$C$500, 'マスタ'!$D$2:$D$500, "マスタ未登録")</f>
        <v>保険料</v>
      </c>
      <c r="B37" s="53" t="str">
        <f>IF(AND(C37&lt;&gt;"", COUNTIF('マスタ'!$C:$C, C37)=0), "マスタ未登録", "")</f>
        <v/>
      </c>
      <c r="C37" s="53" t="str">
        <f t="shared" si="1"/>
        <v>保険料</v>
      </c>
      <c r="D37" s="10"/>
      <c r="E37" s="18" t="s">
        <v>90</v>
      </c>
      <c r="F37" s="10"/>
      <c r="G37" s="6">
        <v>0.0</v>
      </c>
    </row>
    <row r="38" ht="15.75" customHeight="1">
      <c r="A38" s="59" t="str">
        <f t="array" ref="A38">XLOOKUP(C38, 'マスタ'!$C$2:$C$500, 'マスタ'!$D$2:$D$500, "マスタ未登録")</f>
        <v>租税公課</v>
      </c>
      <c r="B38" s="53" t="str">
        <f>IF(AND(C38&lt;&gt;"", COUNTIF('マスタ'!$C:$C, C38)=0), "マスタ未登録", "")</f>
        <v/>
      </c>
      <c r="C38" s="53" t="str">
        <f t="shared" si="1"/>
        <v>租税公課</v>
      </c>
      <c r="D38" s="10"/>
      <c r="E38" s="18" t="s">
        <v>91</v>
      </c>
      <c r="F38" s="10"/>
      <c r="G38" s="6">
        <v>0.0</v>
      </c>
    </row>
    <row r="39" ht="15.75" customHeight="1">
      <c r="A39" s="59" t="str">
        <f t="array" ref="A39">XLOOKUP(C39, 'マスタ'!$C$2:$C$500, 'マスタ'!$D$2:$D$500, "マスタ未登録")</f>
        <v>支払手数料</v>
      </c>
      <c r="B39" s="53" t="str">
        <f>IF(AND(C39&lt;&gt;"", COUNTIF('マスタ'!$C:$C, C39)=0), "マスタ未登録", "")</f>
        <v/>
      </c>
      <c r="C39" s="53" t="str">
        <f t="shared" si="1"/>
        <v>支払手数料</v>
      </c>
      <c r="D39" s="10"/>
      <c r="E39" s="18" t="s">
        <v>92</v>
      </c>
      <c r="F39" s="10"/>
      <c r="G39" s="6">
        <v>528.0</v>
      </c>
    </row>
    <row r="40" ht="15.75" customHeight="1">
      <c r="A40" s="59" t="str">
        <f t="array" ref="A40">XLOOKUP(C40, 'マスタ'!$C$2:$C$500, 'マスタ'!$D$2:$D$500, "マスタ未登録")</f>
        <v>支払報酬費</v>
      </c>
      <c r="B40" s="53" t="str">
        <f>IF(AND(C40&lt;&gt;"", COUNTIF('マスタ'!$C:$C, C40)=0), "マスタ未登録", "")</f>
        <v/>
      </c>
      <c r="C40" s="53" t="str">
        <f t="shared" si="1"/>
        <v>支払報酬</v>
      </c>
      <c r="D40" s="10"/>
      <c r="E40" s="18" t="s">
        <v>93</v>
      </c>
      <c r="F40" s="10"/>
      <c r="G40" s="6">
        <v>0.0</v>
      </c>
    </row>
    <row r="41" ht="15.75" customHeight="1">
      <c r="A41" s="59" t="str">
        <f t="array" ref="A41">XLOOKUP(C41, 'マスタ'!$C$2:$C$500, 'マスタ'!$D$2:$D$500, "マスタ未登録")</f>
        <v>会議費</v>
      </c>
      <c r="B41" s="53" t="str">
        <f>IF(AND(C41&lt;&gt;"", COUNTIF('マスタ'!$C:$C, C41)=0), "マスタ未登録", "")</f>
        <v/>
      </c>
      <c r="C41" s="53" t="str">
        <f t="shared" si="1"/>
        <v>会議費</v>
      </c>
      <c r="D41" s="10"/>
      <c r="E41" s="18" t="s">
        <v>94</v>
      </c>
      <c r="F41" s="10"/>
      <c r="G41" s="6">
        <v>0.0</v>
      </c>
    </row>
    <row r="42" ht="15.75" customHeight="1">
      <c r="A42" s="59" t="str">
        <f t="array" ref="A42">XLOOKUP(C42, 'マスタ'!$C$2:$C$500, 'マスタ'!$D$2:$D$500, "マスタ未登録")</f>
        <v>減価償却費</v>
      </c>
      <c r="B42" s="53" t="str">
        <f>IF(AND(C42&lt;&gt;"", COUNTIF('マスタ'!$C:$C, C42)=0), "マスタ未登録", "")</f>
        <v/>
      </c>
      <c r="C42" s="53" t="str">
        <f t="shared" si="1"/>
        <v>減価償却費</v>
      </c>
      <c r="D42" s="10"/>
      <c r="E42" s="18" t="s">
        <v>95</v>
      </c>
      <c r="F42" s="10"/>
      <c r="G42" s="6">
        <v>0.0</v>
      </c>
    </row>
    <row r="43" ht="15.75" customHeight="1">
      <c r="A43" s="59" t="str">
        <f t="array" ref="A43">XLOOKUP(C43, 'マスタ'!$C$2:$C$500, 'マスタ'!$D$2:$D$500, "マスタ未登録")</f>
        <v>雑費</v>
      </c>
      <c r="B43" s="53" t="str">
        <f>IF(AND(C43&lt;&gt;"", COUNTIF('マスタ'!$C:$C, C43)=0), "マスタ未登録", "")</f>
        <v/>
      </c>
      <c r="C43" s="53" t="str">
        <f t="shared" si="1"/>
        <v>雑費</v>
      </c>
      <c r="D43" s="10"/>
      <c r="E43" s="18" t="s">
        <v>100</v>
      </c>
      <c r="F43" s="10"/>
      <c r="G43" s="6">
        <v>0.0</v>
      </c>
    </row>
    <row r="44" ht="15.75" customHeight="1">
      <c r="A44" s="59" t="str">
        <f t="array" ref="A44">XLOOKUP(C44, 'マスタ'!$C$2:$C$500, 'マスタ'!$D$2:$D$500, "マスタ未登録")</f>
        <v>研修費</v>
      </c>
      <c r="B44" s="53" t="str">
        <f>IF(AND(C44&lt;&gt;"", COUNTIF('マスタ'!$C:$C, C44)=0), "マスタ未登録", "")</f>
        <v/>
      </c>
      <c r="C44" s="53" t="str">
        <f t="shared" si="1"/>
        <v>研修費</v>
      </c>
      <c r="D44" s="10"/>
      <c r="E44" s="18" t="s">
        <v>97</v>
      </c>
      <c r="F44" s="10"/>
      <c r="G44" s="20">
        <v>0.0</v>
      </c>
    </row>
    <row r="45" ht="15.75" customHeight="1">
      <c r="A45" s="59" t="str">
        <f t="array" ref="A45">XLOOKUP(C45, 'マスタ'!$C$2:$C$500, 'マスタ'!$D$2:$D$500, "マスタ未登録")</f>
        <v>雑費</v>
      </c>
      <c r="B45" s="53" t="str">
        <f>IF(AND(C45&lt;&gt;"", COUNTIF('マスタ'!$C:$C, C45)=0), "マスタ未登録", "")</f>
        <v/>
      </c>
      <c r="C45" s="53" t="str">
        <f t="shared" si="1"/>
        <v>諸経費</v>
      </c>
      <c r="D45" s="10"/>
      <c r="E45" s="18" t="s">
        <v>147</v>
      </c>
      <c r="F45" s="10"/>
      <c r="G45" s="6">
        <v>0.0</v>
      </c>
    </row>
    <row r="46" ht="15.75" customHeight="1">
      <c r="A46" s="59" t="str">
        <f t="array" ref="A46">XLOOKUP(C46, 'マスタ'!$C$2:$C$500, 'マスタ'!$D$2:$D$500, "マスタ未登録")</f>
        <v>共通費配賦</v>
      </c>
      <c r="B46" s="53" t="str">
        <f>IF(AND(C46&lt;&gt;"", COUNTIF('マスタ'!$C:$C, C46)=0), "マスタ未登録", "")</f>
        <v/>
      </c>
      <c r="C46" s="53" t="str">
        <f t="shared" si="1"/>
        <v>共通費配賦</v>
      </c>
      <c r="D46" s="10"/>
      <c r="E46" s="18" t="s">
        <v>99</v>
      </c>
      <c r="F46" s="10"/>
      <c r="G46" s="6">
        <v>0.0</v>
      </c>
    </row>
    <row r="47" ht="15.75" customHeight="1">
      <c r="A47" s="59" t="str">
        <f t="array" ref="A47">XLOOKUP(C47, 'マスタ'!$C$2:$C$500, 'マスタ'!$D$2:$D$500, "マスタ未登録")</f>
        <v>マスタ未登録</v>
      </c>
      <c r="B47" s="53" t="str">
        <f>IF(AND(C47&lt;&gt;"", COUNTIF('マスタ'!$C:$C, C47)=0), "マスタ未登録", "")</f>
        <v>マスタ未登録</v>
      </c>
      <c r="C47" s="53" t="str">
        <f t="shared" si="1"/>
        <v>販売費及び一般管理費合計</v>
      </c>
      <c r="D47" s="18" t="s">
        <v>102</v>
      </c>
      <c r="E47" s="10"/>
      <c r="F47" s="18" t="s">
        <v>143</v>
      </c>
      <c r="G47" s="6">
        <v>854191.0</v>
      </c>
    </row>
    <row r="48" ht="15.75" customHeight="1">
      <c r="A48" s="59" t="str">
        <f t="array" ref="A48">XLOOKUP(C48, 'マスタ'!$C$2:$C$500, 'マスタ'!$D$2:$D$500, "マスタ未登録")</f>
        <v>マスタ未登録</v>
      </c>
      <c r="B48" s="53" t="str">
        <f>IF(AND(C48&lt;&gt;"", COUNTIF('マスタ'!$C:$C, C48)=0), "マスタ未登録", "")</f>
        <v>マスタ未登録</v>
      </c>
      <c r="C48" s="53" t="str">
        <f t="shared" si="1"/>
        <v>営業利益</v>
      </c>
      <c r="D48" s="18" t="s">
        <v>31</v>
      </c>
      <c r="E48" s="10"/>
      <c r="F48" s="18" t="s">
        <v>9</v>
      </c>
      <c r="G48" s="6">
        <v>-854191.0</v>
      </c>
    </row>
    <row r="49" ht="15.75" customHeight="1">
      <c r="A49" s="59" t="str">
        <f t="array" ref="A49">XLOOKUP(C49, 'マスタ'!$C$2:$C$500, 'マスタ'!$D$2:$D$500, "マスタ未登録")</f>
        <v>マスタ未登録</v>
      </c>
      <c r="B49" s="53" t="str">
        <f>IF(AND(C49&lt;&gt;"", COUNTIF('マスタ'!$C:$C, C49)=0), "マスタ未登録", "")</f>
        <v/>
      </c>
      <c r="C49" s="53" t="str">
        <f t="shared" si="1"/>
        <v/>
      </c>
      <c r="D49" s="10"/>
      <c r="E49" s="10"/>
      <c r="F49" s="18" t="s">
        <v>149</v>
      </c>
      <c r="G49" s="10"/>
    </row>
    <row r="50" ht="15.75" customHeight="1">
      <c r="A50" s="59" t="str">
        <f t="array" ref="A50">XLOOKUP(C50, 'マスタ'!$C$2:$C$500, 'マスタ'!$D$2:$D$500, "マスタ未登録")</f>
        <v>マスタ未登録</v>
      </c>
      <c r="B50" s="53" t="str">
        <f>IF(AND(C50&lt;&gt;"", COUNTIF('マスタ'!$C:$C, C50)=0), "マスタ未登録", "")</f>
        <v/>
      </c>
      <c r="C50" s="53" t="str">
        <f t="shared" si="1"/>
        <v/>
      </c>
      <c r="D50" s="10"/>
      <c r="E50" s="10"/>
      <c r="F50" s="18" t="s">
        <v>150</v>
      </c>
      <c r="G50" s="12"/>
    </row>
    <row r="51" ht="15.75" customHeight="1">
      <c r="A51" s="59" t="str">
        <f t="array" ref="A51">XLOOKUP(C51, 'マスタ'!$C$2:$C$500, 'マスタ'!$D$2:$D$500, "マスタ未登録")</f>
        <v>マスタ未登録</v>
      </c>
      <c r="B51" s="53" t="str">
        <f>IF(AND(C51&lt;&gt;"", COUNTIF('マスタ'!$C:$C, C51)=0), "マスタ未登録", "")</f>
        <v>マスタ未登録</v>
      </c>
      <c r="C51" s="53" t="str">
        <f t="shared" si="1"/>
        <v>育成枠</v>
      </c>
      <c r="D51" s="10"/>
      <c r="E51" s="4" t="s">
        <v>126</v>
      </c>
      <c r="F51" s="10"/>
      <c r="G51" s="17"/>
    </row>
    <row r="52" ht="15.75" customHeight="1">
      <c r="A52" s="59" t="str">
        <f t="array" ref="A52">XLOOKUP(C52, 'マスタ'!$C$2:$C$500, 'マスタ'!$D$2:$D$500, "マスタ未登録")</f>
        <v>売上高</v>
      </c>
      <c r="B52" s="53" t="str">
        <f>IF(AND(C52&lt;&gt;"", COUNTIF('マスタ'!$C:$C, C52)=0), "マスタ未登録", "")</f>
        <v/>
      </c>
      <c r="C52" s="53" t="str">
        <f t="shared" si="1"/>
        <v>売上高</v>
      </c>
      <c r="D52" s="18" t="s">
        <v>1</v>
      </c>
      <c r="E52" s="10"/>
      <c r="F52" s="18" t="s">
        <v>2</v>
      </c>
      <c r="G52" s="10"/>
    </row>
    <row r="53" ht="15.75" customHeight="1">
      <c r="A53" s="59" t="str">
        <f t="array" ref="A53">XLOOKUP(C53, 'マスタ'!$C$2:$C$500, 'マスタ'!$D$2:$D$500, "マスタ未登録")</f>
        <v>売上高</v>
      </c>
      <c r="B53" s="53" t="str">
        <f>IF(AND(C53&lt;&gt;"", COUNTIF('マスタ'!$C:$C, C53)=0), "マスタ未登録", "")</f>
        <v/>
      </c>
      <c r="C53" s="53" t="str">
        <f t="shared" si="1"/>
        <v>グッズ販売</v>
      </c>
      <c r="D53" s="10"/>
      <c r="E53" s="18" t="s">
        <v>130</v>
      </c>
      <c r="F53" s="10"/>
      <c r="G53" s="10"/>
    </row>
    <row r="54" ht="15.75" customHeight="1">
      <c r="A54" s="59" t="str">
        <f t="array" ref="A54">XLOOKUP(C54, 'マスタ'!$C$2:$C$500, 'マスタ'!$D$2:$D$500, "マスタ未登録")</f>
        <v>売上高</v>
      </c>
      <c r="B54" s="53" t="str">
        <f>IF(AND(C54&lt;&gt;"", COUNTIF('マスタ'!$C:$C, C54)=0), "マスタ未登録", "")</f>
        <v/>
      </c>
      <c r="C54" s="53" t="str">
        <f t="shared" si="1"/>
        <v>Youtube</v>
      </c>
      <c r="D54" s="10"/>
      <c r="E54" s="18" t="s">
        <v>131</v>
      </c>
      <c r="F54" s="10"/>
      <c r="G54" s="10"/>
    </row>
    <row r="55" ht="15.75" customHeight="1">
      <c r="A55" s="59" t="str">
        <f t="array" ref="A55">XLOOKUP(C55, 'マスタ'!$C$2:$C$500, 'マスタ'!$D$2:$D$500, "マスタ未登録")</f>
        <v>売上高</v>
      </c>
      <c r="B55" s="53" t="str">
        <f>IF(AND(C55&lt;&gt;"", COUNTIF('マスタ'!$C:$C, C55)=0), "マスタ未登録", "")</f>
        <v/>
      </c>
      <c r="C55" s="53" t="str">
        <f t="shared" si="1"/>
        <v>Twitch</v>
      </c>
      <c r="D55" s="10"/>
      <c r="E55" s="18" t="s">
        <v>132</v>
      </c>
      <c r="F55" s="10"/>
      <c r="G55" s="10"/>
    </row>
    <row r="56" ht="15.75" customHeight="1">
      <c r="A56" s="59" t="str">
        <f t="array" ref="A56">XLOOKUP(C56, 'マスタ'!$C$2:$C$500, 'マスタ'!$D$2:$D$500, "マスタ未登録")</f>
        <v>売上高</v>
      </c>
      <c r="B56" s="53" t="str">
        <f>IF(AND(C56&lt;&gt;"", COUNTIF('マスタ'!$C:$C, C56)=0), "マスタ未登録", "")</f>
        <v/>
      </c>
      <c r="C56" s="53" t="str">
        <f t="shared" si="1"/>
        <v>LINE</v>
      </c>
      <c r="D56" s="10"/>
      <c r="E56" s="18" t="s">
        <v>133</v>
      </c>
      <c r="F56" s="10"/>
      <c r="G56" s="10"/>
    </row>
    <row r="57" ht="15.75" customHeight="1">
      <c r="A57" s="59" t="str">
        <f t="array" ref="A57">XLOOKUP(C57, 'マスタ'!$C$2:$C$500, 'マスタ'!$D$2:$D$500, "マスタ未登録")</f>
        <v>売上高</v>
      </c>
      <c r="B57" s="53" t="str">
        <f>IF(AND(C57&lt;&gt;"", COUNTIF('マスタ'!$C:$C, C57)=0), "マスタ未登録", "")</f>
        <v/>
      </c>
      <c r="C57" s="53" t="str">
        <f t="shared" si="1"/>
        <v>その他</v>
      </c>
      <c r="D57" s="10"/>
      <c r="E57" s="18" t="s">
        <v>135</v>
      </c>
      <c r="F57" s="10"/>
      <c r="G57" s="10"/>
    </row>
    <row r="58" ht="15.75" customHeight="1">
      <c r="A58" s="59" t="str">
        <f t="array" ref="A58">XLOOKUP(C58, 'マスタ'!$C$2:$C$500, 'マスタ'!$D$2:$D$500, "マスタ未登録")</f>
        <v>売上高</v>
      </c>
      <c r="B58" s="53" t="str">
        <f>IF(AND(C58&lt;&gt;"", COUNTIF('マスタ'!$C:$C, C58)=0), "マスタ未登録", "")</f>
        <v/>
      </c>
      <c r="C58" s="53" t="str">
        <f t="shared" si="1"/>
        <v>ライブ</v>
      </c>
      <c r="D58" s="10"/>
      <c r="E58" s="18" t="s">
        <v>134</v>
      </c>
      <c r="F58" s="10"/>
      <c r="G58" s="10"/>
    </row>
    <row r="59" ht="15.75" customHeight="1">
      <c r="A59" s="59" t="str">
        <f t="array" ref="A59">XLOOKUP(C59, 'マスタ'!$C$2:$C$500, 'マスタ'!$D$2:$D$500, "マスタ未登録")</f>
        <v>売上高</v>
      </c>
      <c r="B59" s="53" t="str">
        <f>IF(AND(C59&lt;&gt;"", COUNTIF('マスタ'!$C:$C, C59)=0), "マスタ未登録", "")</f>
        <v/>
      </c>
      <c r="C59" s="53" t="str">
        <f t="shared" si="1"/>
        <v>売上値引・返品</v>
      </c>
      <c r="D59" s="10"/>
      <c r="E59" s="18" t="s">
        <v>136</v>
      </c>
      <c r="F59" s="10"/>
      <c r="G59" s="5"/>
    </row>
    <row r="60" ht="15.75" customHeight="1">
      <c r="A60" s="59" t="str">
        <f t="array" ref="A60">XLOOKUP(C60, 'マスタ'!$C$2:$C$500, 'マスタ'!$D$2:$D$500, "マスタ未登録")</f>
        <v>マスタ未登録</v>
      </c>
      <c r="B60" s="53" t="str">
        <f>IF(AND(C60&lt;&gt;"", COUNTIF('マスタ'!$C:$C, C60)=0), "マスタ未登録", "")</f>
        <v>マスタ未登録</v>
      </c>
      <c r="C60" s="53" t="str">
        <f t="shared" si="1"/>
        <v>売上高合計</v>
      </c>
      <c r="D60" s="18" t="s">
        <v>67</v>
      </c>
      <c r="E60" s="10"/>
      <c r="F60" s="18" t="s">
        <v>137</v>
      </c>
      <c r="G60" s="6">
        <v>0.0</v>
      </c>
    </row>
    <row r="61" ht="15.75" customHeight="1">
      <c r="A61" s="59" t="str">
        <f t="array" ref="A61">XLOOKUP(C61, 'マスタ'!$C$2:$C$500, 'マスタ'!$D$2:$D$500, "マスタ未登録")</f>
        <v>マスタ未登録</v>
      </c>
      <c r="B61" s="53" t="str">
        <f>IF(AND(C61&lt;&gt;"", COUNTIF('マスタ'!$C:$C, C61)=0), "マスタ未登録", "")</f>
        <v>マスタ未登録</v>
      </c>
      <c r="C61" s="53" t="str">
        <f t="shared" si="1"/>
        <v>売上原価</v>
      </c>
      <c r="D61" s="18" t="s">
        <v>28</v>
      </c>
      <c r="E61" s="10"/>
      <c r="F61" s="18" t="s">
        <v>4</v>
      </c>
      <c r="G61" s="10"/>
    </row>
    <row r="62" ht="15.75" customHeight="1">
      <c r="A62" s="59" t="str">
        <f t="array" ref="A62">XLOOKUP(C62, 'マスタ'!$C$2:$C$500, 'マスタ'!$D$2:$D$500, "マスタ未登録")</f>
        <v>当期商品仕入高</v>
      </c>
      <c r="B62" s="53" t="str">
        <f>IF(AND(C62&lt;&gt;"", COUNTIF('マスタ'!$C:$C, C62)=0), "マスタ未登録", "")</f>
        <v/>
      </c>
      <c r="C62" s="53" t="str">
        <f t="shared" si="1"/>
        <v>仕入高</v>
      </c>
      <c r="D62" s="10"/>
      <c r="E62" s="18" t="s">
        <v>138</v>
      </c>
      <c r="F62" s="10"/>
      <c r="G62" s="6">
        <v>0.0</v>
      </c>
    </row>
    <row r="63" ht="15.75" customHeight="1">
      <c r="A63" s="59" t="str">
        <f t="array" ref="A63">XLOOKUP(C63, 'マスタ'!$C$2:$C$500, 'マスタ'!$D$2:$D$500, "マスタ未登録")</f>
        <v>当期商品仕入高</v>
      </c>
      <c r="B63" s="53" t="str">
        <f>IF(AND(C63&lt;&gt;"", COUNTIF('マスタ'!$C:$C, C63)=0), "マスタ未登録", "")</f>
        <v/>
      </c>
      <c r="C63" s="53" t="str">
        <f t="shared" si="1"/>
        <v>支払手数料(原価)</v>
      </c>
      <c r="D63" s="10"/>
      <c r="E63" s="18" t="s">
        <v>70</v>
      </c>
      <c r="F63" s="10"/>
      <c r="G63" s="6">
        <v>0.0</v>
      </c>
    </row>
    <row r="64" ht="15.75" customHeight="1">
      <c r="A64" s="59" t="str">
        <f t="array" ref="A64">XLOOKUP(C64, 'マスタ'!$C$2:$C$500, 'マスタ'!$D$2:$D$500, "マスタ未登録")</f>
        <v>期末商品棚卸高</v>
      </c>
      <c r="B64" s="53" t="str">
        <f>IF(AND(C64&lt;&gt;"", COUNTIF('マスタ'!$C:$C, C64)=0), "マスタ未登録", "")</f>
        <v/>
      </c>
      <c r="C64" s="53" t="str">
        <f t="shared" si="1"/>
        <v>期末商品棚卸高</v>
      </c>
      <c r="D64" s="10"/>
      <c r="E64" s="18" t="s">
        <v>71</v>
      </c>
      <c r="F64" s="10"/>
      <c r="G64" s="6">
        <v>0.0</v>
      </c>
    </row>
    <row r="65" ht="15.75" customHeight="1">
      <c r="A65" s="59" t="str">
        <f t="array" ref="A65">XLOOKUP(C65, 'マスタ'!$C$2:$C$500, 'マスタ'!$D$2:$D$500, "マスタ未登録")</f>
        <v>マスタ未登録</v>
      </c>
      <c r="B65" s="53" t="str">
        <f>IF(AND(C65&lt;&gt;"", COUNTIF('マスタ'!$C:$C, C65)=0), "マスタ未登録", "")</f>
        <v>マスタ未登録</v>
      </c>
      <c r="C65" s="53" t="str">
        <f t="shared" si="1"/>
        <v>売上原価</v>
      </c>
      <c r="D65" s="18" t="s">
        <v>28</v>
      </c>
      <c r="E65" s="10"/>
      <c r="F65" s="18" t="s">
        <v>4</v>
      </c>
      <c r="G65" s="6">
        <v>0.0</v>
      </c>
    </row>
    <row r="66" ht="15.75" customHeight="1">
      <c r="A66" s="59" t="str">
        <f t="array" ref="A66">XLOOKUP(C66, 'マスタ'!$C$2:$C$500, 'マスタ'!$D$2:$D$500, "マスタ未登録")</f>
        <v>マスタ未登録</v>
      </c>
      <c r="B66" s="53" t="str">
        <f>IF(AND(C66&lt;&gt;"", COUNTIF('マスタ'!$C:$C, C66)=0), "マスタ未登録", "")</f>
        <v>マスタ未登録</v>
      </c>
      <c r="C66" s="53" t="str">
        <f t="shared" si="1"/>
        <v>売上総利益</v>
      </c>
      <c r="D66" s="18" t="s">
        <v>5</v>
      </c>
      <c r="E66" s="10"/>
      <c r="F66" s="18" t="s">
        <v>6</v>
      </c>
      <c r="G66" s="6">
        <v>0.0</v>
      </c>
    </row>
    <row r="67" ht="15.75" customHeight="1">
      <c r="A67" s="59" t="str">
        <f t="array" ref="A67">XLOOKUP(C67, 'マスタ'!$C$2:$C$500, 'マスタ'!$D$2:$D$500, "マスタ未登録")</f>
        <v>マスタ未登録</v>
      </c>
      <c r="B67" s="53" t="str">
        <f>IF(AND(C67&lt;&gt;"", COUNTIF('マスタ'!$C:$C, C67)=0), "マスタ未登録", "")</f>
        <v>マスタ未登録</v>
      </c>
      <c r="C67" s="53" t="str">
        <f t="shared" si="1"/>
        <v>販売費及び一般管理費</v>
      </c>
      <c r="D67" s="18" t="s">
        <v>29</v>
      </c>
      <c r="E67" s="10"/>
      <c r="F67" s="18" t="s">
        <v>30</v>
      </c>
      <c r="G67" s="5"/>
    </row>
    <row r="68" ht="15.75" customHeight="1">
      <c r="A68" s="59" t="str">
        <f t="array" ref="A68">XLOOKUP(C68, 'マスタ'!$C$2:$C$500, 'マスタ'!$D$2:$D$500, "マスタ未登録")</f>
        <v>役員報酬</v>
      </c>
      <c r="B68" s="53" t="str">
        <f>IF(AND(C68&lt;&gt;"", COUNTIF('マスタ'!$C:$C, C68)=0), "マスタ未登録", "")</f>
        <v/>
      </c>
      <c r="C68" s="53" t="str">
        <f t="shared" si="1"/>
        <v>役員報酬</v>
      </c>
      <c r="D68" s="10"/>
      <c r="E68" s="18" t="s">
        <v>72</v>
      </c>
      <c r="F68" s="10"/>
      <c r="G68" s="6">
        <v>0.0</v>
      </c>
    </row>
    <row r="69" ht="15.75" customHeight="1">
      <c r="A69" s="59" t="str">
        <f t="array" ref="A69">XLOOKUP(C69, 'マスタ'!$C$2:$C$500, 'マスタ'!$D$2:$D$500, "マスタ未登録")</f>
        <v>給料手当</v>
      </c>
      <c r="B69" s="53" t="str">
        <f>IF(AND(C69&lt;&gt;"", COUNTIF('マスタ'!$C:$C, C69)=0), "マスタ未登録", "")</f>
        <v/>
      </c>
      <c r="C69" s="53" t="str">
        <f t="shared" si="1"/>
        <v>給料賃金</v>
      </c>
      <c r="D69" s="10"/>
      <c r="E69" s="18" t="s">
        <v>139</v>
      </c>
      <c r="F69" s="10"/>
      <c r="G69" s="6">
        <v>0.0</v>
      </c>
    </row>
    <row r="70" ht="15.75" customHeight="1">
      <c r="A70" s="59" t="str">
        <f t="array" ref="A70">XLOOKUP(C70, 'マスタ'!$C$2:$C$500, 'マスタ'!$D$2:$D$500, "マスタ未登録")</f>
        <v>法定福利費</v>
      </c>
      <c r="B70" s="53" t="str">
        <f>IF(AND(C70&lt;&gt;"", COUNTIF('マスタ'!$C:$C, C70)=0), "マスタ未登録", "")</f>
        <v/>
      </c>
      <c r="C70" s="53" t="str">
        <f t="shared" si="1"/>
        <v>法定福利費</v>
      </c>
      <c r="D70" s="10"/>
      <c r="E70" s="18" t="s">
        <v>74</v>
      </c>
      <c r="F70" s="10"/>
      <c r="G70" s="6">
        <v>0.0</v>
      </c>
    </row>
    <row r="71" ht="15.75" customHeight="1">
      <c r="A71" s="59" t="str">
        <f t="array" ref="A71">XLOOKUP(C71, 'マスタ'!$C$2:$C$500, 'マスタ'!$D$2:$D$500, "マスタ未登録")</f>
        <v>株式報酬費用</v>
      </c>
      <c r="B71" s="53" t="str">
        <f>IF(AND(C71&lt;&gt;"", COUNTIF('マスタ'!$C:$C, C71)=0), "マスタ未登録", "")</f>
        <v/>
      </c>
      <c r="C71" s="53" t="str">
        <f t="shared" si="1"/>
        <v>株式報酬費用</v>
      </c>
      <c r="D71" s="10"/>
      <c r="E71" s="18" t="s">
        <v>76</v>
      </c>
      <c r="F71" s="10"/>
      <c r="G71" s="20">
        <v>0.0</v>
      </c>
    </row>
    <row r="72" ht="15.75" customHeight="1">
      <c r="A72" s="59" t="str">
        <f t="array" ref="A72">XLOOKUP(C72, 'マスタ'!$C$2:$C$500, 'マスタ'!$D$2:$D$500, "マスタ未登録")</f>
        <v>福利厚生費</v>
      </c>
      <c r="B72" s="53" t="str">
        <f>IF(AND(C72&lt;&gt;"", COUNTIF('マスタ'!$C:$C, C72)=0), "マスタ未登録", "")</f>
        <v/>
      </c>
      <c r="C72" s="53" t="str">
        <f t="shared" si="1"/>
        <v>福利厚生費</v>
      </c>
      <c r="D72" s="10"/>
      <c r="E72" s="18" t="s">
        <v>75</v>
      </c>
      <c r="F72" s="10"/>
      <c r="G72" s="6">
        <v>0.0</v>
      </c>
    </row>
    <row r="73" ht="15.75" customHeight="1">
      <c r="A73" s="59" t="str">
        <f t="array" ref="A73">XLOOKUP(C73, 'マスタ'!$C$2:$C$500, 'マスタ'!$D$2:$D$500, "マスタ未登録")</f>
        <v>採用教育費</v>
      </c>
      <c r="B73" s="53" t="str">
        <f>IF(AND(C73&lt;&gt;"", COUNTIF('マスタ'!$C:$C, C73)=0), "マスタ未登録", "")</f>
        <v/>
      </c>
      <c r="C73" s="53" t="str">
        <f t="shared" si="1"/>
        <v>採用費</v>
      </c>
      <c r="D73" s="10"/>
      <c r="E73" s="18" t="s">
        <v>140</v>
      </c>
      <c r="F73" s="10"/>
      <c r="G73" s="6">
        <v>0.0</v>
      </c>
    </row>
    <row r="74" ht="15.75" customHeight="1">
      <c r="A74" s="59" t="str">
        <f t="array" ref="A74">XLOOKUP(C74, 'マスタ'!$C$2:$C$500, 'マスタ'!$D$2:$D$500, "マスタ未登録")</f>
        <v>業務委託費</v>
      </c>
      <c r="B74" s="53" t="str">
        <f>IF(AND(C74&lt;&gt;"", COUNTIF('マスタ'!$C:$C, C74)=0), "マスタ未登録", "")</f>
        <v/>
      </c>
      <c r="C74" s="53" t="str">
        <f t="shared" si="1"/>
        <v>業務委託料</v>
      </c>
      <c r="D74" s="10"/>
      <c r="E74" s="18" t="s">
        <v>141</v>
      </c>
      <c r="F74" s="10"/>
      <c r="G74" s="6">
        <v>0.0</v>
      </c>
    </row>
    <row r="75" ht="15.75" customHeight="1">
      <c r="A75" s="59" t="str">
        <f t="array" ref="A75">XLOOKUP(C75, 'マスタ'!$C$2:$C$500, 'マスタ'!$D$2:$D$500, "マスタ未登録")</f>
        <v>外注費</v>
      </c>
      <c r="B75" s="53" t="str">
        <f>IF(AND(C75&lt;&gt;"", COUNTIF('マスタ'!$C:$C, C75)=0), "マスタ未登録", "")</f>
        <v/>
      </c>
      <c r="C75" s="53" t="str">
        <f t="shared" si="1"/>
        <v>外注費</v>
      </c>
      <c r="D75" s="10"/>
      <c r="E75" s="18" t="s">
        <v>79</v>
      </c>
      <c r="F75" s="10"/>
      <c r="G75" s="6">
        <v>0.0</v>
      </c>
    </row>
    <row r="76" ht="15.75" customHeight="1">
      <c r="A76" s="59" t="str">
        <f t="array" ref="A76">XLOOKUP(C76, 'マスタ'!$C$2:$C$500, 'マスタ'!$D$2:$D$500, "マスタ未登録")</f>
        <v>荷造運賃</v>
      </c>
      <c r="B76" s="53" t="str">
        <f>IF(AND(C76&lt;&gt;"", COUNTIF('マスタ'!$C:$C, C76)=0), "マスタ未登録", "")</f>
        <v/>
      </c>
      <c r="C76" s="53" t="str">
        <f t="shared" si="1"/>
        <v>荷造運賃</v>
      </c>
      <c r="D76" s="10"/>
      <c r="E76" s="18" t="s">
        <v>80</v>
      </c>
      <c r="F76" s="10"/>
      <c r="G76" s="6">
        <v>0.0</v>
      </c>
    </row>
    <row r="77" ht="15.75" customHeight="1">
      <c r="A77" s="59" t="str">
        <f t="array" ref="A77">XLOOKUP(C77, 'マスタ'!$C$2:$C$500, 'マスタ'!$D$2:$D$500, "マスタ未登録")</f>
        <v>広告宣伝費</v>
      </c>
      <c r="B77" s="53" t="str">
        <f>IF(AND(C77&lt;&gt;"", COUNTIF('マスタ'!$C:$C, C77)=0), "マスタ未登録", "")</f>
        <v/>
      </c>
      <c r="C77" s="53" t="str">
        <f t="shared" si="1"/>
        <v>広告宣伝費</v>
      </c>
      <c r="D77" s="10"/>
      <c r="E77" s="18" t="s">
        <v>81</v>
      </c>
      <c r="F77" s="10"/>
      <c r="G77" s="6">
        <v>0.0</v>
      </c>
    </row>
    <row r="78" ht="15.75" customHeight="1">
      <c r="A78" s="59" t="str">
        <f t="array" ref="A78">XLOOKUP(C78, 'マスタ'!$C$2:$C$500, 'マスタ'!$D$2:$D$500, "マスタ未登録")</f>
        <v>接待交際費</v>
      </c>
      <c r="B78" s="53" t="str">
        <f>IF(AND(C78&lt;&gt;"", COUNTIF('マスタ'!$C:$C, C78)=0), "マスタ未登録", "")</f>
        <v/>
      </c>
      <c r="C78" s="53" t="str">
        <f t="shared" si="1"/>
        <v>接待交際費</v>
      </c>
      <c r="D78" s="10"/>
      <c r="E78" s="18" t="s">
        <v>82</v>
      </c>
      <c r="F78" s="10"/>
      <c r="G78" s="6">
        <v>0.0</v>
      </c>
    </row>
    <row r="79" ht="15.75" customHeight="1">
      <c r="A79" s="59" t="str">
        <f t="array" ref="A79">XLOOKUP(C79, 'マスタ'!$C$2:$C$500, 'マスタ'!$D$2:$D$500, "マスタ未登録")</f>
        <v>旅費交通費</v>
      </c>
      <c r="B79" s="53" t="str">
        <f>IF(AND(C79&lt;&gt;"", COUNTIF('マスタ'!$C:$C, C79)=0), "マスタ未登録", "")</f>
        <v/>
      </c>
      <c r="C79" s="53" t="str">
        <f t="shared" si="1"/>
        <v>旅費交通費</v>
      </c>
      <c r="D79" s="10"/>
      <c r="E79" s="18" t="s">
        <v>83</v>
      </c>
      <c r="F79" s="10"/>
      <c r="G79" s="6">
        <v>0.0</v>
      </c>
    </row>
    <row r="80" ht="15.75" customHeight="1">
      <c r="A80" s="59" t="str">
        <f t="array" ref="A80">XLOOKUP(C80, 'マスタ'!$C$2:$C$500, 'マスタ'!$D$2:$D$500, "マスタ未登録")</f>
        <v>通信費</v>
      </c>
      <c r="B80" s="53" t="str">
        <f>IF(AND(C80&lt;&gt;"", COUNTIF('マスタ'!$C:$C, C80)=0), "マスタ未登録", "")</f>
        <v/>
      </c>
      <c r="C80" s="53" t="str">
        <f t="shared" si="1"/>
        <v>通信費</v>
      </c>
      <c r="D80" s="10"/>
      <c r="E80" s="18" t="s">
        <v>84</v>
      </c>
      <c r="F80" s="10"/>
      <c r="G80" s="6">
        <v>2143.0</v>
      </c>
    </row>
    <row r="81" ht="15.75" customHeight="1">
      <c r="A81" s="59" t="str">
        <f t="array" ref="A81">XLOOKUP(C81, 'マスタ'!$C$2:$C$500, 'マスタ'!$D$2:$D$500, "マスタ未登録")</f>
        <v>修繕費</v>
      </c>
      <c r="B81" s="53" t="str">
        <f>IF(AND(C81&lt;&gt;"", COUNTIF('マスタ'!$C:$C, C81)=0), "マスタ未登録", "")</f>
        <v/>
      </c>
      <c r="C81" s="53" t="str">
        <f t="shared" si="1"/>
        <v>修繕費</v>
      </c>
      <c r="D81" s="10"/>
      <c r="E81" s="18" t="s">
        <v>85</v>
      </c>
      <c r="F81" s="10"/>
      <c r="G81" s="6">
        <v>0.0</v>
      </c>
    </row>
    <row r="82" ht="15.75" customHeight="1">
      <c r="A82" s="59" t="str">
        <f t="array" ref="A82">XLOOKUP(C82, 'マスタ'!$C$2:$C$500, 'マスタ'!$D$2:$D$500, "マスタ未登録")</f>
        <v>消耗品費</v>
      </c>
      <c r="B82" s="53" t="str">
        <f>IF(AND(C82&lt;&gt;"", COUNTIF('マスタ'!$C:$C, C82)=0), "マスタ未登録", "")</f>
        <v/>
      </c>
      <c r="C82" s="53" t="str">
        <f t="shared" si="1"/>
        <v>備品・消耗品費</v>
      </c>
      <c r="D82" s="10"/>
      <c r="E82" s="18" t="s">
        <v>142</v>
      </c>
      <c r="F82" s="10"/>
      <c r="G82" s="6">
        <v>0.0</v>
      </c>
    </row>
    <row r="83" ht="15.75" customHeight="1">
      <c r="A83" s="59" t="str">
        <f t="array" ref="A83">XLOOKUP(C83, 'マスタ'!$C$2:$C$500, 'マスタ'!$D$2:$D$500, "マスタ未登録")</f>
        <v>賃借料</v>
      </c>
      <c r="B83" s="53" t="str">
        <f>IF(AND(C83&lt;&gt;"", COUNTIF('マスタ'!$C:$C, C83)=0), "マスタ未登録", "")</f>
        <v/>
      </c>
      <c r="C83" s="53" t="str">
        <f t="shared" si="1"/>
        <v>賃借料</v>
      </c>
      <c r="D83" s="10"/>
      <c r="E83" s="18" t="s">
        <v>89</v>
      </c>
      <c r="F83" s="10"/>
      <c r="G83" s="6">
        <v>0.0</v>
      </c>
    </row>
    <row r="84" ht="15.75" customHeight="1">
      <c r="A84" s="59" t="str">
        <f t="array" ref="A84">XLOOKUP(C84, 'マスタ'!$C$2:$C$500, 'マスタ'!$D$2:$D$500, "マスタ未登録")</f>
        <v>地代家賃</v>
      </c>
      <c r="B84" s="53" t="str">
        <f>IF(AND(C84&lt;&gt;"", COUNTIF('マスタ'!$C:$C, C84)=0), "マスタ未登録", "")</f>
        <v/>
      </c>
      <c r="C84" s="53" t="str">
        <f t="shared" si="1"/>
        <v>地代家賃</v>
      </c>
      <c r="D84" s="10"/>
      <c r="E84" s="18" t="s">
        <v>87</v>
      </c>
      <c r="F84" s="10"/>
      <c r="G84" s="6">
        <v>0.0</v>
      </c>
    </row>
    <row r="85" ht="15.75" customHeight="1">
      <c r="A85" s="59" t="str">
        <f t="array" ref="A85">XLOOKUP(C85, 'マスタ'!$C$2:$C$500, 'マスタ'!$D$2:$D$500, "マスタ未登録")</f>
        <v>リース料</v>
      </c>
      <c r="B85" s="53" t="str">
        <f>IF(AND(C85&lt;&gt;"", COUNTIF('マスタ'!$C:$C, C85)=0), "マスタ未登録", "")</f>
        <v/>
      </c>
      <c r="C85" s="53" t="str">
        <f t="shared" si="1"/>
        <v>リース料</v>
      </c>
      <c r="D85" s="10"/>
      <c r="E85" s="18" t="s">
        <v>88</v>
      </c>
      <c r="F85" s="10"/>
      <c r="G85" s="20">
        <v>0.0</v>
      </c>
    </row>
    <row r="86" ht="15.75" customHeight="1">
      <c r="A86" s="59" t="str">
        <f t="array" ref="A86">XLOOKUP(C86, 'マスタ'!$C$2:$C$500, 'マスタ'!$D$2:$D$500, "マスタ未登録")</f>
        <v>保険料</v>
      </c>
      <c r="B86" s="53" t="str">
        <f>IF(AND(C86&lt;&gt;"", COUNTIF('マスタ'!$C:$C, C86)=0), "マスタ未登録", "")</f>
        <v/>
      </c>
      <c r="C86" s="53" t="str">
        <f t="shared" si="1"/>
        <v>保険料</v>
      </c>
      <c r="D86" s="10"/>
      <c r="E86" s="18" t="s">
        <v>90</v>
      </c>
      <c r="F86" s="10"/>
      <c r="G86" s="6">
        <v>0.0</v>
      </c>
    </row>
    <row r="87" ht="15.75" customHeight="1">
      <c r="A87" s="59" t="str">
        <f t="array" ref="A87">XLOOKUP(C87, 'マスタ'!$C$2:$C$500, 'マスタ'!$D$2:$D$500, "マスタ未登録")</f>
        <v>租税公課</v>
      </c>
      <c r="B87" s="53" t="str">
        <f>IF(AND(C87&lt;&gt;"", COUNTIF('マスタ'!$C:$C, C87)=0), "マスタ未登録", "")</f>
        <v/>
      </c>
      <c r="C87" s="53" t="str">
        <f t="shared" si="1"/>
        <v>租税公課</v>
      </c>
      <c r="D87" s="10"/>
      <c r="E87" s="18" t="s">
        <v>91</v>
      </c>
      <c r="F87" s="10"/>
      <c r="G87" s="6">
        <v>0.0</v>
      </c>
    </row>
    <row r="88" ht="15.75" customHeight="1">
      <c r="A88" s="59" t="str">
        <f t="array" ref="A88">XLOOKUP(C88, 'マスタ'!$C$2:$C$500, 'マスタ'!$D$2:$D$500, "マスタ未登録")</f>
        <v>支払手数料</v>
      </c>
      <c r="B88" s="53" t="str">
        <f>IF(AND(C88&lt;&gt;"", COUNTIF('マスタ'!$C:$C, C88)=0), "マスタ未登録", "")</f>
        <v/>
      </c>
      <c r="C88" s="53" t="str">
        <f t="shared" si="1"/>
        <v>支払手数料</v>
      </c>
      <c r="D88" s="10"/>
      <c r="E88" s="18" t="s">
        <v>92</v>
      </c>
      <c r="F88" s="10"/>
      <c r="G88" s="6">
        <v>396.0</v>
      </c>
    </row>
    <row r="89" ht="15.75" customHeight="1">
      <c r="A89" s="59" t="str">
        <f t="array" ref="A89">XLOOKUP(C89, 'マスタ'!$C$2:$C$500, 'マスタ'!$D$2:$D$500, "マスタ未登録")</f>
        <v>支払報酬費</v>
      </c>
      <c r="B89" s="53" t="str">
        <f>IF(AND(C89&lt;&gt;"", COUNTIF('マスタ'!$C:$C, C89)=0), "マスタ未登録", "")</f>
        <v/>
      </c>
      <c r="C89" s="53" t="str">
        <f t="shared" si="1"/>
        <v>支払報酬</v>
      </c>
      <c r="D89" s="10"/>
      <c r="E89" s="18" t="s">
        <v>93</v>
      </c>
      <c r="F89" s="10"/>
      <c r="G89" s="6">
        <v>0.0</v>
      </c>
    </row>
    <row r="90" ht="15.75" customHeight="1">
      <c r="A90" s="59" t="str">
        <f t="array" ref="A90">XLOOKUP(C90, 'マスタ'!$C$2:$C$500, 'マスタ'!$D$2:$D$500, "マスタ未登録")</f>
        <v>会議費</v>
      </c>
      <c r="B90" s="53" t="str">
        <f>IF(AND(C90&lt;&gt;"", COUNTIF('マスタ'!$C:$C, C90)=0), "マスタ未登録", "")</f>
        <v/>
      </c>
      <c r="C90" s="53" t="str">
        <f t="shared" si="1"/>
        <v>会議費</v>
      </c>
      <c r="D90" s="10"/>
      <c r="E90" s="18" t="s">
        <v>94</v>
      </c>
      <c r="F90" s="10"/>
      <c r="G90" s="6">
        <v>0.0</v>
      </c>
    </row>
    <row r="91" ht="15.75" customHeight="1">
      <c r="A91" s="59" t="str">
        <f t="array" ref="A91">XLOOKUP(C91, 'マスタ'!$C$2:$C$500, 'マスタ'!$D$2:$D$500, "マスタ未登録")</f>
        <v>減価償却費</v>
      </c>
      <c r="B91" s="53" t="str">
        <f>IF(AND(C91&lt;&gt;"", COUNTIF('マスタ'!$C:$C, C91)=0), "マスタ未登録", "")</f>
        <v/>
      </c>
      <c r="C91" s="53" t="str">
        <f t="shared" si="1"/>
        <v>減価償却費</v>
      </c>
      <c r="D91" s="10"/>
      <c r="E91" s="18" t="s">
        <v>95</v>
      </c>
      <c r="F91" s="10"/>
      <c r="G91" s="6">
        <v>0.0</v>
      </c>
    </row>
    <row r="92" ht="15.75" customHeight="1">
      <c r="A92" s="59" t="str">
        <f t="array" ref="A92">XLOOKUP(C92, 'マスタ'!$C$2:$C$500, 'マスタ'!$D$2:$D$500, "マスタ未登録")</f>
        <v>雑費</v>
      </c>
      <c r="B92" s="53" t="str">
        <f>IF(AND(C92&lt;&gt;"", COUNTIF('マスタ'!$C:$C, C92)=0), "マスタ未登録", "")</f>
        <v/>
      </c>
      <c r="C92" s="53" t="str">
        <f t="shared" si="1"/>
        <v>雑費</v>
      </c>
      <c r="D92" s="10"/>
      <c r="E92" s="18" t="s">
        <v>100</v>
      </c>
      <c r="F92" s="10"/>
      <c r="G92" s="6">
        <v>0.0</v>
      </c>
    </row>
    <row r="93" ht="15.75" customHeight="1">
      <c r="A93" s="59" t="str">
        <f t="array" ref="A93">XLOOKUP(C93, 'マスタ'!$C$2:$C$500, 'マスタ'!$D$2:$D$500, "マスタ未登録")</f>
        <v>研修費</v>
      </c>
      <c r="B93" s="53" t="str">
        <f>IF(AND(C93&lt;&gt;"", COUNTIF('マスタ'!$C:$C, C93)=0), "マスタ未登録", "")</f>
        <v/>
      </c>
      <c r="C93" s="53" t="str">
        <f t="shared" si="1"/>
        <v>研修費</v>
      </c>
      <c r="D93" s="10"/>
      <c r="E93" s="18" t="s">
        <v>97</v>
      </c>
      <c r="F93" s="10"/>
      <c r="G93" s="6">
        <v>0.0</v>
      </c>
    </row>
    <row r="94" ht="15.75" customHeight="1">
      <c r="A94" s="59" t="str">
        <f t="array" ref="A94">XLOOKUP(C94, 'マスタ'!$C$2:$C$500, 'マスタ'!$D$2:$D$500, "マスタ未登録")</f>
        <v>雑費</v>
      </c>
      <c r="B94" s="53" t="str">
        <f>IF(AND(C94&lt;&gt;"", COUNTIF('マスタ'!$C:$C, C94)=0), "マスタ未登録", "")</f>
        <v/>
      </c>
      <c r="C94" s="53" t="str">
        <f t="shared" si="1"/>
        <v>諸経費</v>
      </c>
      <c r="D94" s="10"/>
      <c r="E94" s="18" t="s">
        <v>147</v>
      </c>
      <c r="F94" s="10"/>
      <c r="G94" s="6">
        <v>0.0</v>
      </c>
    </row>
    <row r="95" ht="15.75" customHeight="1">
      <c r="A95" s="59" t="str">
        <f t="array" ref="A95">XLOOKUP(C95, 'マスタ'!$C$2:$C$500, 'マスタ'!$D$2:$D$500, "マスタ未登録")</f>
        <v>共通費配賦</v>
      </c>
      <c r="B95" s="53" t="str">
        <f>IF(AND(C95&lt;&gt;"", COUNTIF('マスタ'!$C:$C, C95)=0), "マスタ未登録", "")</f>
        <v/>
      </c>
      <c r="C95" s="53" t="str">
        <f t="shared" si="1"/>
        <v>共通費配賦</v>
      </c>
      <c r="D95" s="10"/>
      <c r="E95" s="18" t="s">
        <v>99</v>
      </c>
      <c r="F95" s="10"/>
      <c r="G95" s="6">
        <v>0.0</v>
      </c>
    </row>
    <row r="96" ht="15.75" customHeight="1">
      <c r="A96" s="59" t="str">
        <f t="array" ref="A96">XLOOKUP(C96, 'マスタ'!$C$2:$C$500, 'マスタ'!$D$2:$D$500, "マスタ未登録")</f>
        <v>マスタ未登録</v>
      </c>
      <c r="B96" s="53" t="str">
        <f>IF(AND(C96&lt;&gt;"", COUNTIF('マスタ'!$C:$C, C96)=0), "マスタ未登録", "")</f>
        <v>マスタ未登録</v>
      </c>
      <c r="C96" s="53" t="str">
        <f t="shared" si="1"/>
        <v>販売費及び一般管理費合計</v>
      </c>
      <c r="D96" s="18" t="s">
        <v>102</v>
      </c>
      <c r="E96" s="10"/>
      <c r="F96" s="18" t="s">
        <v>143</v>
      </c>
      <c r="G96" s="6">
        <v>2539.0</v>
      </c>
    </row>
    <row r="97" ht="15.75" customHeight="1">
      <c r="A97" s="59" t="str">
        <f t="array" ref="A97">XLOOKUP(C97, 'マスタ'!$C$2:$C$500, 'マスタ'!$D$2:$D$500, "マスタ未登録")</f>
        <v>マスタ未登録</v>
      </c>
      <c r="B97" s="53" t="str">
        <f>IF(AND(C97&lt;&gt;"", COUNTIF('マスタ'!$C:$C, C97)=0), "マスタ未登録", "")</f>
        <v>マスタ未登録</v>
      </c>
      <c r="C97" s="53" t="str">
        <f t="shared" si="1"/>
        <v>営業利益</v>
      </c>
      <c r="D97" s="18" t="s">
        <v>31</v>
      </c>
      <c r="E97" s="10"/>
      <c r="F97" s="18" t="s">
        <v>9</v>
      </c>
      <c r="G97" s="6">
        <v>-2539.0</v>
      </c>
    </row>
    <row r="98" ht="15.75" customHeight="1">
      <c r="A98" s="59" t="str">
        <f t="array" ref="A98">XLOOKUP(C98, 'マスタ'!$C$2:$C$500, 'マスタ'!$D$2:$D$500, "マスタ未登録")</f>
        <v>マスタ未登録</v>
      </c>
      <c r="B98" s="53" t="str">
        <f>IF(AND(C98&lt;&gt;"", COUNTIF('マスタ'!$C:$C, C98)=0), "マスタ未登録", "")</f>
        <v/>
      </c>
      <c r="C98" s="53" t="str">
        <f t="shared" si="1"/>
        <v/>
      </c>
      <c r="D98" s="10"/>
      <c r="E98" s="10"/>
      <c r="F98" s="10"/>
      <c r="G98" s="12"/>
    </row>
    <row r="99" ht="15.75" customHeight="1">
      <c r="A99" s="59" t="str">
        <f t="array" ref="A99">XLOOKUP(C99, 'マスタ'!$C$2:$C$500, 'マスタ'!$D$2:$D$500, "マスタ未登録")</f>
        <v>マスタ未登録</v>
      </c>
      <c r="B99" s="53" t="str">
        <f>IF(AND(C99&lt;&gt;"", COUNTIF('マスタ'!$C:$C, C99)=0), "マスタ未登録", "")</f>
        <v>マスタ未登録</v>
      </c>
      <c r="C99" s="53" t="str">
        <f t="shared" si="1"/>
        <v>ゆう。</v>
      </c>
      <c r="D99" s="10"/>
      <c r="E99" s="4" t="s">
        <v>127</v>
      </c>
      <c r="F99" s="10"/>
      <c r="G99" s="17"/>
    </row>
    <row r="100" ht="15.75" customHeight="1">
      <c r="A100" s="59" t="str">
        <f t="array" ref="A100">XLOOKUP(C100, 'マスタ'!$C$2:$C$500, 'マスタ'!$D$2:$D$500, "マスタ未登録")</f>
        <v>売上高</v>
      </c>
      <c r="B100" s="53" t="str">
        <f>IF(AND(C100&lt;&gt;"", COUNTIF('マスタ'!$C:$C, C100)=0), "マスタ未登録", "")</f>
        <v/>
      </c>
      <c r="C100" s="53" t="str">
        <f t="shared" si="1"/>
        <v>売上高</v>
      </c>
      <c r="D100" s="18" t="s">
        <v>1</v>
      </c>
      <c r="E100" s="10"/>
      <c r="F100" s="18" t="s">
        <v>2</v>
      </c>
      <c r="G100" s="10"/>
    </row>
    <row r="101" ht="15.75" customHeight="1">
      <c r="A101" s="59" t="str">
        <f t="array" ref="A101">XLOOKUP(C101, 'マスタ'!$C$2:$C$500, 'マスタ'!$D$2:$D$500, "マスタ未登録")</f>
        <v>売上高</v>
      </c>
      <c r="B101" s="53" t="str">
        <f>IF(AND(C101&lt;&gt;"", COUNTIF('マスタ'!$C:$C, C101)=0), "マスタ未登録", "")</f>
        <v/>
      </c>
      <c r="C101" s="53" t="str">
        <f t="shared" si="1"/>
        <v>グッズ販売</v>
      </c>
      <c r="D101" s="10"/>
      <c r="E101" s="18" t="s">
        <v>130</v>
      </c>
      <c r="F101" s="10"/>
      <c r="G101" s="10"/>
    </row>
    <row r="102" ht="15.75" customHeight="1">
      <c r="A102" s="59" t="str">
        <f t="array" ref="A102">XLOOKUP(C102, 'マスタ'!$C$2:$C$500, 'マスタ'!$D$2:$D$500, "マスタ未登録")</f>
        <v>売上高</v>
      </c>
      <c r="B102" s="53" t="str">
        <f>IF(AND(C102&lt;&gt;"", COUNTIF('マスタ'!$C:$C, C102)=0), "マスタ未登録", "")</f>
        <v/>
      </c>
      <c r="C102" s="53" t="str">
        <f t="shared" si="1"/>
        <v>Youtube</v>
      </c>
      <c r="D102" s="10"/>
      <c r="E102" s="18" t="s">
        <v>131</v>
      </c>
      <c r="F102" s="10"/>
      <c r="G102" s="10"/>
    </row>
    <row r="103" ht="15.75" customHeight="1">
      <c r="A103" s="59" t="str">
        <f t="array" ref="A103">XLOOKUP(C103, 'マスタ'!$C$2:$C$500, 'マスタ'!$D$2:$D$500, "マスタ未登録")</f>
        <v>売上高</v>
      </c>
      <c r="B103" s="53" t="str">
        <f>IF(AND(C103&lt;&gt;"", COUNTIF('マスタ'!$C:$C, C103)=0), "マスタ未登録", "")</f>
        <v/>
      </c>
      <c r="C103" s="53" t="str">
        <f t="shared" si="1"/>
        <v>Twitch</v>
      </c>
      <c r="D103" s="10"/>
      <c r="E103" s="18" t="s">
        <v>132</v>
      </c>
      <c r="F103" s="10"/>
      <c r="G103" s="10"/>
    </row>
    <row r="104" ht="15.75" customHeight="1">
      <c r="A104" s="59" t="str">
        <f t="array" ref="A104">XLOOKUP(C104, 'マスタ'!$C$2:$C$500, 'マスタ'!$D$2:$D$500, "マスタ未登録")</f>
        <v>売上高</v>
      </c>
      <c r="B104" s="53" t="str">
        <f>IF(AND(C104&lt;&gt;"", COUNTIF('マスタ'!$C:$C, C104)=0), "マスタ未登録", "")</f>
        <v/>
      </c>
      <c r="C104" s="53" t="str">
        <f t="shared" si="1"/>
        <v>LINE</v>
      </c>
      <c r="D104" s="10"/>
      <c r="E104" s="18" t="s">
        <v>133</v>
      </c>
      <c r="F104" s="10"/>
      <c r="G104" s="10"/>
    </row>
    <row r="105" ht="15.75" customHeight="1">
      <c r="A105" s="59" t="str">
        <f t="array" ref="A105">XLOOKUP(C105, 'マスタ'!$C$2:$C$500, 'マスタ'!$D$2:$D$500, "マスタ未登録")</f>
        <v>売上高</v>
      </c>
      <c r="B105" s="53" t="str">
        <f>IF(AND(C105&lt;&gt;"", COUNTIF('マスタ'!$C:$C, C105)=0), "マスタ未登録", "")</f>
        <v/>
      </c>
      <c r="C105" s="53" t="str">
        <f t="shared" si="1"/>
        <v>ライブ</v>
      </c>
      <c r="D105" s="10"/>
      <c r="E105" s="18" t="s">
        <v>134</v>
      </c>
      <c r="F105" s="10"/>
      <c r="G105" s="10"/>
    </row>
    <row r="106" ht="15.75" customHeight="1">
      <c r="A106" s="59" t="str">
        <f t="array" ref="A106">XLOOKUP(C106, 'マスタ'!$C$2:$C$500, 'マスタ'!$D$2:$D$500, "マスタ未登録")</f>
        <v>売上高</v>
      </c>
      <c r="B106" s="53" t="str">
        <f>IF(AND(C106&lt;&gt;"", COUNTIF('マスタ'!$C:$C, C106)=0), "マスタ未登録", "")</f>
        <v/>
      </c>
      <c r="C106" s="53" t="str">
        <f t="shared" si="1"/>
        <v>その他</v>
      </c>
      <c r="D106" s="10"/>
      <c r="E106" s="18" t="s">
        <v>135</v>
      </c>
      <c r="F106" s="10"/>
      <c r="G106" s="10"/>
    </row>
    <row r="107" ht="15.75" customHeight="1">
      <c r="A107" s="59" t="str">
        <f t="array" ref="A107">XLOOKUP(C107, 'マスタ'!$C$2:$C$500, 'マスタ'!$D$2:$D$500, "マスタ未登録")</f>
        <v>売上高</v>
      </c>
      <c r="B107" s="53" t="str">
        <f>IF(AND(C107&lt;&gt;"", COUNTIF('マスタ'!$C:$C, C107)=0), "マスタ未登録", "")</f>
        <v/>
      </c>
      <c r="C107" s="53" t="str">
        <f t="shared" si="1"/>
        <v>売上値引・返品</v>
      </c>
      <c r="D107" s="10"/>
      <c r="E107" s="18" t="s">
        <v>136</v>
      </c>
      <c r="F107" s="10"/>
      <c r="G107" s="5"/>
    </row>
    <row r="108" ht="15.75" customHeight="1">
      <c r="A108" s="59" t="str">
        <f t="array" ref="A108">XLOOKUP(C108, 'マスタ'!$C$2:$C$500, 'マスタ'!$D$2:$D$500, "マスタ未登録")</f>
        <v>マスタ未登録</v>
      </c>
      <c r="B108" s="53" t="str">
        <f>IF(AND(C108&lt;&gt;"", COUNTIF('マスタ'!$C:$C, C108)=0), "マスタ未登録", "")</f>
        <v>マスタ未登録</v>
      </c>
      <c r="C108" s="53" t="str">
        <f t="shared" si="1"/>
        <v>売上高合計</v>
      </c>
      <c r="D108" s="18" t="s">
        <v>67</v>
      </c>
      <c r="E108" s="10"/>
      <c r="F108" s="18" t="s">
        <v>137</v>
      </c>
      <c r="G108" s="6">
        <v>-263457.0</v>
      </c>
    </row>
    <row r="109" ht="15.75" customHeight="1">
      <c r="A109" s="59" t="str">
        <f t="array" ref="A109">XLOOKUP(C109, 'マスタ'!$C$2:$C$500, 'マスタ'!$D$2:$D$500, "マスタ未登録")</f>
        <v>マスタ未登録</v>
      </c>
      <c r="B109" s="53" t="str">
        <f>IF(AND(C109&lt;&gt;"", COUNTIF('マスタ'!$C:$C, C109)=0), "マスタ未登録", "")</f>
        <v>マスタ未登録</v>
      </c>
      <c r="C109" s="53" t="str">
        <f t="shared" si="1"/>
        <v>売上原価</v>
      </c>
      <c r="D109" s="18" t="s">
        <v>28</v>
      </c>
      <c r="E109" s="10"/>
      <c r="F109" s="18" t="s">
        <v>4</v>
      </c>
      <c r="G109" s="10"/>
    </row>
    <row r="110" ht="15.75" customHeight="1">
      <c r="A110" s="59" t="str">
        <f t="array" ref="A110">XLOOKUP(C110, 'マスタ'!$C$2:$C$500, 'マスタ'!$D$2:$D$500, "マスタ未登録")</f>
        <v>当期商品仕入高</v>
      </c>
      <c r="B110" s="53" t="str">
        <f>IF(AND(C110&lt;&gt;"", COUNTIF('マスタ'!$C:$C, C110)=0), "マスタ未登録", "")</f>
        <v/>
      </c>
      <c r="C110" s="53" t="str">
        <f t="shared" si="1"/>
        <v>仕入高</v>
      </c>
      <c r="D110" s="10"/>
      <c r="E110" s="18" t="s">
        <v>138</v>
      </c>
      <c r="F110" s="10"/>
      <c r="G110" s="6">
        <v>0.0</v>
      </c>
    </row>
    <row r="111" ht="15.75" customHeight="1">
      <c r="A111" s="59" t="str">
        <f t="array" ref="A111">XLOOKUP(C111, 'マスタ'!$C$2:$C$500, 'マスタ'!$D$2:$D$500, "マスタ未登録")</f>
        <v>当期商品仕入高</v>
      </c>
      <c r="B111" s="53" t="str">
        <f>IF(AND(C111&lt;&gt;"", COUNTIF('マスタ'!$C:$C, C111)=0), "マスタ未登録", "")</f>
        <v/>
      </c>
      <c r="C111" s="53" t="str">
        <f t="shared" si="1"/>
        <v>支払手数料(原価)</v>
      </c>
      <c r="D111" s="10"/>
      <c r="E111" s="18" t="s">
        <v>70</v>
      </c>
      <c r="F111" s="10"/>
      <c r="G111" s="6">
        <v>0.0</v>
      </c>
    </row>
    <row r="112" ht="15.75" customHeight="1">
      <c r="A112" s="59" t="str">
        <f t="array" ref="A112">XLOOKUP(C112, 'マスタ'!$C$2:$C$500, 'マスタ'!$D$2:$D$500, "マスタ未登録")</f>
        <v>期末商品棚卸高</v>
      </c>
      <c r="B112" s="53" t="str">
        <f>IF(AND(C112&lt;&gt;"", COUNTIF('マスタ'!$C:$C, C112)=0), "マスタ未登録", "")</f>
        <v/>
      </c>
      <c r="C112" s="53" t="str">
        <f t="shared" si="1"/>
        <v>期末商品棚卸高</v>
      </c>
      <c r="D112" s="10"/>
      <c r="E112" s="18" t="s">
        <v>71</v>
      </c>
      <c r="F112" s="10"/>
      <c r="G112" s="6">
        <v>1171105.0</v>
      </c>
    </row>
    <row r="113" ht="15.75" customHeight="1">
      <c r="A113" s="59" t="str">
        <f t="array" ref="A113">XLOOKUP(C113, 'マスタ'!$C$2:$C$500, 'マスタ'!$D$2:$D$500, "マスタ未登録")</f>
        <v>マスタ未登録</v>
      </c>
      <c r="B113" s="53" t="str">
        <f>IF(AND(C113&lt;&gt;"", COUNTIF('マスタ'!$C:$C, C113)=0), "マスタ未登録", "")</f>
        <v>マスタ未登録</v>
      </c>
      <c r="C113" s="53" t="str">
        <f t="shared" si="1"/>
        <v>売上原価</v>
      </c>
      <c r="D113" s="18" t="s">
        <v>28</v>
      </c>
      <c r="E113" s="10"/>
      <c r="F113" s="18" t="s">
        <v>4</v>
      </c>
      <c r="G113" s="6">
        <v>1171105.0</v>
      </c>
    </row>
    <row r="114" ht="15.75" customHeight="1">
      <c r="A114" s="59" t="str">
        <f t="array" ref="A114">XLOOKUP(C114, 'マスタ'!$C$2:$C$500, 'マスタ'!$D$2:$D$500, "マスタ未登録")</f>
        <v>マスタ未登録</v>
      </c>
      <c r="B114" s="53" t="str">
        <f>IF(AND(C114&lt;&gt;"", COUNTIF('マスタ'!$C:$C, C114)=0), "マスタ未登録", "")</f>
        <v>マスタ未登録</v>
      </c>
      <c r="C114" s="53" t="str">
        <f t="shared" si="1"/>
        <v>売上総利益</v>
      </c>
      <c r="D114" s="18" t="s">
        <v>5</v>
      </c>
      <c r="E114" s="10"/>
      <c r="F114" s="18" t="s">
        <v>6</v>
      </c>
      <c r="G114" s="6">
        <v>-1434562.0</v>
      </c>
    </row>
    <row r="115" ht="15.75" customHeight="1">
      <c r="A115" s="59" t="str">
        <f t="array" ref="A115">XLOOKUP(C115, 'マスタ'!$C$2:$C$500, 'マスタ'!$D$2:$D$500, "マスタ未登録")</f>
        <v>マスタ未登録</v>
      </c>
      <c r="B115" s="53" t="str">
        <f>IF(AND(C115&lt;&gt;"", COUNTIF('マスタ'!$C:$C, C115)=0), "マスタ未登録", "")</f>
        <v>マスタ未登録</v>
      </c>
      <c r="C115" s="53" t="str">
        <f t="shared" si="1"/>
        <v>販売費及び一般管理費</v>
      </c>
      <c r="D115" s="18" t="s">
        <v>29</v>
      </c>
      <c r="E115" s="10"/>
      <c r="F115" s="18" t="s">
        <v>30</v>
      </c>
      <c r="G115" s="5"/>
    </row>
    <row r="116" ht="15.75" customHeight="1">
      <c r="A116" s="59" t="str">
        <f t="array" ref="A116">XLOOKUP(C116, 'マスタ'!$C$2:$C$500, 'マスタ'!$D$2:$D$500, "マスタ未登録")</f>
        <v>役員報酬</v>
      </c>
      <c r="B116" s="53" t="str">
        <f>IF(AND(C116&lt;&gt;"", COUNTIF('マスタ'!$C:$C, C116)=0), "マスタ未登録", "")</f>
        <v/>
      </c>
      <c r="C116" s="53" t="str">
        <f t="shared" si="1"/>
        <v>役員報酬</v>
      </c>
      <c r="D116" s="10"/>
      <c r="E116" s="18" t="s">
        <v>72</v>
      </c>
      <c r="F116" s="10"/>
      <c r="G116" s="6">
        <v>0.0</v>
      </c>
    </row>
    <row r="117" ht="15.75" customHeight="1">
      <c r="A117" s="59" t="str">
        <f t="array" ref="A117">XLOOKUP(C117, 'マスタ'!$C$2:$C$500, 'マスタ'!$D$2:$D$500, "マスタ未登録")</f>
        <v>給料手当</v>
      </c>
      <c r="B117" s="53" t="str">
        <f>IF(AND(C117&lt;&gt;"", COUNTIF('マスタ'!$C:$C, C117)=0), "マスタ未登録", "")</f>
        <v/>
      </c>
      <c r="C117" s="53" t="str">
        <f t="shared" si="1"/>
        <v>給料賃金</v>
      </c>
      <c r="D117" s="10"/>
      <c r="E117" s="18" t="s">
        <v>139</v>
      </c>
      <c r="F117" s="10"/>
      <c r="G117" s="6">
        <v>0.0</v>
      </c>
    </row>
    <row r="118" ht="15.75" customHeight="1">
      <c r="A118" s="59" t="str">
        <f t="array" ref="A118">XLOOKUP(C118, 'マスタ'!$C$2:$C$500, 'マスタ'!$D$2:$D$500, "マスタ未登録")</f>
        <v>法定福利費</v>
      </c>
      <c r="B118" s="53" t="str">
        <f>IF(AND(C118&lt;&gt;"", COUNTIF('マスタ'!$C:$C, C118)=0), "マスタ未登録", "")</f>
        <v/>
      </c>
      <c r="C118" s="53" t="str">
        <f t="shared" si="1"/>
        <v>法定福利費</v>
      </c>
      <c r="D118" s="10"/>
      <c r="E118" s="18" t="s">
        <v>74</v>
      </c>
      <c r="F118" s="10"/>
      <c r="G118" s="6">
        <v>0.0</v>
      </c>
    </row>
    <row r="119" ht="15.75" customHeight="1">
      <c r="A119" s="59" t="str">
        <f t="array" ref="A119">XLOOKUP(C119, 'マスタ'!$C$2:$C$500, 'マスタ'!$D$2:$D$500, "マスタ未登録")</f>
        <v>株式報酬費用</v>
      </c>
      <c r="B119" s="53" t="str">
        <f>IF(AND(C119&lt;&gt;"", COUNTIF('マスタ'!$C:$C, C119)=0), "マスタ未登録", "")</f>
        <v/>
      </c>
      <c r="C119" s="53" t="str">
        <f t="shared" si="1"/>
        <v>株式報酬費用</v>
      </c>
      <c r="D119" s="10"/>
      <c r="E119" s="18" t="s">
        <v>76</v>
      </c>
      <c r="F119" s="10"/>
      <c r="G119" s="20">
        <v>0.0</v>
      </c>
    </row>
    <row r="120" ht="15.75" customHeight="1">
      <c r="A120" s="59" t="str">
        <f t="array" ref="A120">XLOOKUP(C120, 'マスタ'!$C$2:$C$500, 'マスタ'!$D$2:$D$500, "マスタ未登録")</f>
        <v>福利厚生費</v>
      </c>
      <c r="B120" s="53" t="str">
        <f>IF(AND(C120&lt;&gt;"", COUNTIF('マスタ'!$C:$C, C120)=0), "マスタ未登録", "")</f>
        <v/>
      </c>
      <c r="C120" s="53" t="str">
        <f t="shared" si="1"/>
        <v>福利厚生費</v>
      </c>
      <c r="D120" s="10"/>
      <c r="E120" s="18" t="s">
        <v>75</v>
      </c>
      <c r="F120" s="10"/>
      <c r="G120" s="6">
        <v>0.0</v>
      </c>
    </row>
    <row r="121" ht="15.75" customHeight="1">
      <c r="A121" s="59" t="str">
        <f t="array" ref="A121">XLOOKUP(C121, 'マスタ'!$C$2:$C$500, 'マスタ'!$D$2:$D$500, "マスタ未登録")</f>
        <v>採用教育費</v>
      </c>
      <c r="B121" s="53" t="str">
        <f>IF(AND(C121&lt;&gt;"", COUNTIF('マスタ'!$C:$C, C121)=0), "マスタ未登録", "")</f>
        <v/>
      </c>
      <c r="C121" s="53" t="str">
        <f t="shared" si="1"/>
        <v>採用費</v>
      </c>
      <c r="D121" s="10"/>
      <c r="E121" s="18" t="s">
        <v>140</v>
      </c>
      <c r="F121" s="10"/>
      <c r="G121" s="6">
        <v>0.0</v>
      </c>
    </row>
    <row r="122" ht="15.75" customHeight="1">
      <c r="A122" s="59" t="str">
        <f t="array" ref="A122">XLOOKUP(C122, 'マスタ'!$C$2:$C$500, 'マスタ'!$D$2:$D$500, "マスタ未登録")</f>
        <v>業務委託費</v>
      </c>
      <c r="B122" s="53" t="str">
        <f>IF(AND(C122&lt;&gt;"", COUNTIF('マスタ'!$C:$C, C122)=0), "マスタ未登録", "")</f>
        <v/>
      </c>
      <c r="C122" s="53" t="str">
        <f t="shared" si="1"/>
        <v>業務委託料</v>
      </c>
      <c r="D122" s="10"/>
      <c r="E122" s="18" t="s">
        <v>141</v>
      </c>
      <c r="F122" s="10"/>
      <c r="G122" s="6">
        <v>269139.0</v>
      </c>
    </row>
    <row r="123" ht="15.75" customHeight="1">
      <c r="A123" s="59" t="str">
        <f t="array" ref="A123">XLOOKUP(C123, 'マスタ'!$C$2:$C$500, 'マスタ'!$D$2:$D$500, "マスタ未登録")</f>
        <v>外注費</v>
      </c>
      <c r="B123" s="53" t="str">
        <f>IF(AND(C123&lt;&gt;"", COUNTIF('マスタ'!$C:$C, C123)=0), "マスタ未登録", "")</f>
        <v/>
      </c>
      <c r="C123" s="53" t="str">
        <f t="shared" si="1"/>
        <v>外注費</v>
      </c>
      <c r="D123" s="10"/>
      <c r="E123" s="18" t="s">
        <v>79</v>
      </c>
      <c r="F123" s="10"/>
      <c r="G123" s="6">
        <v>323000.0</v>
      </c>
    </row>
    <row r="124" ht="15.75" customHeight="1">
      <c r="A124" s="59" t="str">
        <f t="array" ref="A124">XLOOKUP(C124, 'マスタ'!$C$2:$C$500, 'マスタ'!$D$2:$D$500, "マスタ未登録")</f>
        <v>荷造運賃</v>
      </c>
      <c r="B124" s="53" t="str">
        <f>IF(AND(C124&lt;&gt;"", COUNTIF('マスタ'!$C:$C, C124)=0), "マスタ未登録", "")</f>
        <v/>
      </c>
      <c r="C124" s="53" t="str">
        <f t="shared" si="1"/>
        <v>荷造運賃</v>
      </c>
      <c r="D124" s="10"/>
      <c r="E124" s="18" t="s">
        <v>80</v>
      </c>
      <c r="F124" s="10"/>
      <c r="G124" s="6">
        <v>0.0</v>
      </c>
    </row>
    <row r="125" ht="15.75" customHeight="1">
      <c r="A125" s="59" t="str">
        <f t="array" ref="A125">XLOOKUP(C125, 'マスタ'!$C$2:$C$500, 'マスタ'!$D$2:$D$500, "マスタ未登録")</f>
        <v>広告宣伝費</v>
      </c>
      <c r="B125" s="53" t="str">
        <f>IF(AND(C125&lt;&gt;"", COUNTIF('マスタ'!$C:$C, C125)=0), "マスタ未登録", "")</f>
        <v/>
      </c>
      <c r="C125" s="53" t="str">
        <f t="shared" si="1"/>
        <v>広告宣伝費</v>
      </c>
      <c r="D125" s="10"/>
      <c r="E125" s="18" t="s">
        <v>81</v>
      </c>
      <c r="F125" s="10"/>
      <c r="G125" s="6">
        <v>0.0</v>
      </c>
    </row>
    <row r="126" ht="15.75" customHeight="1">
      <c r="A126" s="59" t="str">
        <f t="array" ref="A126">XLOOKUP(C126, 'マスタ'!$C$2:$C$500, 'マスタ'!$D$2:$D$500, "マスタ未登録")</f>
        <v>接待交際費</v>
      </c>
      <c r="B126" s="53" t="str">
        <f>IF(AND(C126&lt;&gt;"", COUNTIF('マスタ'!$C:$C, C126)=0), "マスタ未登録", "")</f>
        <v/>
      </c>
      <c r="C126" s="53" t="str">
        <f t="shared" si="1"/>
        <v>接待交際費</v>
      </c>
      <c r="D126" s="10"/>
      <c r="E126" s="18" t="s">
        <v>82</v>
      </c>
      <c r="F126" s="10"/>
      <c r="G126" s="6">
        <v>0.0</v>
      </c>
    </row>
    <row r="127" ht="15.75" customHeight="1">
      <c r="A127" s="59" t="str">
        <f t="array" ref="A127">XLOOKUP(C127, 'マスタ'!$C$2:$C$500, 'マスタ'!$D$2:$D$500, "マスタ未登録")</f>
        <v>旅費交通費</v>
      </c>
      <c r="B127" s="53" t="str">
        <f>IF(AND(C127&lt;&gt;"", COUNTIF('マスタ'!$C:$C, C127)=0), "マスタ未登録", "")</f>
        <v/>
      </c>
      <c r="C127" s="53" t="str">
        <f t="shared" si="1"/>
        <v>旅費交通費</v>
      </c>
      <c r="D127" s="10"/>
      <c r="E127" s="18" t="s">
        <v>83</v>
      </c>
      <c r="F127" s="10"/>
      <c r="G127" s="6">
        <v>0.0</v>
      </c>
    </row>
    <row r="128" ht="15.75" customHeight="1">
      <c r="A128" s="59" t="str">
        <f t="array" ref="A128">XLOOKUP(C128, 'マスタ'!$C$2:$C$500, 'マスタ'!$D$2:$D$500, "マスタ未登録")</f>
        <v>通信費</v>
      </c>
      <c r="B128" s="53" t="str">
        <f>IF(AND(C128&lt;&gt;"", COUNTIF('マスタ'!$C:$C, C128)=0), "マスタ未登録", "")</f>
        <v/>
      </c>
      <c r="C128" s="53" t="str">
        <f t="shared" si="1"/>
        <v>通信費</v>
      </c>
      <c r="D128" s="10"/>
      <c r="E128" s="18" t="s">
        <v>84</v>
      </c>
      <c r="F128" s="10"/>
      <c r="G128" s="6">
        <v>0.0</v>
      </c>
    </row>
    <row r="129" ht="15.75" customHeight="1">
      <c r="A129" s="59" t="str">
        <f t="array" ref="A129">XLOOKUP(C129, 'マスタ'!$C$2:$C$500, 'マスタ'!$D$2:$D$500, "マスタ未登録")</f>
        <v>修繕費</v>
      </c>
      <c r="B129" s="53" t="str">
        <f>IF(AND(C129&lt;&gt;"", COUNTIF('マスタ'!$C:$C, C129)=0), "マスタ未登録", "")</f>
        <v/>
      </c>
      <c r="C129" s="53" t="str">
        <f t="shared" si="1"/>
        <v>修繕費</v>
      </c>
      <c r="D129" s="10"/>
      <c r="E129" s="18" t="s">
        <v>85</v>
      </c>
      <c r="F129" s="10"/>
      <c r="G129" s="6">
        <v>0.0</v>
      </c>
    </row>
    <row r="130" ht="15.75" customHeight="1">
      <c r="A130" s="59" t="str">
        <f t="array" ref="A130">XLOOKUP(C130, 'マスタ'!$C$2:$C$500, 'マスタ'!$D$2:$D$500, "マスタ未登録")</f>
        <v>消耗品費</v>
      </c>
      <c r="B130" s="53" t="str">
        <f>IF(AND(C130&lt;&gt;"", COUNTIF('マスタ'!$C:$C, C130)=0), "マスタ未登録", "")</f>
        <v/>
      </c>
      <c r="C130" s="53" t="str">
        <f t="shared" si="1"/>
        <v>備品・消耗品費</v>
      </c>
      <c r="D130" s="10"/>
      <c r="E130" s="18" t="s">
        <v>142</v>
      </c>
      <c r="F130" s="10"/>
      <c r="G130" s="6">
        <v>200.0</v>
      </c>
    </row>
    <row r="131" ht="15.75" customHeight="1">
      <c r="A131" s="59" t="str">
        <f t="array" ref="A131">XLOOKUP(C131, 'マスタ'!$C$2:$C$500, 'マスタ'!$D$2:$D$500, "マスタ未登録")</f>
        <v>賃借料</v>
      </c>
      <c r="B131" s="53" t="str">
        <f>IF(AND(C131&lt;&gt;"", COUNTIF('マスタ'!$C:$C, C131)=0), "マスタ未登録", "")</f>
        <v/>
      </c>
      <c r="C131" s="53" t="str">
        <f t="shared" si="1"/>
        <v>賃借料</v>
      </c>
      <c r="D131" s="10"/>
      <c r="E131" s="18" t="s">
        <v>89</v>
      </c>
      <c r="F131" s="10"/>
      <c r="G131" s="6">
        <v>0.0</v>
      </c>
    </row>
    <row r="132" ht="15.75" customHeight="1">
      <c r="A132" s="59" t="str">
        <f t="array" ref="A132">XLOOKUP(C132, 'マスタ'!$C$2:$C$500, 'マスタ'!$D$2:$D$500, "マスタ未登録")</f>
        <v>地代家賃</v>
      </c>
      <c r="B132" s="53" t="str">
        <f>IF(AND(C132&lt;&gt;"", COUNTIF('マスタ'!$C:$C, C132)=0), "マスタ未登録", "")</f>
        <v/>
      </c>
      <c r="C132" s="53" t="str">
        <f t="shared" si="1"/>
        <v>地代家賃</v>
      </c>
      <c r="D132" s="10"/>
      <c r="E132" s="18" t="s">
        <v>87</v>
      </c>
      <c r="F132" s="10"/>
      <c r="G132" s="6">
        <v>0.0</v>
      </c>
    </row>
    <row r="133" ht="15.75" customHeight="1">
      <c r="A133" s="59" t="str">
        <f t="array" ref="A133">XLOOKUP(C133, 'マスタ'!$C$2:$C$500, 'マスタ'!$D$2:$D$500, "マスタ未登録")</f>
        <v>リース料</v>
      </c>
      <c r="B133" s="53" t="str">
        <f>IF(AND(C133&lt;&gt;"", COUNTIF('マスタ'!$C:$C, C133)=0), "マスタ未登録", "")</f>
        <v/>
      </c>
      <c r="C133" s="53" t="str">
        <f t="shared" si="1"/>
        <v>リース料</v>
      </c>
      <c r="D133" s="10"/>
      <c r="E133" s="18" t="s">
        <v>88</v>
      </c>
      <c r="F133" s="10"/>
      <c r="G133" s="20">
        <v>0.0</v>
      </c>
    </row>
    <row r="134" ht="15.75" customHeight="1">
      <c r="A134" s="59" t="str">
        <f t="array" ref="A134">XLOOKUP(C134, 'マスタ'!$C$2:$C$500, 'マスタ'!$D$2:$D$500, "マスタ未登録")</f>
        <v>保険料</v>
      </c>
      <c r="B134" s="53" t="str">
        <f>IF(AND(C134&lt;&gt;"", COUNTIF('マスタ'!$C:$C, C134)=0), "マスタ未登録", "")</f>
        <v/>
      </c>
      <c r="C134" s="53" t="str">
        <f t="shared" si="1"/>
        <v>保険料</v>
      </c>
      <c r="D134" s="10"/>
      <c r="E134" s="18" t="s">
        <v>90</v>
      </c>
      <c r="F134" s="10"/>
      <c r="G134" s="6">
        <v>0.0</v>
      </c>
    </row>
    <row r="135" ht="15.75" customHeight="1">
      <c r="A135" s="59" t="str">
        <f t="array" ref="A135">XLOOKUP(C135, 'マスタ'!$C$2:$C$500, 'マスタ'!$D$2:$D$500, "マスタ未登録")</f>
        <v>租税公課</v>
      </c>
      <c r="B135" s="53" t="str">
        <f>IF(AND(C135&lt;&gt;"", COUNTIF('マスタ'!$C:$C, C135)=0), "マスタ未登録", "")</f>
        <v/>
      </c>
      <c r="C135" s="53" t="str">
        <f t="shared" si="1"/>
        <v>租税公課</v>
      </c>
      <c r="D135" s="10"/>
      <c r="E135" s="18" t="s">
        <v>91</v>
      </c>
      <c r="F135" s="10"/>
      <c r="G135" s="6">
        <v>0.0</v>
      </c>
    </row>
    <row r="136" ht="15.75" customHeight="1">
      <c r="A136" s="59" t="str">
        <f t="array" ref="A136">XLOOKUP(C136, 'マスタ'!$C$2:$C$500, 'マスタ'!$D$2:$D$500, "マスタ未登録")</f>
        <v>支払手数料</v>
      </c>
      <c r="B136" s="53" t="str">
        <f>IF(AND(C136&lt;&gt;"", COUNTIF('マスタ'!$C:$C, C136)=0), "マスタ未登録", "")</f>
        <v/>
      </c>
      <c r="C136" s="53" t="str">
        <f t="shared" si="1"/>
        <v>支払手数料</v>
      </c>
      <c r="D136" s="10"/>
      <c r="E136" s="18" t="s">
        <v>92</v>
      </c>
      <c r="F136" s="10"/>
      <c r="G136" s="6">
        <v>1540.0</v>
      </c>
    </row>
    <row r="137" ht="15.75" customHeight="1">
      <c r="A137" s="59" t="str">
        <f t="array" ref="A137">XLOOKUP(C137, 'マスタ'!$C$2:$C$500, 'マスタ'!$D$2:$D$500, "マスタ未登録")</f>
        <v>支払報酬費</v>
      </c>
      <c r="B137" s="53" t="str">
        <f>IF(AND(C137&lt;&gt;"", COUNTIF('マスタ'!$C:$C, C137)=0), "マスタ未登録", "")</f>
        <v/>
      </c>
      <c r="C137" s="53" t="str">
        <f t="shared" si="1"/>
        <v>支払報酬</v>
      </c>
      <c r="D137" s="10"/>
      <c r="E137" s="18" t="s">
        <v>93</v>
      </c>
      <c r="F137" s="10"/>
      <c r="G137" s="20">
        <v>0.0</v>
      </c>
    </row>
    <row r="138" ht="15.75" customHeight="1">
      <c r="A138" s="59" t="str">
        <f t="array" ref="A138">XLOOKUP(C138, 'マスタ'!$C$2:$C$500, 'マスタ'!$D$2:$D$500, "マスタ未登録")</f>
        <v>会議費</v>
      </c>
      <c r="B138" s="53" t="str">
        <f>IF(AND(C138&lt;&gt;"", COUNTIF('マスタ'!$C:$C, C138)=0), "マスタ未登録", "")</f>
        <v/>
      </c>
      <c r="C138" s="53" t="str">
        <f t="shared" si="1"/>
        <v>会議費</v>
      </c>
      <c r="D138" s="10"/>
      <c r="E138" s="18" t="s">
        <v>94</v>
      </c>
      <c r="F138" s="10"/>
      <c r="G138" s="6">
        <v>0.0</v>
      </c>
    </row>
    <row r="139" ht="15.75" customHeight="1">
      <c r="A139" s="59" t="str">
        <f t="array" ref="A139">XLOOKUP(C139, 'マスタ'!$C$2:$C$500, 'マスタ'!$D$2:$D$500, "マスタ未登録")</f>
        <v>減価償却費</v>
      </c>
      <c r="B139" s="53" t="str">
        <f>IF(AND(C139&lt;&gt;"", COUNTIF('マスタ'!$C:$C, C139)=0), "マスタ未登録", "")</f>
        <v/>
      </c>
      <c r="C139" s="53" t="str">
        <f t="shared" si="1"/>
        <v>減価償却費</v>
      </c>
      <c r="D139" s="10"/>
      <c r="E139" s="18" t="s">
        <v>95</v>
      </c>
      <c r="F139" s="10"/>
      <c r="G139" s="6">
        <v>0.0</v>
      </c>
    </row>
    <row r="140" ht="15.75" customHeight="1">
      <c r="A140" s="59" t="str">
        <f t="array" ref="A140">XLOOKUP(C140, 'マスタ'!$C$2:$C$500, 'マスタ'!$D$2:$D$500, "マスタ未登録")</f>
        <v>雑費</v>
      </c>
      <c r="B140" s="53" t="str">
        <f>IF(AND(C140&lt;&gt;"", COUNTIF('マスタ'!$C:$C, C140)=0), "マスタ未登録", "")</f>
        <v/>
      </c>
      <c r="C140" s="53" t="str">
        <f t="shared" si="1"/>
        <v>雑費</v>
      </c>
      <c r="D140" s="10"/>
      <c r="E140" s="18" t="s">
        <v>100</v>
      </c>
      <c r="F140" s="10"/>
      <c r="G140" s="6">
        <v>0.0</v>
      </c>
    </row>
    <row r="141" ht="15.75" customHeight="1">
      <c r="A141" s="59" t="str">
        <f t="array" ref="A141">XLOOKUP(C141, 'マスタ'!$C$2:$C$500, 'マスタ'!$D$2:$D$500, "マスタ未登録")</f>
        <v>研修費</v>
      </c>
      <c r="B141" s="53" t="str">
        <f>IF(AND(C141&lt;&gt;"", COUNTIF('マスタ'!$C:$C, C141)=0), "マスタ未登録", "")</f>
        <v/>
      </c>
      <c r="C141" s="53" t="str">
        <f t="shared" si="1"/>
        <v>研修費</v>
      </c>
      <c r="D141" s="10"/>
      <c r="E141" s="18" t="s">
        <v>97</v>
      </c>
      <c r="F141" s="10"/>
      <c r="G141" s="20">
        <v>0.0</v>
      </c>
    </row>
    <row r="142" ht="15.75" customHeight="1">
      <c r="A142" s="59" t="str">
        <f t="array" ref="A142">XLOOKUP(C142, 'マスタ'!$C$2:$C$500, 'マスタ'!$D$2:$D$500, "マスタ未登録")</f>
        <v>雑費</v>
      </c>
      <c r="B142" s="53" t="str">
        <f>IF(AND(C142&lt;&gt;"", COUNTIF('マスタ'!$C:$C, C142)=0), "マスタ未登録", "")</f>
        <v/>
      </c>
      <c r="C142" s="53" t="str">
        <f t="shared" si="1"/>
        <v>諸経費</v>
      </c>
      <c r="D142" s="10"/>
      <c r="E142" s="18" t="s">
        <v>147</v>
      </c>
      <c r="F142" s="10"/>
      <c r="G142" s="6">
        <v>0.0</v>
      </c>
    </row>
    <row r="143" ht="15.75" customHeight="1">
      <c r="A143" s="59" t="str">
        <f t="array" ref="A143">XLOOKUP(C143, 'マスタ'!$C$2:$C$500, 'マスタ'!$D$2:$D$500, "マスタ未登録")</f>
        <v>共通費配賦</v>
      </c>
      <c r="B143" s="53" t="str">
        <f>IF(AND(C143&lt;&gt;"", COUNTIF('マスタ'!$C:$C, C143)=0), "マスタ未登録", "")</f>
        <v/>
      </c>
      <c r="C143" s="53" t="str">
        <f t="shared" si="1"/>
        <v>共通費配賦</v>
      </c>
      <c r="D143" s="10"/>
      <c r="E143" s="18" t="s">
        <v>99</v>
      </c>
      <c r="F143" s="10"/>
      <c r="G143" s="6">
        <v>3977216.0</v>
      </c>
    </row>
    <row r="144" ht="15.75" customHeight="1">
      <c r="A144" s="59" t="str">
        <f t="array" ref="A144">XLOOKUP(C144, 'マスタ'!$C$2:$C$500, 'マスタ'!$D$2:$D$500, "マスタ未登録")</f>
        <v>マスタ未登録</v>
      </c>
      <c r="B144" s="53" t="str">
        <f>IF(AND(C144&lt;&gt;"", COUNTIF('マスタ'!$C:$C, C144)=0), "マスタ未登録", "")</f>
        <v>マスタ未登録</v>
      </c>
      <c r="C144" s="53" t="str">
        <f t="shared" si="1"/>
        <v>販売費及び一般管理費合計</v>
      </c>
      <c r="D144" s="18" t="s">
        <v>102</v>
      </c>
      <c r="E144" s="10"/>
      <c r="F144" s="18" t="s">
        <v>143</v>
      </c>
      <c r="G144" s="6">
        <v>4571095.0</v>
      </c>
    </row>
    <row r="145" ht="15.75" customHeight="1">
      <c r="A145" s="59" t="str">
        <f t="array" ref="A145">XLOOKUP(C145, 'マスタ'!$C$2:$C$500, 'マスタ'!$D$2:$D$500, "マスタ未登録")</f>
        <v>マスタ未登録</v>
      </c>
      <c r="B145" s="53" t="str">
        <f>IF(AND(C145&lt;&gt;"", COUNTIF('マスタ'!$C:$C, C145)=0), "マスタ未登録", "")</f>
        <v>マスタ未登録</v>
      </c>
      <c r="C145" s="53" t="str">
        <f t="shared" si="1"/>
        <v>営業利益</v>
      </c>
      <c r="D145" s="18" t="s">
        <v>31</v>
      </c>
      <c r="E145" s="10"/>
      <c r="F145" s="18" t="s">
        <v>9</v>
      </c>
      <c r="G145" s="6">
        <v>-6005657.0</v>
      </c>
    </row>
    <row r="146" ht="15.75" customHeight="1">
      <c r="A146" s="59" t="str">
        <f t="array" ref="A146">XLOOKUP(C146, 'マスタ'!$C$2:$C$500, 'マスタ'!$D$2:$D$500, "マスタ未登録")</f>
        <v>マスタ未登録</v>
      </c>
      <c r="B146" s="53" t="str">
        <f>IF(AND(C146&lt;&gt;"", COUNTIF('マスタ'!$C:$C, C146)=0), "マスタ未登録", "")</f>
        <v/>
      </c>
      <c r="C146" s="53" t="str">
        <f t="shared" si="1"/>
        <v/>
      </c>
      <c r="D146" s="10"/>
      <c r="E146" s="10"/>
      <c r="F146" s="10"/>
      <c r="G146" s="12"/>
    </row>
    <row r="147" ht="15.75" customHeight="1">
      <c r="A147" s="59" t="str">
        <f t="array" ref="A147">XLOOKUP(C147, 'マスタ'!$C$2:$C$500, 'マスタ'!$D$2:$D$500, "マスタ未登録")</f>
        <v>マスタ未登録</v>
      </c>
      <c r="B147" s="53" t="str">
        <f>IF(AND(C147&lt;&gt;"", COUNTIF('マスタ'!$C:$C, C147)=0), "マスタ未登録", "")</f>
        <v>マスタ未登録</v>
      </c>
      <c r="C147" s="53" t="str">
        <f t="shared" si="1"/>
        <v>共通</v>
      </c>
      <c r="D147" s="10"/>
      <c r="E147" s="4" t="s">
        <v>128</v>
      </c>
      <c r="F147" s="10"/>
      <c r="G147" s="17"/>
    </row>
    <row r="148" ht="15.75" customHeight="1">
      <c r="A148" s="59" t="str">
        <f t="array" ref="A148">XLOOKUP(C148, 'マスタ'!$C$2:$C$500, 'マスタ'!$D$2:$D$500, "マスタ未登録")</f>
        <v>売上高</v>
      </c>
      <c r="B148" s="53" t="str">
        <f>IF(AND(C148&lt;&gt;"", COUNTIF('マスタ'!$C:$C, C148)=0), "マスタ未登録", "")</f>
        <v/>
      </c>
      <c r="C148" s="53" t="str">
        <f t="shared" si="1"/>
        <v>売上高</v>
      </c>
      <c r="D148" s="18" t="s">
        <v>1</v>
      </c>
      <c r="E148" s="10"/>
      <c r="F148" s="18" t="s">
        <v>2</v>
      </c>
      <c r="G148" s="10"/>
    </row>
    <row r="149" ht="15.75" customHeight="1">
      <c r="A149" s="59" t="str">
        <f t="array" ref="A149">XLOOKUP(C149, 'マスタ'!$C$2:$C$500, 'マスタ'!$D$2:$D$500, "マスタ未登録")</f>
        <v>売上高</v>
      </c>
      <c r="B149" s="53" t="str">
        <f>IF(AND(C149&lt;&gt;"", COUNTIF('マスタ'!$C:$C, C149)=0), "マスタ未登録", "")</f>
        <v/>
      </c>
      <c r="C149" s="53" t="str">
        <f t="shared" si="1"/>
        <v>グッズ販売</v>
      </c>
      <c r="D149" s="10"/>
      <c r="E149" s="18" t="s">
        <v>130</v>
      </c>
      <c r="F149" s="10"/>
      <c r="G149" s="10"/>
    </row>
    <row r="150" ht="15.75" customHeight="1">
      <c r="A150" s="59" t="str">
        <f t="array" ref="A150">XLOOKUP(C150, 'マスタ'!$C$2:$C$500, 'マスタ'!$D$2:$D$500, "マスタ未登録")</f>
        <v>売上高</v>
      </c>
      <c r="B150" s="53" t="str">
        <f>IF(AND(C150&lt;&gt;"", COUNTIF('マスタ'!$C:$C, C150)=0), "マスタ未登録", "")</f>
        <v/>
      </c>
      <c r="C150" s="53" t="str">
        <f t="shared" si="1"/>
        <v>Youtube</v>
      </c>
      <c r="D150" s="10"/>
      <c r="E150" s="18" t="s">
        <v>131</v>
      </c>
      <c r="F150" s="10"/>
      <c r="G150" s="10"/>
    </row>
    <row r="151" ht="15.75" customHeight="1">
      <c r="A151" s="59" t="str">
        <f t="array" ref="A151">XLOOKUP(C151, 'マスタ'!$C$2:$C$500, 'マスタ'!$D$2:$D$500, "マスタ未登録")</f>
        <v>売上高</v>
      </c>
      <c r="B151" s="53" t="str">
        <f>IF(AND(C151&lt;&gt;"", COUNTIF('マスタ'!$C:$C, C151)=0), "マスタ未登録", "")</f>
        <v/>
      </c>
      <c r="C151" s="53" t="str">
        <f t="shared" si="1"/>
        <v>Twitch</v>
      </c>
      <c r="D151" s="10"/>
      <c r="E151" s="18" t="s">
        <v>132</v>
      </c>
      <c r="F151" s="10"/>
      <c r="G151" s="10"/>
    </row>
    <row r="152" ht="15.75" customHeight="1">
      <c r="A152" s="59" t="str">
        <f t="array" ref="A152">XLOOKUP(C152, 'マスタ'!$C$2:$C$500, 'マスタ'!$D$2:$D$500, "マスタ未登録")</f>
        <v>売上高</v>
      </c>
      <c r="B152" s="53" t="str">
        <f>IF(AND(C152&lt;&gt;"", COUNTIF('マスタ'!$C:$C, C152)=0), "マスタ未登録", "")</f>
        <v/>
      </c>
      <c r="C152" s="53" t="str">
        <f t="shared" si="1"/>
        <v>LINE</v>
      </c>
      <c r="D152" s="10"/>
      <c r="E152" s="18" t="s">
        <v>133</v>
      </c>
      <c r="F152" s="10"/>
      <c r="G152" s="10"/>
    </row>
    <row r="153" ht="15.75" customHeight="1">
      <c r="A153" s="59" t="str">
        <f t="array" ref="A153">XLOOKUP(C153, 'マスタ'!$C$2:$C$500, 'マスタ'!$D$2:$D$500, "マスタ未登録")</f>
        <v>売上高</v>
      </c>
      <c r="B153" s="53" t="str">
        <f>IF(AND(C153&lt;&gt;"", COUNTIF('マスタ'!$C:$C, C153)=0), "マスタ未登録", "")</f>
        <v/>
      </c>
      <c r="C153" s="53" t="str">
        <f t="shared" si="1"/>
        <v>ライブ</v>
      </c>
      <c r="D153" s="10"/>
      <c r="E153" s="18" t="s">
        <v>134</v>
      </c>
      <c r="F153" s="10"/>
      <c r="G153" s="10"/>
    </row>
    <row r="154" ht="15.75" customHeight="1">
      <c r="A154" s="59" t="str">
        <f t="array" ref="A154">XLOOKUP(C154, 'マスタ'!$C$2:$C$500, 'マスタ'!$D$2:$D$500, "マスタ未登録")</f>
        <v>売上高</v>
      </c>
      <c r="B154" s="53" t="str">
        <f>IF(AND(C154&lt;&gt;"", COUNTIF('マスタ'!$C:$C, C154)=0), "マスタ未登録", "")</f>
        <v/>
      </c>
      <c r="C154" s="53" t="str">
        <f t="shared" si="1"/>
        <v>その他</v>
      </c>
      <c r="D154" s="10"/>
      <c r="E154" s="18" t="s">
        <v>135</v>
      </c>
      <c r="F154" s="10"/>
      <c r="G154" s="10"/>
    </row>
    <row r="155" ht="15.75" customHeight="1">
      <c r="A155" s="59" t="str">
        <f t="array" ref="A155">XLOOKUP(C155, 'マスタ'!$C$2:$C$500, 'マスタ'!$D$2:$D$500, "マスタ未登録")</f>
        <v>売上高</v>
      </c>
      <c r="B155" s="53" t="str">
        <f>IF(AND(C155&lt;&gt;"", COUNTIF('マスタ'!$C:$C, C155)=0), "マスタ未登録", "")</f>
        <v/>
      </c>
      <c r="C155" s="53" t="str">
        <f t="shared" si="1"/>
        <v>売上値引・返品</v>
      </c>
      <c r="D155" s="10"/>
      <c r="E155" s="18" t="s">
        <v>136</v>
      </c>
      <c r="F155" s="10"/>
      <c r="G155" s="5"/>
    </row>
    <row r="156" ht="15.75" customHeight="1">
      <c r="A156" s="59" t="str">
        <f t="array" ref="A156">XLOOKUP(C156, 'マスタ'!$C$2:$C$500, 'マスタ'!$D$2:$D$500, "マスタ未登録")</f>
        <v>マスタ未登録</v>
      </c>
      <c r="B156" s="53" t="str">
        <f>IF(AND(C156&lt;&gt;"", COUNTIF('マスタ'!$C:$C, C156)=0), "マスタ未登録", "")</f>
        <v>マスタ未登録</v>
      </c>
      <c r="C156" s="53" t="str">
        <f t="shared" si="1"/>
        <v>売上高合計</v>
      </c>
      <c r="D156" s="18" t="s">
        <v>67</v>
      </c>
      <c r="E156" s="10"/>
      <c r="F156" s="18" t="s">
        <v>137</v>
      </c>
      <c r="G156" s="6">
        <v>4.338E7</v>
      </c>
    </row>
    <row r="157" ht="15.75" customHeight="1">
      <c r="A157" s="59" t="str">
        <f t="array" ref="A157">XLOOKUP(C157, 'マスタ'!$C$2:$C$500, 'マスタ'!$D$2:$D$500, "マスタ未登録")</f>
        <v>マスタ未登録</v>
      </c>
      <c r="B157" s="53" t="str">
        <f>IF(AND(C157&lt;&gt;"", COUNTIF('マスタ'!$C:$C, C157)=0), "マスタ未登録", "")</f>
        <v>マスタ未登録</v>
      </c>
      <c r="C157" s="53" t="str">
        <f t="shared" si="1"/>
        <v>売上原価</v>
      </c>
      <c r="D157" s="18" t="s">
        <v>28</v>
      </c>
      <c r="E157" s="10"/>
      <c r="F157" s="18" t="s">
        <v>4</v>
      </c>
      <c r="G157" s="10"/>
    </row>
    <row r="158" ht="15.75" customHeight="1">
      <c r="A158" s="59" t="str">
        <f t="array" ref="A158">XLOOKUP(C158, 'マスタ'!$C$2:$C$500, 'マスタ'!$D$2:$D$500, "マスタ未登録")</f>
        <v>当期商品仕入高</v>
      </c>
      <c r="B158" s="53" t="str">
        <f>IF(AND(C158&lt;&gt;"", COUNTIF('マスタ'!$C:$C, C158)=0), "マスタ未登録", "")</f>
        <v/>
      </c>
      <c r="C158" s="53" t="str">
        <f t="shared" si="1"/>
        <v>仕入高</v>
      </c>
      <c r="D158" s="10"/>
      <c r="E158" s="18" t="s">
        <v>138</v>
      </c>
      <c r="F158" s="10"/>
      <c r="G158" s="6">
        <v>0.0</v>
      </c>
    </row>
    <row r="159" ht="15.75" customHeight="1">
      <c r="A159" s="59" t="str">
        <f t="array" ref="A159">XLOOKUP(C159, 'マスタ'!$C$2:$C$500, 'マスタ'!$D$2:$D$500, "マスタ未登録")</f>
        <v>当期商品仕入高</v>
      </c>
      <c r="B159" s="53" t="str">
        <f>IF(AND(C159&lt;&gt;"", COUNTIF('マスタ'!$C:$C, C159)=0), "マスタ未登録", "")</f>
        <v/>
      </c>
      <c r="C159" s="53" t="str">
        <f t="shared" si="1"/>
        <v>支払手数料(原価)</v>
      </c>
      <c r="D159" s="10"/>
      <c r="E159" s="18" t="s">
        <v>70</v>
      </c>
      <c r="F159" s="10"/>
      <c r="G159" s="6">
        <v>0.0</v>
      </c>
    </row>
    <row r="160" ht="15.75" customHeight="1">
      <c r="A160" s="59" t="str">
        <f t="array" ref="A160">XLOOKUP(C160, 'マスタ'!$C$2:$C$500, 'マスタ'!$D$2:$D$500, "マスタ未登録")</f>
        <v>期末商品棚卸高</v>
      </c>
      <c r="B160" s="53" t="str">
        <f>IF(AND(C160&lt;&gt;"", COUNTIF('マスタ'!$C:$C, C160)=0), "マスタ未登録", "")</f>
        <v/>
      </c>
      <c r="C160" s="53" t="str">
        <f t="shared" si="1"/>
        <v>期末商品棚卸高</v>
      </c>
      <c r="D160" s="10"/>
      <c r="E160" s="18" t="s">
        <v>71</v>
      </c>
      <c r="F160" s="10"/>
      <c r="G160" s="6">
        <v>0.0</v>
      </c>
    </row>
    <row r="161" ht="15.75" customHeight="1">
      <c r="A161" s="59" t="str">
        <f t="array" ref="A161">XLOOKUP(C161, 'マスタ'!$C$2:$C$500, 'マスタ'!$D$2:$D$500, "マスタ未登録")</f>
        <v>マスタ未登録</v>
      </c>
      <c r="B161" s="53" t="str">
        <f>IF(AND(C161&lt;&gt;"", COUNTIF('マスタ'!$C:$C, C161)=0), "マスタ未登録", "")</f>
        <v>マスタ未登録</v>
      </c>
      <c r="C161" s="53" t="str">
        <f t="shared" si="1"/>
        <v>売上原価</v>
      </c>
      <c r="D161" s="18" t="s">
        <v>28</v>
      </c>
      <c r="E161" s="10"/>
      <c r="F161" s="18" t="s">
        <v>4</v>
      </c>
      <c r="G161" s="6">
        <v>0.0</v>
      </c>
    </row>
    <row r="162" ht="15.75" customHeight="1">
      <c r="A162" s="59" t="str">
        <f t="array" ref="A162">XLOOKUP(C162, 'マスタ'!$C$2:$C$500, 'マスタ'!$D$2:$D$500, "マスタ未登録")</f>
        <v>マスタ未登録</v>
      </c>
      <c r="B162" s="53" t="str">
        <f>IF(AND(C162&lt;&gt;"", COUNTIF('マスタ'!$C:$C, C162)=0), "マスタ未登録", "")</f>
        <v>マスタ未登録</v>
      </c>
      <c r="C162" s="53" t="str">
        <f t="shared" si="1"/>
        <v>売上総利益</v>
      </c>
      <c r="D162" s="18" t="s">
        <v>5</v>
      </c>
      <c r="E162" s="10"/>
      <c r="F162" s="18" t="s">
        <v>6</v>
      </c>
      <c r="G162" s="6">
        <v>4.338E7</v>
      </c>
    </row>
    <row r="163" ht="15.75" customHeight="1">
      <c r="A163" s="59" t="str">
        <f t="array" ref="A163">XLOOKUP(C163, 'マスタ'!$C$2:$C$500, 'マスタ'!$D$2:$D$500, "マスタ未登録")</f>
        <v>マスタ未登録</v>
      </c>
      <c r="B163" s="53" t="str">
        <f>IF(AND(C163&lt;&gt;"", COUNTIF('マスタ'!$C:$C, C163)=0), "マスタ未登録", "")</f>
        <v>マスタ未登録</v>
      </c>
      <c r="C163" s="53" t="str">
        <f t="shared" si="1"/>
        <v>販売費及び一般管理費</v>
      </c>
      <c r="D163" s="18" t="s">
        <v>29</v>
      </c>
      <c r="E163" s="10"/>
      <c r="F163" s="18" t="s">
        <v>30</v>
      </c>
      <c r="G163" s="5"/>
    </row>
    <row r="164" ht="15.75" customHeight="1">
      <c r="A164" s="59" t="str">
        <f t="array" ref="A164">XLOOKUP(C164, 'マスタ'!$C$2:$C$500, 'マスタ'!$D$2:$D$500, "マスタ未登録")</f>
        <v>役員報酬</v>
      </c>
      <c r="B164" s="53" t="str">
        <f>IF(AND(C164&lt;&gt;"", COUNTIF('マスタ'!$C:$C, C164)=0), "マスタ未登録", "")</f>
        <v/>
      </c>
      <c r="C164" s="53" t="str">
        <f t="shared" si="1"/>
        <v>役員報酬</v>
      </c>
      <c r="D164" s="10"/>
      <c r="E164" s="18" t="s">
        <v>72</v>
      </c>
      <c r="F164" s="10"/>
      <c r="G164" s="6">
        <v>3650000.0</v>
      </c>
    </row>
    <row r="165" ht="15.75" customHeight="1">
      <c r="A165" s="59" t="str">
        <f t="array" ref="A165">XLOOKUP(C165, 'マスタ'!$C$2:$C$500, 'マスタ'!$D$2:$D$500, "マスタ未登録")</f>
        <v>給料手当</v>
      </c>
      <c r="B165" s="53" t="str">
        <f>IF(AND(C165&lt;&gt;"", COUNTIF('マスタ'!$C:$C, C165)=0), "マスタ未登録", "")</f>
        <v/>
      </c>
      <c r="C165" s="53" t="str">
        <f t="shared" si="1"/>
        <v>給料賃金</v>
      </c>
      <c r="D165" s="10"/>
      <c r="E165" s="18" t="s">
        <v>139</v>
      </c>
      <c r="F165" s="10"/>
      <c r="G165" s="6">
        <v>5572928.0</v>
      </c>
    </row>
    <row r="166" ht="15.75" customHeight="1">
      <c r="A166" s="59" t="str">
        <f t="array" ref="A166">XLOOKUP(C166, 'マスタ'!$C$2:$C$500, 'マスタ'!$D$2:$D$500, "マスタ未登録")</f>
        <v>法定福利費</v>
      </c>
      <c r="B166" s="53" t="str">
        <f>IF(AND(C166&lt;&gt;"", COUNTIF('マスタ'!$C:$C, C166)=0), "マスタ未登録", "")</f>
        <v/>
      </c>
      <c r="C166" s="53" t="str">
        <f t="shared" si="1"/>
        <v>法定福利費</v>
      </c>
      <c r="D166" s="10"/>
      <c r="E166" s="18" t="s">
        <v>74</v>
      </c>
      <c r="F166" s="10"/>
      <c r="G166" s="6">
        <v>1263331.0</v>
      </c>
    </row>
    <row r="167" ht="15.75" customHeight="1">
      <c r="A167" s="59" t="str">
        <f t="array" ref="A167">XLOOKUP(C167, 'マスタ'!$C$2:$C$500, 'マスタ'!$D$2:$D$500, "マスタ未登録")</f>
        <v>株式報酬費用</v>
      </c>
      <c r="B167" s="53" t="str">
        <f>IF(AND(C167&lt;&gt;"", COUNTIF('マスタ'!$C:$C, C167)=0), "マスタ未登録", "")</f>
        <v/>
      </c>
      <c r="C167" s="53" t="str">
        <f t="shared" si="1"/>
        <v>株式報酬費用</v>
      </c>
      <c r="D167" s="10"/>
      <c r="E167" s="18" t="s">
        <v>76</v>
      </c>
      <c r="F167" s="10"/>
      <c r="G167" s="6">
        <v>1.7395635E7</v>
      </c>
    </row>
    <row r="168" ht="15.75" customHeight="1">
      <c r="A168" s="59" t="str">
        <f t="array" ref="A168">XLOOKUP(C168, 'マスタ'!$C$2:$C$500, 'マスタ'!$D$2:$D$500, "マスタ未登録")</f>
        <v>福利厚生費</v>
      </c>
      <c r="B168" s="53" t="str">
        <f>IF(AND(C168&lt;&gt;"", COUNTIF('マスタ'!$C:$C, C168)=0), "マスタ未登録", "")</f>
        <v/>
      </c>
      <c r="C168" s="53" t="str">
        <f t="shared" si="1"/>
        <v>福利厚生費</v>
      </c>
      <c r="D168" s="10"/>
      <c r="E168" s="18" t="s">
        <v>75</v>
      </c>
      <c r="F168" s="10"/>
      <c r="G168" s="6">
        <v>0.0</v>
      </c>
    </row>
    <row r="169" ht="15.75" customHeight="1">
      <c r="A169" s="59" t="str">
        <f t="array" ref="A169">XLOOKUP(C169, 'マスタ'!$C$2:$C$500, 'マスタ'!$D$2:$D$500, "マスタ未登録")</f>
        <v>採用教育費</v>
      </c>
      <c r="B169" s="53" t="str">
        <f>IF(AND(C169&lt;&gt;"", COUNTIF('マスタ'!$C:$C, C169)=0), "マスタ未登録", "")</f>
        <v/>
      </c>
      <c r="C169" s="53" t="str">
        <f t="shared" si="1"/>
        <v>採用費</v>
      </c>
      <c r="D169" s="10"/>
      <c r="E169" s="18" t="s">
        <v>140</v>
      </c>
      <c r="F169" s="10"/>
      <c r="G169" s="6">
        <v>1155634.0</v>
      </c>
    </row>
    <row r="170" ht="15.75" customHeight="1">
      <c r="A170" s="59" t="str">
        <f t="array" ref="A170">XLOOKUP(C170, 'マスタ'!$C$2:$C$500, 'マスタ'!$D$2:$D$500, "マスタ未登録")</f>
        <v>業務委託費</v>
      </c>
      <c r="B170" s="53" t="str">
        <f>IF(AND(C170&lt;&gt;"", COUNTIF('マスタ'!$C:$C, C170)=0), "マスタ未登録", "")</f>
        <v/>
      </c>
      <c r="C170" s="53" t="str">
        <f t="shared" si="1"/>
        <v>業務委託料</v>
      </c>
      <c r="D170" s="10"/>
      <c r="E170" s="18" t="s">
        <v>141</v>
      </c>
      <c r="F170" s="10"/>
      <c r="G170" s="6">
        <v>2015176.0</v>
      </c>
    </row>
    <row r="171" ht="15.75" customHeight="1">
      <c r="A171" s="59" t="str">
        <f t="array" ref="A171">XLOOKUP(C171, 'マスタ'!$C$2:$C$500, 'マスタ'!$D$2:$D$500, "マスタ未登録")</f>
        <v>外注費</v>
      </c>
      <c r="B171" s="53" t="str">
        <f>IF(AND(C171&lt;&gt;"", COUNTIF('マスタ'!$C:$C, C171)=0), "マスタ未登録", "")</f>
        <v/>
      </c>
      <c r="C171" s="53" t="str">
        <f t="shared" si="1"/>
        <v>外注費</v>
      </c>
      <c r="D171" s="10"/>
      <c r="E171" s="18" t="s">
        <v>79</v>
      </c>
      <c r="F171" s="10"/>
      <c r="G171" s="6">
        <v>0.0</v>
      </c>
    </row>
    <row r="172" ht="15.75" customHeight="1">
      <c r="A172" s="59" t="str">
        <f t="array" ref="A172">XLOOKUP(C172, 'マスタ'!$C$2:$C$500, 'マスタ'!$D$2:$D$500, "マスタ未登録")</f>
        <v>荷造運賃</v>
      </c>
      <c r="B172" s="53" t="str">
        <f>IF(AND(C172&lt;&gt;"", COUNTIF('マスタ'!$C:$C, C172)=0), "マスタ未登録", "")</f>
        <v/>
      </c>
      <c r="C172" s="53" t="str">
        <f t="shared" si="1"/>
        <v>荷造運賃</v>
      </c>
      <c r="D172" s="10"/>
      <c r="E172" s="18" t="s">
        <v>80</v>
      </c>
      <c r="F172" s="10"/>
      <c r="G172" s="6">
        <v>19340.0</v>
      </c>
    </row>
    <row r="173" ht="15.75" customHeight="1">
      <c r="A173" s="59" t="str">
        <f t="array" ref="A173">XLOOKUP(C173, 'マスタ'!$C$2:$C$500, 'マスタ'!$D$2:$D$500, "マスタ未登録")</f>
        <v>広告宣伝費</v>
      </c>
      <c r="B173" s="53" t="str">
        <f>IF(AND(C173&lt;&gt;"", COUNTIF('マスタ'!$C:$C, C173)=0), "マスタ未登録", "")</f>
        <v/>
      </c>
      <c r="C173" s="53" t="str">
        <f t="shared" si="1"/>
        <v>広告宣伝費</v>
      </c>
      <c r="D173" s="10"/>
      <c r="E173" s="18" t="s">
        <v>81</v>
      </c>
      <c r="F173" s="10"/>
      <c r="G173" s="6">
        <v>0.0</v>
      </c>
    </row>
    <row r="174" ht="15.75" customHeight="1">
      <c r="A174" s="59" t="str">
        <f t="array" ref="A174">XLOOKUP(C174, 'マスタ'!$C$2:$C$500, 'マスタ'!$D$2:$D$500, "マスタ未登録")</f>
        <v>接待交際費</v>
      </c>
      <c r="B174" s="53" t="str">
        <f>IF(AND(C174&lt;&gt;"", COUNTIF('マスタ'!$C:$C, C174)=0), "マスタ未登録", "")</f>
        <v/>
      </c>
      <c r="C174" s="53" t="str">
        <f t="shared" si="1"/>
        <v>接待交際費</v>
      </c>
      <c r="D174" s="10"/>
      <c r="E174" s="18" t="s">
        <v>82</v>
      </c>
      <c r="F174" s="10"/>
      <c r="G174" s="6">
        <v>116332.0</v>
      </c>
    </row>
    <row r="175" ht="15.75" customHeight="1">
      <c r="A175" s="59" t="str">
        <f t="array" ref="A175">XLOOKUP(C175, 'マスタ'!$C$2:$C$500, 'マスタ'!$D$2:$D$500, "マスタ未登録")</f>
        <v>旅費交通費</v>
      </c>
      <c r="B175" s="53" t="str">
        <f>IF(AND(C175&lt;&gt;"", COUNTIF('マスタ'!$C:$C, C175)=0), "マスタ未登録", "")</f>
        <v/>
      </c>
      <c r="C175" s="53" t="str">
        <f t="shared" si="1"/>
        <v>旅費交通費</v>
      </c>
      <c r="D175" s="10"/>
      <c r="E175" s="18" t="s">
        <v>83</v>
      </c>
      <c r="F175" s="10"/>
      <c r="G175" s="6">
        <v>1111766.0</v>
      </c>
    </row>
    <row r="176" ht="15.75" customHeight="1">
      <c r="A176" s="59" t="str">
        <f t="array" ref="A176">XLOOKUP(C176, 'マスタ'!$C$2:$C$500, 'マスタ'!$D$2:$D$500, "マスタ未登録")</f>
        <v>通信費</v>
      </c>
      <c r="B176" s="53" t="str">
        <f>IF(AND(C176&lt;&gt;"", COUNTIF('マスタ'!$C:$C, C176)=0), "マスタ未登録", "")</f>
        <v/>
      </c>
      <c r="C176" s="53" t="str">
        <f t="shared" si="1"/>
        <v>通信費</v>
      </c>
      <c r="D176" s="10"/>
      <c r="E176" s="18" t="s">
        <v>84</v>
      </c>
      <c r="F176" s="10"/>
      <c r="G176" s="6">
        <v>392054.0</v>
      </c>
    </row>
    <row r="177" ht="15.75" customHeight="1">
      <c r="A177" s="59" t="str">
        <f t="array" ref="A177">XLOOKUP(C177, 'マスタ'!$C$2:$C$500, 'マスタ'!$D$2:$D$500, "マスタ未登録")</f>
        <v>修繕費</v>
      </c>
      <c r="B177" s="53" t="str">
        <f>IF(AND(C177&lt;&gt;"", COUNTIF('マスタ'!$C:$C, C177)=0), "マスタ未登録", "")</f>
        <v/>
      </c>
      <c r="C177" s="53" t="str">
        <f t="shared" si="1"/>
        <v>修繕費</v>
      </c>
      <c r="D177" s="10"/>
      <c r="E177" s="18" t="s">
        <v>85</v>
      </c>
      <c r="F177" s="10"/>
      <c r="G177" s="6">
        <v>0.0</v>
      </c>
    </row>
    <row r="178" ht="15.75" customHeight="1">
      <c r="A178" s="59" t="str">
        <f t="array" ref="A178">XLOOKUP(C178, 'マスタ'!$C$2:$C$500, 'マスタ'!$D$2:$D$500, "マスタ未登録")</f>
        <v>消耗品費</v>
      </c>
      <c r="B178" s="53" t="str">
        <f>IF(AND(C178&lt;&gt;"", COUNTIF('マスタ'!$C:$C, C178)=0), "マスタ未登録", "")</f>
        <v/>
      </c>
      <c r="C178" s="53" t="str">
        <f t="shared" si="1"/>
        <v>備品・消耗品費</v>
      </c>
      <c r="D178" s="10"/>
      <c r="E178" s="18" t="s">
        <v>142</v>
      </c>
      <c r="F178" s="10"/>
      <c r="G178" s="6">
        <v>78736.0</v>
      </c>
    </row>
    <row r="179" ht="15.75" customHeight="1">
      <c r="A179" s="59" t="str">
        <f t="array" ref="A179">XLOOKUP(C179, 'マスタ'!$C$2:$C$500, 'マスタ'!$D$2:$D$500, "マスタ未登録")</f>
        <v>賃借料</v>
      </c>
      <c r="B179" s="53" t="str">
        <f>IF(AND(C179&lt;&gt;"", COUNTIF('マスタ'!$C:$C, C179)=0), "マスタ未登録", "")</f>
        <v/>
      </c>
      <c r="C179" s="53" t="str">
        <f t="shared" si="1"/>
        <v>賃借料</v>
      </c>
      <c r="D179" s="10"/>
      <c r="E179" s="18" t="s">
        <v>89</v>
      </c>
      <c r="F179" s="10"/>
      <c r="G179" s="6">
        <v>0.0</v>
      </c>
    </row>
    <row r="180" ht="15.75" customHeight="1">
      <c r="A180" s="59" t="str">
        <f t="array" ref="A180">XLOOKUP(C180, 'マスタ'!$C$2:$C$500, 'マスタ'!$D$2:$D$500, "マスタ未登録")</f>
        <v>地代家賃</v>
      </c>
      <c r="B180" s="53" t="str">
        <f>IF(AND(C180&lt;&gt;"", COUNTIF('マスタ'!$C:$C, C180)=0), "マスタ未登録", "")</f>
        <v/>
      </c>
      <c r="C180" s="53" t="str">
        <f t="shared" si="1"/>
        <v>地代家賃</v>
      </c>
      <c r="D180" s="10"/>
      <c r="E180" s="18" t="s">
        <v>87</v>
      </c>
      <c r="F180" s="10"/>
      <c r="G180" s="6">
        <v>625659.0</v>
      </c>
    </row>
    <row r="181" ht="15.75" customHeight="1">
      <c r="A181" s="59" t="str">
        <f t="array" ref="A181">XLOOKUP(C181, 'マスタ'!$C$2:$C$500, 'マスタ'!$D$2:$D$500, "マスタ未登録")</f>
        <v>リース料</v>
      </c>
      <c r="B181" s="53" t="str">
        <f>IF(AND(C181&lt;&gt;"", COUNTIF('マスタ'!$C:$C, C181)=0), "マスタ未登録", "")</f>
        <v/>
      </c>
      <c r="C181" s="53" t="str">
        <f t="shared" si="1"/>
        <v>リース料</v>
      </c>
      <c r="D181" s="10"/>
      <c r="E181" s="18" t="s">
        <v>88</v>
      </c>
      <c r="F181" s="10"/>
      <c r="G181" s="6">
        <v>30400.0</v>
      </c>
    </row>
    <row r="182" ht="15.75" customHeight="1">
      <c r="A182" s="59" t="str">
        <f t="array" ref="A182">XLOOKUP(C182, 'マスタ'!$C$2:$C$500, 'マスタ'!$D$2:$D$500, "マスタ未登録")</f>
        <v>保険料</v>
      </c>
      <c r="B182" s="53" t="str">
        <f>IF(AND(C182&lt;&gt;"", COUNTIF('マスタ'!$C:$C, C182)=0), "マスタ未登録", "")</f>
        <v/>
      </c>
      <c r="C182" s="53" t="str">
        <f t="shared" si="1"/>
        <v>保険料</v>
      </c>
      <c r="D182" s="10"/>
      <c r="E182" s="18" t="s">
        <v>90</v>
      </c>
      <c r="F182" s="10"/>
      <c r="G182" s="6">
        <v>0.0</v>
      </c>
    </row>
    <row r="183" ht="15.75" customHeight="1">
      <c r="A183" s="59" t="str">
        <f t="array" ref="A183">XLOOKUP(C183, 'マスタ'!$C$2:$C$500, 'マスタ'!$D$2:$D$500, "マスタ未登録")</f>
        <v>租税公課</v>
      </c>
      <c r="B183" s="53" t="str">
        <f>IF(AND(C183&lt;&gt;"", COUNTIF('マスタ'!$C:$C, C183)=0), "マスタ未登録", "")</f>
        <v/>
      </c>
      <c r="C183" s="53" t="str">
        <f t="shared" si="1"/>
        <v>租税公課</v>
      </c>
      <c r="D183" s="10"/>
      <c r="E183" s="18" t="s">
        <v>91</v>
      </c>
      <c r="F183" s="10"/>
      <c r="G183" s="6">
        <v>2805759.0</v>
      </c>
    </row>
    <row r="184" ht="15.75" customHeight="1">
      <c r="A184" s="59" t="str">
        <f t="array" ref="A184">XLOOKUP(C184, 'マスタ'!$C$2:$C$500, 'マスタ'!$D$2:$D$500, "マスタ未登録")</f>
        <v>支払手数料</v>
      </c>
      <c r="B184" s="53" t="str">
        <f>IF(AND(C184&lt;&gt;"", COUNTIF('マスタ'!$C:$C, C184)=0), "マスタ未登録", "")</f>
        <v/>
      </c>
      <c r="C184" s="53" t="str">
        <f t="shared" si="1"/>
        <v>支払手数料</v>
      </c>
      <c r="D184" s="10"/>
      <c r="E184" s="18" t="s">
        <v>92</v>
      </c>
      <c r="F184" s="10"/>
      <c r="G184" s="6">
        <v>25232.0</v>
      </c>
    </row>
    <row r="185" ht="15.75" customHeight="1">
      <c r="A185" s="59" t="str">
        <f t="array" ref="A185">XLOOKUP(C185, 'マスタ'!$C$2:$C$500, 'マスタ'!$D$2:$D$500, "マスタ未登録")</f>
        <v>支払報酬費</v>
      </c>
      <c r="B185" s="53" t="str">
        <f>IF(AND(C185&lt;&gt;"", COUNTIF('マスタ'!$C:$C, C185)=0), "マスタ未登録", "")</f>
        <v/>
      </c>
      <c r="C185" s="53" t="str">
        <f t="shared" si="1"/>
        <v>支払報酬</v>
      </c>
      <c r="D185" s="10"/>
      <c r="E185" s="18" t="s">
        <v>93</v>
      </c>
      <c r="F185" s="10"/>
      <c r="G185" s="6">
        <v>2275000.0</v>
      </c>
    </row>
    <row r="186" ht="15.75" customHeight="1">
      <c r="A186" s="59" t="str">
        <f t="array" ref="A186">XLOOKUP(C186, 'マスタ'!$C$2:$C$500, 'マスタ'!$D$2:$D$500, "マスタ未登録")</f>
        <v>会議費</v>
      </c>
      <c r="B186" s="53" t="str">
        <f>IF(AND(C186&lt;&gt;"", COUNTIF('マスタ'!$C:$C, C186)=0), "マスタ未登録", "")</f>
        <v/>
      </c>
      <c r="C186" s="53" t="str">
        <f t="shared" si="1"/>
        <v>会議費</v>
      </c>
      <c r="D186" s="10"/>
      <c r="E186" s="18" t="s">
        <v>94</v>
      </c>
      <c r="F186" s="10"/>
      <c r="G186" s="6">
        <v>0.0</v>
      </c>
    </row>
    <row r="187" ht="15.75" customHeight="1">
      <c r="A187" s="59" t="str">
        <f t="array" ref="A187">XLOOKUP(C187, 'マスタ'!$C$2:$C$500, 'マスタ'!$D$2:$D$500, "マスタ未登録")</f>
        <v>減価償却費</v>
      </c>
      <c r="B187" s="53" t="str">
        <f>IF(AND(C187&lt;&gt;"", COUNTIF('マスタ'!$C:$C, C187)=0), "マスタ未登録", "")</f>
        <v/>
      </c>
      <c r="C187" s="53" t="str">
        <f t="shared" si="1"/>
        <v>減価償却費</v>
      </c>
      <c r="D187" s="10"/>
      <c r="E187" s="18" t="s">
        <v>95</v>
      </c>
      <c r="F187" s="10"/>
      <c r="G187" s="6">
        <v>254649.0</v>
      </c>
    </row>
    <row r="188" ht="15.75" customHeight="1">
      <c r="A188" s="59" t="str">
        <f t="array" ref="A188">XLOOKUP(C188, 'マスタ'!$C$2:$C$500, 'マスタ'!$D$2:$D$500, "マスタ未登録")</f>
        <v>貸倒繰入額(販)</v>
      </c>
      <c r="B188" s="53" t="str">
        <f>IF(AND(C188&lt;&gt;"", COUNTIF('マスタ'!$C:$C, C188)=0), "マスタ未登録", "")</f>
        <v/>
      </c>
      <c r="C188" s="53" t="str">
        <f t="shared" si="1"/>
        <v>貸倒繰入額(販)</v>
      </c>
      <c r="D188" s="10"/>
      <c r="E188" s="18" t="s">
        <v>151</v>
      </c>
      <c r="F188" s="10"/>
      <c r="G188" s="10"/>
    </row>
    <row r="189" ht="15.75" customHeight="1">
      <c r="A189" s="59" t="str">
        <f t="array" ref="A189">XLOOKUP(C189, 'マスタ'!$C$2:$C$500, 'マスタ'!$D$2:$D$500, "マスタ未登録")</f>
        <v>雑費</v>
      </c>
      <c r="B189" s="53" t="str">
        <f>IF(AND(C189&lt;&gt;"", COUNTIF('マスタ'!$C:$C, C189)=0), "マスタ未登録", "")</f>
        <v/>
      </c>
      <c r="C189" s="53" t="str">
        <f t="shared" si="1"/>
        <v>雑費</v>
      </c>
      <c r="D189" s="10"/>
      <c r="E189" s="18" t="s">
        <v>100</v>
      </c>
      <c r="F189" s="10"/>
      <c r="G189" s="20">
        <v>0.0</v>
      </c>
    </row>
    <row r="190" ht="15.75" customHeight="1">
      <c r="A190" s="59" t="str">
        <f t="array" ref="A190">XLOOKUP(C190, 'マスタ'!$C$2:$C$500, 'マスタ'!$D$2:$D$500, "マスタ未登録")</f>
        <v>研修費</v>
      </c>
      <c r="B190" s="53" t="str">
        <f>IF(AND(C190&lt;&gt;"", COUNTIF('マスタ'!$C:$C, C190)=0), "マスタ未登録", "")</f>
        <v/>
      </c>
      <c r="C190" s="53" t="str">
        <f t="shared" si="1"/>
        <v>研修費</v>
      </c>
      <c r="D190" s="10"/>
      <c r="E190" s="18" t="s">
        <v>97</v>
      </c>
      <c r="F190" s="10"/>
      <c r="G190" s="6">
        <v>0.0</v>
      </c>
    </row>
    <row r="191" ht="15.75" customHeight="1">
      <c r="A191" s="59" t="str">
        <f t="array" ref="A191">XLOOKUP(C191, 'マスタ'!$C$2:$C$500, 'マスタ'!$D$2:$D$500, "マスタ未登録")</f>
        <v>雑費</v>
      </c>
      <c r="B191" s="53" t="str">
        <f>IF(AND(C191&lt;&gt;"", COUNTIF('マスタ'!$C:$C, C191)=0), "マスタ未登録", "")</f>
        <v/>
      </c>
      <c r="C191" s="53" t="str">
        <f t="shared" si="1"/>
        <v>諸経費</v>
      </c>
      <c r="D191" s="10"/>
      <c r="E191" s="18" t="s">
        <v>147</v>
      </c>
      <c r="F191" s="10"/>
      <c r="G191" s="6">
        <v>0.0</v>
      </c>
    </row>
    <row r="192" ht="15.75" customHeight="1">
      <c r="A192" s="59" t="str">
        <f t="array" ref="A192">XLOOKUP(C192, 'マスタ'!$C$2:$C$500, 'マスタ'!$D$2:$D$500, "マスタ未登録")</f>
        <v>共通費配賦</v>
      </c>
      <c r="B192" s="53" t="str">
        <f>IF(AND(C192&lt;&gt;"", COUNTIF('マスタ'!$C:$C, C192)=0), "マスタ未登録", "")</f>
        <v/>
      </c>
      <c r="C192" s="53" t="str">
        <f t="shared" si="1"/>
        <v>共通費配賦</v>
      </c>
      <c r="D192" s="10"/>
      <c r="E192" s="18" t="s">
        <v>99</v>
      </c>
      <c r="F192" s="10"/>
      <c r="G192" s="6">
        <v>-2.1391996E7</v>
      </c>
    </row>
    <row r="193" ht="15.75" customHeight="1">
      <c r="A193" s="59" t="str">
        <f t="array" ref="A193">XLOOKUP(C193, 'マスタ'!$C$2:$C$500, 'マスタ'!$D$2:$D$500, "マスタ未登録")</f>
        <v>マスタ未登録</v>
      </c>
      <c r="B193" s="53" t="str">
        <f>IF(AND(C193&lt;&gt;"", COUNTIF('マスタ'!$C:$C, C193)=0), "マスタ未登録", "")</f>
        <v>マスタ未登録</v>
      </c>
      <c r="C193" s="53" t="str">
        <f t="shared" si="1"/>
        <v>販売費及び一般管理費合計</v>
      </c>
      <c r="D193" s="18" t="s">
        <v>102</v>
      </c>
      <c r="E193" s="10"/>
      <c r="F193" s="18" t="s">
        <v>143</v>
      </c>
      <c r="G193" s="6">
        <v>1.7395635E7</v>
      </c>
    </row>
    <row r="194" ht="15.75" customHeight="1">
      <c r="A194" s="59" t="str">
        <f t="array" ref="A194">XLOOKUP(C194, 'マスタ'!$C$2:$C$500, 'マスタ'!$D$2:$D$500, "マスタ未登録")</f>
        <v>マスタ未登録</v>
      </c>
      <c r="B194" s="53" t="str">
        <f>IF(AND(C194&lt;&gt;"", COUNTIF('マスタ'!$C:$C, C194)=0), "マスタ未登録", "")</f>
        <v>マスタ未登録</v>
      </c>
      <c r="C194" s="53" t="str">
        <f t="shared" si="1"/>
        <v>営業利益</v>
      </c>
      <c r="D194" s="18" t="s">
        <v>31</v>
      </c>
      <c r="E194" s="10"/>
      <c r="F194" s="18" t="s">
        <v>9</v>
      </c>
      <c r="G194" s="6">
        <v>2.5984365E7</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2026-06-17T08:31:45Z</dcterms:created>
  <dc:creator>openpyxl</dc:creator>
</cp:coreProperties>
</file>